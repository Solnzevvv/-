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а Солнцева\Desktop\"/>
    </mc:Choice>
  </mc:AlternateContent>
  <xr:revisionPtr revIDLastSave="0" documentId="8_{93DA67D1-2A64-4C95-A8C0-CFB5A16D9169}" xr6:coauthVersionLast="47" xr6:coauthVersionMax="47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данны" sheetId="1" r:id="rId1"/>
    <sheet name="сводная таблица" sheetId="8" r:id="rId2"/>
    <sheet name="ABC менеджеры сумма" sheetId="4" r:id="rId3"/>
    <sheet name="ABC менеджеры сделка " sheetId="6" r:id="rId4"/>
    <sheet name="ABC Менеджеры" sheetId="2" r:id="rId5"/>
    <sheet name="ABC_XYZ Клиенты" sheetId="3" r:id="rId6"/>
  </sheets>
  <definedNames>
    <definedName name="_xlnm._FilterDatabase" localSheetId="4" hidden="1">'ABC Менеджеры'!$A$7:$D$27</definedName>
    <definedName name="_xlnm._FilterDatabase" localSheetId="3" hidden="1">'ABC менеджеры сделка '!$A$22:$I$42</definedName>
    <definedName name="_xlnm._FilterDatabase" localSheetId="2" hidden="1">'ABC менеджеры сумма'!$A$22:$I$42</definedName>
    <definedName name="_xlnm._FilterDatabase" localSheetId="1" hidden="1">'сводная таблица'!$I$1:$L$238</definedName>
  </definedNames>
  <calcPr calcId="191029"/>
  <pivotCaches>
    <pivotCache cacheId="25" r:id="rId7"/>
    <pivotCache cacheId="3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" i="8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8" i="2"/>
  <c r="J7" i="6"/>
  <c r="J3" i="6"/>
  <c r="E2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D24" i="6"/>
  <c r="F24" i="6" s="1"/>
  <c r="D25" i="6"/>
  <c r="F25" i="6" s="1"/>
  <c r="D26" i="6"/>
  <c r="F26" i="6" s="1"/>
  <c r="D27" i="6"/>
  <c r="F27" i="6" s="1"/>
  <c r="D28" i="6"/>
  <c r="F28" i="6" s="1"/>
  <c r="D29" i="6"/>
  <c r="F29" i="6" s="1"/>
  <c r="D30" i="6"/>
  <c r="F30" i="6" s="1"/>
  <c r="D31" i="6"/>
  <c r="F31" i="6" s="1"/>
  <c r="D32" i="6"/>
  <c r="F32" i="6" s="1"/>
  <c r="G32" i="6" s="1"/>
  <c r="D33" i="6"/>
  <c r="F33" i="6" s="1"/>
  <c r="G33" i="6" s="1"/>
  <c r="D34" i="6"/>
  <c r="F34" i="6" s="1"/>
  <c r="D35" i="6"/>
  <c r="F35" i="6" s="1"/>
  <c r="D36" i="6"/>
  <c r="F36" i="6" s="1"/>
  <c r="D37" i="6"/>
  <c r="F37" i="6" s="1"/>
  <c r="D38" i="6"/>
  <c r="F38" i="6" s="1"/>
  <c r="D39" i="6"/>
  <c r="F39" i="6" s="1"/>
  <c r="D40" i="6"/>
  <c r="F40" i="6" s="1"/>
  <c r="D41" i="6"/>
  <c r="F41" i="6" s="1"/>
  <c r="D42" i="6"/>
  <c r="F42" i="6" s="1"/>
  <c r="D23" i="6"/>
  <c r="F23" i="6" s="1"/>
  <c r="J7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23" i="4"/>
  <c r="D27" i="4"/>
  <c r="F27" i="4" s="1"/>
  <c r="D24" i="4"/>
  <c r="F24" i="4" s="1"/>
  <c r="D25" i="4"/>
  <c r="F25" i="4" s="1"/>
  <c r="D26" i="4"/>
  <c r="F26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23" i="4"/>
  <c r="F23" i="4" s="1"/>
  <c r="G34" i="4" l="1"/>
  <c r="G36" i="6"/>
  <c r="G33" i="4"/>
  <c r="G37" i="6"/>
  <c r="G34" i="6"/>
  <c r="H32" i="6"/>
  <c r="I32" i="6" s="1"/>
  <c r="H31" i="6"/>
  <c r="I31" i="6" s="1"/>
  <c r="H30" i="6"/>
  <c r="I30" i="6" s="1"/>
  <c r="H29" i="6"/>
  <c r="I29" i="6" s="1"/>
  <c r="H35" i="6"/>
  <c r="I35" i="6" s="1"/>
  <c r="H34" i="6"/>
  <c r="I34" i="6" s="1"/>
  <c r="H33" i="6"/>
  <c r="I33" i="6" s="1"/>
  <c r="H28" i="6"/>
  <c r="I28" i="6" s="1"/>
  <c r="I25" i="6"/>
  <c r="I23" i="6"/>
  <c r="H27" i="6"/>
  <c r="I27" i="6" s="1"/>
  <c r="H42" i="6"/>
  <c r="I42" i="6" s="1"/>
  <c r="H26" i="6"/>
  <c r="I26" i="6" s="1"/>
  <c r="H41" i="6"/>
  <c r="I41" i="6" s="1"/>
  <c r="H40" i="6"/>
  <c r="I40" i="6" s="1"/>
  <c r="H24" i="6"/>
  <c r="I24" i="6" s="1"/>
  <c r="H38" i="6"/>
  <c r="I38" i="6" s="1"/>
  <c r="H39" i="6"/>
  <c r="I39" i="6" s="1"/>
  <c r="H37" i="6"/>
  <c r="I37" i="6" s="1"/>
  <c r="H23" i="6"/>
  <c r="H25" i="6"/>
  <c r="H36" i="6"/>
  <c r="I36" i="6" s="1"/>
  <c r="G39" i="6"/>
  <c r="G31" i="6"/>
  <c r="G38" i="6"/>
  <c r="G30" i="6"/>
  <c r="G35" i="6"/>
  <c r="G29" i="6"/>
  <c r="G28" i="6"/>
  <c r="G40" i="6"/>
  <c r="G41" i="6"/>
  <c r="G42" i="6"/>
  <c r="G24" i="6"/>
  <c r="G25" i="6"/>
  <c r="G26" i="6"/>
  <c r="G27" i="6"/>
  <c r="G23" i="6"/>
  <c r="G36" i="4"/>
  <c r="G35" i="4"/>
  <c r="H35" i="4"/>
  <c r="I35" i="4" s="1"/>
  <c r="H33" i="4"/>
  <c r="I33" i="4" s="1"/>
  <c r="H32" i="4"/>
  <c r="I32" i="4" s="1"/>
  <c r="H31" i="4"/>
  <c r="I31" i="4" s="1"/>
  <c r="H30" i="4"/>
  <c r="I30" i="4" s="1"/>
  <c r="H36" i="4"/>
  <c r="I36" i="4" s="1"/>
  <c r="H34" i="4"/>
  <c r="I34" i="4" s="1"/>
  <c r="H29" i="4"/>
  <c r="I29" i="4" s="1"/>
  <c r="H28" i="4"/>
  <c r="I28" i="4" s="1"/>
  <c r="H23" i="4"/>
  <c r="I23" i="4" s="1"/>
  <c r="G32" i="4"/>
  <c r="H40" i="4"/>
  <c r="I40" i="4" s="1"/>
  <c r="H24" i="4"/>
  <c r="I24" i="4" s="1"/>
  <c r="H27" i="4"/>
  <c r="I27" i="4" s="1"/>
  <c r="H42" i="4"/>
  <c r="I42" i="4" s="1"/>
  <c r="H25" i="4"/>
  <c r="I25" i="4" s="1"/>
  <c r="H39" i="4"/>
  <c r="I39" i="4" s="1"/>
  <c r="H41" i="4"/>
  <c r="I41" i="4" s="1"/>
  <c r="H38" i="4"/>
  <c r="I38" i="4" s="1"/>
  <c r="H26" i="4"/>
  <c r="I26" i="4" s="1"/>
  <c r="H37" i="4"/>
  <c r="I37" i="4" s="1"/>
  <c r="G39" i="4"/>
  <c r="G38" i="4"/>
  <c r="G37" i="4"/>
  <c r="G29" i="4"/>
  <c r="G30" i="4"/>
  <c r="G31" i="4"/>
  <c r="G28" i="4"/>
  <c r="G24" i="4"/>
  <c r="G23" i="4"/>
  <c r="G42" i="4"/>
  <c r="G26" i="4"/>
  <c r="G25" i="4"/>
  <c r="G40" i="4"/>
  <c r="G27" i="4"/>
  <c r="G41" i="4"/>
</calcChain>
</file>

<file path=xl/sharedStrings.xml><?xml version="1.0" encoding="utf-8"?>
<sst xmlns="http://schemas.openxmlformats.org/spreadsheetml/2006/main" count="6746" uniqueCount="317">
  <si>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</si>
  <si>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</si>
  <si>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</si>
  <si>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</si>
  <si>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</si>
  <si>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</si>
  <si>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</si>
  <si>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</si>
  <si>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</si>
  <si>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</si>
  <si>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</si>
  <si>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</si>
  <si>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</si>
  <si>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</si>
  <si>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</si>
  <si>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</si>
  <si>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</si>
  <si>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</si>
  <si>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</si>
  <si>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</si>
  <si>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</si>
  <si>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</si>
  <si>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</si>
  <si>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</si>
  <si>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</si>
  <si>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</si>
  <si>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</si>
  <si>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</si>
  <si>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</si>
  <si>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</si>
  <si>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</si>
  <si>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</si>
  <si>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</si>
  <si>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</si>
  <si>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</si>
  <si>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</si>
  <si>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</si>
  <si>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</si>
  <si>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</si>
  <si>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</si>
  <si>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</si>
  <si>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</si>
  <si>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</si>
  <si>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</si>
  <si>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</si>
  <si>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</si>
  <si>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</si>
  <si>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</si>
  <si>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</si>
  <si>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</si>
  <si>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</si>
  <si>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</si>
  <si>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</si>
  <si>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</si>
  <si>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</si>
  <si>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</si>
  <si>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</si>
  <si>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Соловьева Наталья Максимовна</t>
  </si>
  <si>
    <t>Комаров Виктор Олегович</t>
  </si>
  <si>
    <t>Егоров Артем Кириллович</t>
  </si>
  <si>
    <t>Козлова Татьяна Викторовна</t>
  </si>
  <si>
    <t>Ковалева Татьяна Андреевна</t>
  </si>
  <si>
    <t>Борисов Игорь Евгеньевич</t>
  </si>
  <si>
    <t>Зайцева Валерия Максимовна</t>
  </si>
  <si>
    <t>Иванова Виктория Олеговна</t>
  </si>
  <si>
    <t>Андреева Виктория Романовна</t>
  </si>
  <si>
    <t>Белов Виктор Ильич</t>
  </si>
  <si>
    <t>Павлова Юлия Федоровна</t>
  </si>
  <si>
    <t>Соколова Виктория Александровна</t>
  </si>
  <si>
    <t>Захарова Людмила Антоновна</t>
  </si>
  <si>
    <t>Иванов Степан Федорович</t>
  </si>
  <si>
    <t>Петрова Виктория Ивановна</t>
  </si>
  <si>
    <t>Егорова Полина Павловна</t>
  </si>
  <si>
    <t>Орлов Михаил Борисович</t>
  </si>
  <si>
    <t>Яковлев Игорь Антонович</t>
  </si>
  <si>
    <t>Федорова Елена Николаевна</t>
  </si>
  <si>
    <t>Михайлов Павел Сергеевич</t>
  </si>
  <si>
    <t>Смирнов Александр Викторович</t>
  </si>
  <si>
    <t>Соколова Ирина Владимировна</t>
  </si>
  <si>
    <t>Соловьева Юлия Михайловна</t>
  </si>
  <si>
    <t>Михайлов Алексей Викторович</t>
  </si>
  <si>
    <t>Михайлова Елена Федоровна</t>
  </si>
  <si>
    <t>Романова Мария Ивановна</t>
  </si>
  <si>
    <t>Егорова Людмила Михайловна</t>
  </si>
  <si>
    <t>Федоров Роман Викторович</t>
  </si>
  <si>
    <t>Борисов Алексей Антонович</t>
  </si>
  <si>
    <t>Михайлова Наталья Павловна</t>
  </si>
  <si>
    <t>Смирнов Дмитрий Андреевич</t>
  </si>
  <si>
    <t>Тарасов Кирилл Александрович</t>
  </si>
  <si>
    <t>Баранова Екатерина Николаевна</t>
  </si>
  <si>
    <t>Степанов Алексей Антонович</t>
  </si>
  <si>
    <t>Захаров Иван Александрович</t>
  </si>
  <si>
    <t>Егорова Наталья Олеговна</t>
  </si>
  <si>
    <t>Яковлева Виктория Романовна</t>
  </si>
  <si>
    <t>Иванова Полина Романовна</t>
  </si>
  <si>
    <t>Баранова Светлана Владимировна</t>
  </si>
  <si>
    <t>Алексеева Ксения Антоновна</t>
  </si>
  <si>
    <t>Зайцева Наталья Юрьевна</t>
  </si>
  <si>
    <t>Кузнецов Михаил Викторович</t>
  </si>
  <si>
    <t>Федорова Анна Александровна</t>
  </si>
  <si>
    <t>Морозов Иван Михайлович</t>
  </si>
  <si>
    <t>Степанов Денис Николаевич</t>
  </si>
  <si>
    <t>Козлова Мария Олеговна</t>
  </si>
  <si>
    <t>Соловьева Ирина Максимовна</t>
  </si>
  <si>
    <t>Тарасов Александр Павлович</t>
  </si>
  <si>
    <t>Сергеев Михаил Николаевич</t>
  </si>
  <si>
    <t>Соловьева Анна Андреевна</t>
  </si>
  <si>
    <t>Степанова Надежда Ильинична</t>
  </si>
  <si>
    <t>Волков Вадим Романович</t>
  </si>
  <si>
    <t>Попова Мария Ильинична</t>
  </si>
  <si>
    <t>Григорьева Надежда Николаевна</t>
  </si>
  <si>
    <t>Иванов Никита Дмитриевич</t>
  </si>
  <si>
    <t>Макаров Олег Максимович</t>
  </si>
  <si>
    <t>Павлов Николай Алексеевич</t>
  </si>
  <si>
    <t>Андреев Кирилл Федорович</t>
  </si>
  <si>
    <t>Степанов Евгений Максимович</t>
  </si>
  <si>
    <t>Иванов Борис Антонович</t>
  </si>
  <si>
    <t>Зайцева Людмила Игоревна</t>
  </si>
  <si>
    <t>Иванов Алексей Антонович</t>
  </si>
  <si>
    <t>Комаров Роман Павлович</t>
  </si>
  <si>
    <t>Комарова Полина Олеговна</t>
  </si>
  <si>
    <t>Куликова Александра Юрьевна</t>
  </si>
  <si>
    <t>Куликова Светлана Евгеньевна</t>
  </si>
  <si>
    <t>Лебедева Мария Ивановна</t>
  </si>
  <si>
    <t>Федоров Иван Александрович</t>
  </si>
  <si>
    <t>Сергеев Антон Александрович</t>
  </si>
  <si>
    <t>Сидоров Павел Романович</t>
  </si>
  <si>
    <t>Соколова Ксения Олеговна</t>
  </si>
  <si>
    <t>Федоров Вадим Олегович</t>
  </si>
  <si>
    <t>Андреев Дмитрий Николаевич</t>
  </si>
  <si>
    <t>Степанов Александр Федорович</t>
  </si>
  <si>
    <t>Воробьев Андрей Дмитриевич</t>
  </si>
  <si>
    <t>Соколова Мария Максимовна</t>
  </si>
  <si>
    <t>Козлов Никита Федорович</t>
  </si>
  <si>
    <t>Зайцева Валерия Павловна</t>
  </si>
  <si>
    <t>Попов Николай Максимович</t>
  </si>
  <si>
    <t>Новиков Андрей Дмитриевич</t>
  </si>
  <si>
    <t>Куликов Кирилл Александрович</t>
  </si>
  <si>
    <t>Михайлов Евгений Романович</t>
  </si>
  <si>
    <t>Иванова Надежда Алексеевна</t>
  </si>
  <si>
    <t>Яковлев Евгений Владимирович</t>
  </si>
  <si>
    <t>Козлова Полина Павловна</t>
  </si>
  <si>
    <t>Комарова Полина Игоревна</t>
  </si>
  <si>
    <t>Борисов Антон Владимирович</t>
  </si>
  <si>
    <t>Куликов Виктор Федорович</t>
  </si>
  <si>
    <t>Ковалева Софья Дмитриевна</t>
  </si>
  <si>
    <t>Иванова Татьяна Юрьевна</t>
  </si>
  <si>
    <t>Иванова Дарья Николаевна</t>
  </si>
  <si>
    <t>Козлова Виктория Дмитриевна</t>
  </si>
  <si>
    <t>Козлова Светлана Михайловна</t>
  </si>
  <si>
    <t>Павлова Дарья Игоревна</t>
  </si>
  <si>
    <t>Федорова Людмила Алексеевна</t>
  </si>
  <si>
    <t>Павлов Юрий Борисович</t>
  </si>
  <si>
    <t>Соловьев Роман Дмитриевич</t>
  </si>
  <si>
    <t>Захаров Игорь Максимович</t>
  </si>
  <si>
    <t>Петрова Марина Романовна</t>
  </si>
  <si>
    <t>Федоров Кирилл Иванович</t>
  </si>
  <si>
    <t>Волков Кирилл Олегович</t>
  </si>
  <si>
    <t>Никитина Людмила Юрьевна</t>
  </si>
  <si>
    <t>Семенова Софья Федоровна</t>
  </si>
  <si>
    <t>Борисов Иван Кириллович</t>
  </si>
  <si>
    <t>Федоров Степан Александрович</t>
  </si>
  <si>
    <t>Иванова Юлия Антоновна</t>
  </si>
  <si>
    <t>Зайцев Андрей Евгеньевич</t>
  </si>
  <si>
    <t>Егорова Софья Антоновна</t>
  </si>
  <si>
    <t>Соколов Вадим Викторович</t>
  </si>
  <si>
    <t>Яковлева Дарья Ивановна</t>
  </si>
  <si>
    <t>Зайцев Роман Артемович</t>
  </si>
  <si>
    <t>Комаров Дмитрий Антонович</t>
  </si>
  <si>
    <t>Федоров Илья Александрович</t>
  </si>
  <si>
    <t>Ковалев Дмитрий Владимирович</t>
  </si>
  <si>
    <t>Макаров Никита Иванович</t>
  </si>
  <si>
    <t>Попов Юрий Михайлович</t>
  </si>
  <si>
    <t>Семенов Алексей Олегович</t>
  </si>
  <si>
    <t>Тарасова Ксения Игоревна</t>
  </si>
  <si>
    <t>Новиков Артем Борисович</t>
  </si>
  <si>
    <t>Соловьева Людмила Евгеньевна</t>
  </si>
  <si>
    <t>Лебедева Дарья Николаевна</t>
  </si>
  <si>
    <t>Тарасова Татьяна Сергеевна</t>
  </si>
  <si>
    <t>Егоров Антон Евгеньевич</t>
  </si>
  <si>
    <t>Петрова Надежда Александровна</t>
  </si>
  <si>
    <t>Попов Степан Сергеевич</t>
  </si>
  <si>
    <t>Соловьев Никита Ильич</t>
  </si>
  <si>
    <t>Соловьева Елена Максимовна</t>
  </si>
  <si>
    <t>Михайлов Михаил Кириллович</t>
  </si>
  <si>
    <t>Тарасова Софья Евгеньевна</t>
  </si>
  <si>
    <t>Куликов Борис Артемович</t>
  </si>
  <si>
    <t>Алексеева Полина Дмитриевна</t>
  </si>
  <si>
    <t>Иванова Виктория Романовна</t>
  </si>
  <si>
    <t>Морозова Елена Александровна</t>
  </si>
  <si>
    <t>Новикова Александра Алексеевна</t>
  </si>
  <si>
    <t>Соловьев Антон Ильич</t>
  </si>
  <si>
    <t>Козлова Ирина Юрьевна</t>
  </si>
  <si>
    <t>Баранова Виктория Ивановна</t>
  </si>
  <si>
    <t>Кузнецова Софья Денисовна</t>
  </si>
  <si>
    <t>Михайлова Полина Александровна</t>
  </si>
  <si>
    <t>Егорова Татьяна Денисовна</t>
  </si>
  <si>
    <t>Яковлева Ирина Денисовна</t>
  </si>
  <si>
    <t>Тарасова Елена Антоновна</t>
  </si>
  <si>
    <t>Григорьева Софья Дмитриевна</t>
  </si>
  <si>
    <t>Николаев Денис Алексеевич</t>
  </si>
  <si>
    <t>Зайцев Дмитрий Игоревич</t>
  </si>
  <si>
    <t>Романова Наталья Романовна</t>
  </si>
  <si>
    <t>Семенов Вадим Игоревич</t>
  </si>
  <si>
    <t>Новиков Артем Денисович</t>
  </si>
  <si>
    <t>Лебедева Юлия Олеговна</t>
  </si>
  <si>
    <t>Егоров Алексей Артемович</t>
  </si>
  <si>
    <t>Белов Игорь Романович</t>
  </si>
  <si>
    <t>Смирнов Евгений Артемович</t>
  </si>
  <si>
    <t>Волков Александр Павлович</t>
  </si>
  <si>
    <t>Никитин Юрий Максимович</t>
  </si>
  <si>
    <t>Романов Антон Антонович</t>
  </si>
  <si>
    <t>Семенова Мария Федоровна</t>
  </si>
  <si>
    <t>Иванов Игорь Николаевич</t>
  </si>
  <si>
    <t>Семенов Николай Александрович</t>
  </si>
  <si>
    <t>Смирнова Светлана Александровна</t>
  </si>
  <si>
    <t>Макаров Алексей Романович</t>
  </si>
  <si>
    <t>Алексеев Олег Алексеевич</t>
  </si>
  <si>
    <t>Зайцев Федор Денисович</t>
  </si>
  <si>
    <t>Сидорова Татьяна Павловна</t>
  </si>
  <si>
    <t>Семенова Мария Павловна</t>
  </si>
  <si>
    <t>Смирнова Анна Ильинична</t>
  </si>
  <si>
    <t>Сергеева Дарья Михайловна</t>
  </si>
  <si>
    <t>Макаров Максим Артемович</t>
  </si>
  <si>
    <t>Зайцев Александр Игоревич</t>
  </si>
  <si>
    <t>Баранова Валерия Федоровна</t>
  </si>
  <si>
    <t>Воробьев Вадим Владимирович</t>
  </si>
  <si>
    <t>Захарова Анна Павловна</t>
  </si>
  <si>
    <t>Козлова Валерия Олеговна</t>
  </si>
  <si>
    <t>Орлова Татьяна Алексеевна</t>
  </si>
  <si>
    <t>Козлов Александр Ильич</t>
  </si>
  <si>
    <t>Федорова Марина Денисовна</t>
  </si>
  <si>
    <t>Белов Максим Александрович</t>
  </si>
  <si>
    <t>Васильев Андрей Игоревич</t>
  </si>
  <si>
    <t>Михайлова Татьяна Александровна</t>
  </si>
  <si>
    <t>Смирнова Татьяна Викторовна</t>
  </si>
  <si>
    <t>Васильев Евгений Сергеевич</t>
  </si>
  <si>
    <t>Ковалева Екатерина Михайловна</t>
  </si>
  <si>
    <t>Сергеев Николай Игоревич</t>
  </si>
  <si>
    <t>Романов Денис Олегович</t>
  </si>
  <si>
    <t>Козлов Дмитрий Романович</t>
  </si>
  <si>
    <t>Куликов Николай Кириллович</t>
  </si>
  <si>
    <t>Макарова Виктория Максимовна</t>
  </si>
  <si>
    <t>Орлова Алина Павловна</t>
  </si>
  <si>
    <t>Соколова Надежда Денисовна</t>
  </si>
  <si>
    <t>Степанов Илья Владимирович</t>
  </si>
  <si>
    <t>Соколов Владимир Иванович</t>
  </si>
  <si>
    <t>Андреев Роман Денисович</t>
  </si>
  <si>
    <t>Куликова Татьяна Владимировна</t>
  </si>
  <si>
    <t>Егорова Светлана Владимировна</t>
  </si>
  <si>
    <t>Козлов Кирилл Олегович</t>
  </si>
  <si>
    <t>Смирнова Надежда Владимировна</t>
  </si>
  <si>
    <t>Зайцев Павел Николаевич</t>
  </si>
  <si>
    <t>Степанова Людмила Антоновна</t>
  </si>
  <si>
    <t>Кузнецова Татьяна Юрьевна</t>
  </si>
  <si>
    <t>Андреев Игорь Борисович</t>
  </si>
  <si>
    <t>Ковалева Ирина Павловна</t>
  </si>
  <si>
    <t>Павлова Надежда Дмитриевна</t>
  </si>
  <si>
    <t>Иванов Евгений Андреевич</t>
  </si>
  <si>
    <t>Комаров Владимир Евгеньевич</t>
  </si>
  <si>
    <t>Орлова Людмила Максимовна</t>
  </si>
  <si>
    <t>Морозов Виктор Александрович</t>
  </si>
  <si>
    <t>Новиков Павел Алексеевич</t>
  </si>
  <si>
    <t>Соколова Анастасия Игоревна</t>
  </si>
  <si>
    <t>Андреева Екатерина Денисовна</t>
  </si>
  <si>
    <t>Соловьев Евгений Денисович</t>
  </si>
  <si>
    <t>Волкова Юлия Евгеньевна</t>
  </si>
  <si>
    <t>Соловьева Виктория Максимовна</t>
  </si>
  <si>
    <t>Семенова Алина Юрьевна</t>
  </si>
  <si>
    <t>Макарова Мария Андреевна</t>
  </si>
  <si>
    <t>Федоров Никита Игоревич</t>
  </si>
  <si>
    <t>Павлова Дарья Александровна</t>
  </si>
  <si>
    <t>Алексеева Валерия Павловна</t>
  </si>
  <si>
    <t>Егорова Анна Ильинична</t>
  </si>
  <si>
    <t>Егорова Юлия Александровна</t>
  </si>
  <si>
    <t>Зайцева Марина Максимовна</t>
  </si>
  <si>
    <t>Николаев Денис Павлович</t>
  </si>
  <si>
    <t>Новиков Андрей Борисович</t>
  </si>
  <si>
    <t>Сидорова Ольга Ивановна</t>
  </si>
  <si>
    <t>Алексеева Мария Игоревна</t>
  </si>
  <si>
    <t>Лебедев Евгений Иванович</t>
  </si>
  <si>
    <t>Романов Сергей Михайлович</t>
  </si>
  <si>
    <t>Ковалев Иван Викторович</t>
  </si>
  <si>
    <t>Григорьев Виктор Игоревич</t>
  </si>
  <si>
    <t>Новиков Дмитрий Олегович</t>
  </si>
  <si>
    <t>Попова Валерия Алексеевна</t>
  </si>
  <si>
    <t>Николаев Андрей Артемович</t>
  </si>
  <si>
    <t>Новикова Анастасия Андреевна</t>
  </si>
  <si>
    <t>Петров Антон Артемович</t>
  </si>
  <si>
    <t>Яковлев Александр Федорович</t>
  </si>
  <si>
    <t>Воробьева Юлия Евгеньевна</t>
  </si>
  <si>
    <t>Николаев Денис Кириллович</t>
  </si>
  <si>
    <t>Федоров Максим Михайлович</t>
  </si>
  <si>
    <t>Михайлов Илья Денисович</t>
  </si>
  <si>
    <t>Названия строк</t>
  </si>
  <si>
    <t>Сумма по полю Сумма сделки</t>
  </si>
  <si>
    <t>номер</t>
  </si>
  <si>
    <t>20/30/50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</si>
  <si>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</si>
  <si>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80/15/5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</si>
  <si>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</si>
  <si>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</si>
  <si>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Xa-bc</t>
  </si>
  <si>
    <t>Ya-bc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</si>
  <si>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</si>
  <si>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</si>
  <si>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Xb-c</t>
  </si>
  <si>
    <t>Yb-c</t>
  </si>
  <si>
    <t>Перпендикуляры</t>
  </si>
  <si>
    <t xml:space="preserve">A </t>
  </si>
  <si>
    <t>Количество по полю ФИО менеджера</t>
  </si>
  <si>
    <t>Xbc-</t>
  </si>
  <si>
    <t>Названия столбцов</t>
  </si>
  <si>
    <t>Вариация</t>
  </si>
  <si>
    <t>Клиент</t>
  </si>
  <si>
    <t>Сумма</t>
  </si>
  <si>
    <t>Сумма по полю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</si>
</sst>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6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9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5" fontId="0" fillId="0" borderId="0" xfId="2" applyNumberFormat="1" applyFont="1"/>
    <xf numFmtId="165" fontId="0" fillId="5" borderId="0" xfId="2" applyNumberFormat="1" applyFont="1" applyFill="1"/>
    <xf numFmtId="165" fontId="0" fillId="6" borderId="0" xfId="2" applyNumberFormat="1" applyFont="1" applyFill="1"/>
    <xf numFmtId="165" fontId="0" fillId="7" borderId="0" xfId="2" applyNumberFormat="1" applyFont="1" applyFill="1"/>
    <xf numFmtId="9" fontId="0" fillId="0" borderId="0" xfId="0" applyNumberFormat="1"/>
    <xf numFmtId="165" fontId="0" fillId="0" borderId="0" xfId="0" applyNumberFormat="1"/>
    <xf numFmtId="165" fontId="7" fillId="0" borderId="0" xfId="0" applyNumberFormat="1" applyFont="1"/>
    <xf numFmtId="10" fontId="8" fillId="5" borderId="0" xfId="0" applyNumberFormat="1" applyFont="1" applyFill="1"/>
    <xf numFmtId="10" fontId="8" fillId="6" borderId="0" xfId="0" applyNumberFormat="1" applyFont="1" applyFill="1"/>
    <xf numFmtId="10" fontId="8" fillId="7" borderId="0" xfId="0" applyNumberFormat="1" applyFont="1" applyFill="1"/>
    <xf numFmtId="165" fontId="9" fillId="0" borderId="0" xfId="2" applyNumberFormat="1" applyFont="1"/>
    <xf numFmtId="165" fontId="0" fillId="0" borderId="0" xfId="2" applyNumberFormat="1" applyFont="1" applyFill="1"/>
    <xf numFmtId="10" fontId="10" fillId="0" borderId="0" xfId="0" applyNumberFormat="1" applyFont="1" applyFill="1"/>
    <xf numFmtId="165" fontId="0" fillId="8" borderId="0" xfId="2" applyNumberFormat="1" applyFont="1" applyFill="1"/>
    <xf numFmtId="10" fontId="0" fillId="0" borderId="0" xfId="2" applyNumberFormat="1" applyFont="1"/>
    <xf numFmtId="10" fontId="0" fillId="6" borderId="0" xfId="2" applyNumberFormat="1" applyFont="1" applyFill="1"/>
    <xf numFmtId="165" fontId="11" fillId="0" borderId="0" xfId="0" applyNumberFormat="1" applyFont="1"/>
    <xf numFmtId="10" fontId="12" fillId="5" borderId="0" xfId="2" applyNumberFormat="1" applyFont="1" applyFill="1"/>
    <xf numFmtId="10" fontId="12" fillId="6" borderId="0" xfId="2" applyNumberFormat="1" applyFont="1" applyFill="1"/>
    <xf numFmtId="10" fontId="12" fillId="8" borderId="0" xfId="2" applyNumberFormat="1" applyFont="1" applyFill="1"/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0" borderId="0" xfId="0" applyFont="1" applyBorder="1"/>
    <xf numFmtId="0" fontId="0" fillId="0" borderId="0" xfId="0" applyBorder="1"/>
    <xf numFmtId="9" fontId="0" fillId="9" borderId="0" xfId="0" applyNumberFormat="1" applyFill="1"/>
    <xf numFmtId="0" fontId="0" fillId="9" borderId="0" xfId="0" applyFill="1"/>
    <xf numFmtId="0" fontId="0" fillId="10" borderId="0" xfId="0" applyFill="1" applyAlignment="1">
      <alignment horizontal="left"/>
    </xf>
    <xf numFmtId="0" fontId="0" fillId="10" borderId="0" xfId="0" applyNumberFormat="1" applyFill="1"/>
    <xf numFmtId="10" fontId="0" fillId="10" borderId="0" xfId="2" applyNumberFormat="1" applyFont="1" applyFill="1"/>
    <xf numFmtId="0" fontId="0" fillId="10" borderId="0" xfId="0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0" fillId="6" borderId="0" xfId="0" applyFill="1"/>
    <xf numFmtId="9" fontId="0" fillId="5" borderId="0" xfId="0" applyNumberFormat="1" applyFill="1"/>
    <xf numFmtId="0" fontId="0" fillId="5" borderId="0" xfId="0" applyFill="1"/>
    <xf numFmtId="0" fontId="15" fillId="5" borderId="0" xfId="0" applyFont="1" applyFill="1" applyBorder="1"/>
  </cellXfs>
  <cellStyles count="3">
    <cellStyle name="Normal" xfId="1" xr:uid="{00000000-0005-0000-0000-000000000000}"/>
    <cellStyle name="Обычный" xfId="0" builtinId="0"/>
    <cellStyle name="Процентный" xfId="2" builtinId="5"/>
  </cellStyles>
  <dxfs count="47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8990617571009"/>
          <c:y val="4.2836163996865774E-2"/>
          <c:w val="0.7125980002786535"/>
          <c:h val="0.887313645821982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'ABC менеджеры сумма'!$E$22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 менеджеры сумма'!$D$23:$D$42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менеджеры сумма'!$E$23:$E$42</c:f>
              <c:numCache>
                <c:formatCode>0.00%</c:formatCode>
                <c:ptCount val="20"/>
                <c:pt idx="0">
                  <c:v>0.48062360541166022</c:v>
                </c:pt>
                <c:pt idx="1">
                  <c:v>0.67193894076657645</c:v>
                </c:pt>
                <c:pt idx="2">
                  <c:v>0.78140570384350083</c:v>
                </c:pt>
                <c:pt idx="3">
                  <c:v>0.83995771256044982</c:v>
                </c:pt>
                <c:pt idx="4">
                  <c:v>0.87641004534234601</c:v>
                </c:pt>
                <c:pt idx="5">
                  <c:v>0.90259346606954838</c:v>
                </c:pt>
                <c:pt idx="6">
                  <c:v>0.92001999450987992</c:v>
                </c:pt>
                <c:pt idx="7">
                  <c:v>0.93506240096717275</c:v>
                </c:pt>
                <c:pt idx="8">
                  <c:v>0.94823725305260498</c:v>
                </c:pt>
                <c:pt idx="9">
                  <c:v>0.95906138111108141</c:v>
                </c:pt>
                <c:pt idx="10">
                  <c:v>0.96743726358173143</c:v>
                </c:pt>
                <c:pt idx="11">
                  <c:v>0.97561918598032682</c:v>
                </c:pt>
                <c:pt idx="12">
                  <c:v>0.98307572407934241</c:v>
                </c:pt>
                <c:pt idx="13">
                  <c:v>0.98822400076246697</c:v>
                </c:pt>
                <c:pt idx="14">
                  <c:v>0.99161572389428221</c:v>
                </c:pt>
                <c:pt idx="15">
                  <c:v>0.99410718551904176</c:v>
                </c:pt>
                <c:pt idx="16">
                  <c:v>0.99639357404018425</c:v>
                </c:pt>
                <c:pt idx="17">
                  <c:v>0.99770009690233896</c:v>
                </c:pt>
                <c:pt idx="18">
                  <c:v>0.99896605249037973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4-476A-B6C5-0614CC68F52E}"/>
            </c:ext>
          </c:extLst>
        </c:ser>
        <c:ser>
          <c:idx val="1"/>
          <c:order val="1"/>
          <c:tx>
            <c:strRef>
              <c:f>'ABC менеджеры сумма'!$H$1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249599673407719"/>
                  <c:y val="-6.3027631592179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сумма'!$G$2:$G$3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менеджеры сумма'!$H$2:$H$3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34-476A-B6C5-0614CC68F52E}"/>
            </c:ext>
          </c:extLst>
        </c:ser>
        <c:ser>
          <c:idx val="3"/>
          <c:order val="2"/>
          <c:tx>
            <c:strRef>
              <c:f>'ABC менеджеры сумма'!$H$5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92D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9134-476A-B6C5-0614CC68F52E}"/>
              </c:ext>
            </c:extLst>
          </c:dPt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0.27645075409850384"/>
                  <c:y val="-0.12524944811337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сумма'!$G$6:$G$7</c:f>
              <c:numCache>
                <c:formatCode>0%</c:formatCode>
                <c:ptCount val="2"/>
                <c:pt idx="0" formatCode="0.0%">
                  <c:v>0.2</c:v>
                </c:pt>
                <c:pt idx="1">
                  <c:v>1</c:v>
                </c:pt>
              </c:numCache>
            </c:numRef>
          </c:xVal>
          <c:yVal>
            <c:numRef>
              <c:f>'ABC менеджеры сумма'!$H$6:$H$7</c:f>
              <c:numCache>
                <c:formatCode>0%</c:formatCode>
                <c:ptCount val="2"/>
                <c:pt idx="0" formatCode="0.0%">
                  <c:v>0.83995771256044982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134-476A-B6C5-0614CC68F52E}"/>
            </c:ext>
          </c:extLst>
        </c:ser>
        <c:ser>
          <c:idx val="5"/>
          <c:order val="3"/>
          <c:tx>
            <c:v>  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'ABC менеджеры сумма'!$J$2:$J$3</c:f>
              <c:numCache>
                <c:formatCode>0.0%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xVal>
          <c:yVal>
            <c:numRef>
              <c:f>'ABC менеджеры сумма'!$K$2:$K$3</c:f>
              <c:numCache>
                <c:formatCode>0%</c:formatCode>
                <c:ptCount val="2"/>
                <c:pt idx="0" formatCode="0.0%">
                  <c:v>0.83995771256044982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134-476A-B6C5-0614CC68F52E}"/>
            </c:ext>
          </c:extLst>
        </c:ser>
        <c:ser>
          <c:idx val="6"/>
          <c:order val="4"/>
          <c:tx>
            <c:v>  </c:v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ysDash"/>
              </a:ln>
              <a:effectLst/>
            </c:spPr>
          </c:marker>
          <c:xVal>
            <c:numRef>
              <c:f>'ABC менеджеры сумма'!$J$6:$J$7</c:f>
              <c:numCache>
                <c:formatCode>0.0%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'ABC менеджеры сумма'!$K$6:$K$7</c:f>
              <c:numCache>
                <c:formatCode>0%</c:formatCode>
                <c:ptCount val="2"/>
                <c:pt idx="0" formatCode="0.00%">
                  <c:v>0.95906138111108141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134-476A-B6C5-0614CC68F52E}"/>
            </c:ext>
          </c:extLst>
        </c:ser>
        <c:ser>
          <c:idx val="4"/>
          <c:order val="5"/>
          <c:tx>
            <c:strRef>
              <c:f>'ABC менеджеры сумма'!$J$5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'ABC менеджеры сумма'!$J$6</c:f>
              <c:numCache>
                <c:formatCode>0.0%</c:formatCode>
                <c:ptCount val="1"/>
                <c:pt idx="0">
                  <c:v>0.5</c:v>
                </c:pt>
              </c:numCache>
            </c:numRef>
          </c:xVal>
          <c:yVal>
            <c:numRef>
              <c:f>'ABC менеджеры сумма'!$K$6</c:f>
              <c:numCache>
                <c:formatCode>0.00%</c:formatCode>
                <c:ptCount val="1"/>
                <c:pt idx="0">
                  <c:v>0.95906138111108141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134-476A-B6C5-0614CC68F52E}"/>
            </c:ext>
          </c:extLst>
        </c:ser>
        <c:ser>
          <c:idx val="2"/>
          <c:order val="6"/>
          <c:tx>
            <c:strRef>
              <c:f>'ABC менеджеры сумма'!$J$1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'ABC менеджеры сумма'!$J$2</c:f>
              <c:numCache>
                <c:formatCode>0.0%</c:formatCode>
                <c:ptCount val="1"/>
                <c:pt idx="0">
                  <c:v>0.2</c:v>
                </c:pt>
              </c:numCache>
            </c:numRef>
          </c:xVal>
          <c:yVal>
            <c:numRef>
              <c:f>'ABC менеджеры сумма'!$K$2</c:f>
              <c:numCache>
                <c:formatCode>0.0%</c:formatCode>
                <c:ptCount val="1"/>
                <c:pt idx="0">
                  <c:v>0.83995771256044982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34-476A-B6C5-0614CC68F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702944"/>
        <c:axId val="1252687584"/>
      </c:scatterChart>
      <c:valAx>
        <c:axId val="9107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2687584"/>
        <c:crosses val="autoZero"/>
        <c:crossBetween val="midCat"/>
      </c:valAx>
      <c:valAx>
        <c:axId val="125268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070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00481211702829"/>
          <c:y val="0.15916398129842099"/>
          <c:w val="0.12999529541209898"/>
          <c:h val="0.497368659234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87395044666403"/>
          <c:y val="3.7703513281919454E-2"/>
          <c:w val="0.69784806751984163"/>
          <c:h val="0.882782287175542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'ABC менеджеры сделка 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'ABC менеджеры сделка 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менеджеры сделка '!$E$23:$E$42</c:f>
              <c:numCache>
                <c:formatCode>0.00%</c:formatCode>
                <c:ptCount val="20"/>
                <c:pt idx="0">
                  <c:v>0.35691202872531419</c:v>
                </c:pt>
                <c:pt idx="1">
                  <c:v>0.51705565529622977</c:v>
                </c:pt>
                <c:pt idx="2">
                  <c:v>0.62082585278276481</c:v>
                </c:pt>
                <c:pt idx="3">
                  <c:v>0.69407540394973066</c:v>
                </c:pt>
                <c:pt idx="4">
                  <c:v>0.74757630161579891</c:v>
                </c:pt>
                <c:pt idx="5">
                  <c:v>0.7910233393177738</c:v>
                </c:pt>
                <c:pt idx="6">
                  <c:v>0.82621184919210056</c:v>
                </c:pt>
                <c:pt idx="7">
                  <c:v>0.85780969479353686</c:v>
                </c:pt>
                <c:pt idx="8">
                  <c:v>0.88509874326750448</c:v>
                </c:pt>
                <c:pt idx="9">
                  <c:v>0.90771992818671454</c:v>
                </c:pt>
                <c:pt idx="10">
                  <c:v>0.92675044883303415</c:v>
                </c:pt>
                <c:pt idx="11">
                  <c:v>0.94434470377019752</c:v>
                </c:pt>
                <c:pt idx="12">
                  <c:v>0.96050269299820468</c:v>
                </c:pt>
                <c:pt idx="13">
                  <c:v>0.97199281867145426</c:v>
                </c:pt>
                <c:pt idx="14">
                  <c:v>0.97989228007181328</c:v>
                </c:pt>
                <c:pt idx="15">
                  <c:v>0.98563734290843807</c:v>
                </c:pt>
                <c:pt idx="16">
                  <c:v>0.99138240574506287</c:v>
                </c:pt>
                <c:pt idx="17">
                  <c:v>0.99425493716337521</c:v>
                </c:pt>
                <c:pt idx="18">
                  <c:v>0.99712746858168766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C-4A51-99C0-6DAFCB5C8331}"/>
            </c:ext>
          </c:extLst>
        </c:ser>
        <c:ser>
          <c:idx val="1"/>
          <c:order val="1"/>
          <c:tx>
            <c:strRef>
              <c:f>'ABC менеджеры сделка 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581296156678895"/>
                  <c:y val="-0.103434513433912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сделка 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менеджеры сделка 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8C-4A51-99C0-6DAFCB5C8331}"/>
            </c:ext>
          </c:extLst>
        </c:ser>
        <c:ser>
          <c:idx val="3"/>
          <c:order val="2"/>
          <c:tx>
            <c:strRef>
              <c:f>'ABC менеджеры сделка '!$H$5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0.27969941668112719"/>
                  <c:y val="0.124124900004627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сделка '!$G$6:$G$7</c:f>
              <c:numCache>
                <c:formatCode>0%</c:formatCode>
                <c:ptCount val="2"/>
                <c:pt idx="0" formatCode="0.00%">
                  <c:v>0.25</c:v>
                </c:pt>
                <c:pt idx="1">
                  <c:v>1</c:v>
                </c:pt>
              </c:numCache>
            </c:numRef>
          </c:xVal>
          <c:yVal>
            <c:numRef>
              <c:f>'ABC менеджеры сделка '!$H$6:$H$7</c:f>
              <c:numCache>
                <c:formatCode>0%</c:formatCode>
                <c:ptCount val="2"/>
                <c:pt idx="0" formatCode="0.00%">
                  <c:v>0.74757630161579891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8C-4A51-99C0-6DAFCB5C8331}"/>
            </c:ext>
          </c:extLst>
        </c:ser>
        <c:ser>
          <c:idx val="5"/>
          <c:order val="3"/>
          <c:tx>
            <c:v>  </c:v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'ABC менеджеры сделка '!$J$2:$J$3</c:f>
              <c:numCache>
                <c:formatCode>0.00%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xVal>
          <c:yVal>
            <c:numRef>
              <c:f>'ABC менеджеры сделка '!$K$2:$K$3</c:f>
              <c:numCache>
                <c:formatCode>0%</c:formatCode>
                <c:ptCount val="2"/>
                <c:pt idx="0" formatCode="0.00%">
                  <c:v>0.74757630161579891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58C-4A51-99C0-6DAFCB5C8331}"/>
            </c:ext>
          </c:extLst>
        </c:ser>
        <c:ser>
          <c:idx val="6"/>
          <c:order val="4"/>
          <c:tx>
            <c:v>  </c:v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ysDash"/>
              </a:ln>
              <a:effectLst/>
            </c:spPr>
          </c:marker>
          <c:xVal>
            <c:numRef>
              <c:f>'ABC менеджеры сделка '!$J$6:$J$7</c:f>
              <c:numCache>
                <c:formatCode>0.0%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xVal>
          <c:yVal>
            <c:numRef>
              <c:f>'ABC менеджеры сделка '!$K$6:$K$7</c:f>
              <c:numCache>
                <c:formatCode>0%</c:formatCode>
                <c:ptCount val="2"/>
                <c:pt idx="0" formatCode="0.0%">
                  <c:v>0.94434470377019752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58C-4A51-99C0-6DAFCB5C8331}"/>
            </c:ext>
          </c:extLst>
        </c:ser>
        <c:ser>
          <c:idx val="4"/>
          <c:order val="5"/>
          <c:tx>
            <c:strRef>
              <c:f>'ABC менеджеры сделка '!$J$5:$J$6</c:f>
              <c:strCache>
                <c:ptCount val="2"/>
                <c:pt idx="0">
                  <c:v>Xbc-</c:v>
                </c:pt>
                <c:pt idx="1">
                  <c:v>60,0%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'ABC менеджеры сделка '!$J$6</c:f>
              <c:numCache>
                <c:formatCode>0.0%</c:formatCode>
                <c:ptCount val="1"/>
                <c:pt idx="0">
                  <c:v>0.6</c:v>
                </c:pt>
              </c:numCache>
            </c:numRef>
          </c:xVal>
          <c:yVal>
            <c:numRef>
              <c:f>'ABC менеджеры сделка '!$K$6</c:f>
              <c:numCache>
                <c:formatCode>0.0%</c:formatCode>
                <c:ptCount val="1"/>
                <c:pt idx="0">
                  <c:v>0.94434470377019752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58C-4A51-99C0-6DAFCB5C8331}"/>
            </c:ext>
          </c:extLst>
        </c:ser>
        <c:ser>
          <c:idx val="2"/>
          <c:order val="6"/>
          <c:tx>
            <c:strRef>
              <c:f>'ABC менеджеры сделка 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'ABC менеджеры сделка '!$J$2</c:f>
              <c:numCache>
                <c:formatCode>0.00%</c:formatCode>
                <c:ptCount val="1"/>
                <c:pt idx="0">
                  <c:v>0.25</c:v>
                </c:pt>
              </c:numCache>
            </c:numRef>
          </c:xVal>
          <c:yVal>
            <c:numRef>
              <c:f>'ABC менеджеры сделка '!$K$2</c:f>
              <c:numCache>
                <c:formatCode>0.00%</c:formatCode>
                <c:ptCount val="1"/>
                <c:pt idx="0">
                  <c:v>0.74757630161579891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8C-4A51-99C0-6DAFCB5C8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771440"/>
        <c:axId val="1193985808"/>
      </c:scatterChart>
      <c:valAx>
        <c:axId val="119477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985808"/>
        <c:crosses val="autoZero"/>
        <c:crossBetween val="midCat"/>
      </c:valAx>
      <c:valAx>
        <c:axId val="11939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477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86600514252208"/>
          <c:y val="0.1046031588620692"/>
          <c:w val="0.12502192001698129"/>
          <c:h val="0.3869070522355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64214</xdr:colOff>
      <xdr:row>0</xdr:row>
      <xdr:rowOff>0</xdr:rowOff>
    </xdr:from>
    <xdr:to>
      <xdr:col>5</xdr:col>
      <xdr:colOff>21478</xdr:colOff>
      <xdr:row>19</xdr:row>
      <xdr:rowOff>153679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E40D91-1801-45C7-B037-51C32A423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9525</xdr:rowOff>
    </xdr:from>
    <xdr:to>
      <xdr:col>4</xdr:col>
      <xdr:colOff>590550</xdr:colOff>
      <xdr:row>19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A2FDB5-DD3A-4FEE-B910-48F7C607E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01682" y="2487386"/>
          <a:ext cx="3741997" cy="86323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80/15/5</a:t>
          </a: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299.783891550927" createdVersion="7" refreshedVersion="7" minRefreshableVersion="3" recordCount="2785" xr:uid="{3512B690-2DA1-4240-BE19-61B48D8ECBEA}">
  <cacheSource type="worksheet">
    <worksheetSource ref="A1:D2786" sheet="данны"/>
  </cacheSource>
  <cacheFields count="7">
    <cacheField name="ФИО менеджера" numFmtId="0">
      <sharedItems count="20">
        <s v="Иванова Анна Сергеевна"/>
        <s v="Лебедев Николай Олегович"/>
        <s v="Орлов Павел Денисович"/>
        <s v="Семенова Ирина Валерьевна"/>
        <s v="Фролов Сергей Викторович"/>
        <s v="Яковлев Артем Игоревич"/>
        <s v="Кузнецов Максим Алексеевич"/>
        <s v="Ткаченко Андрей Олегович"/>
        <s v="Соколова Мария Ильинична"/>
        <s v="Козлов Алексей Михайлович"/>
        <s v="Морозова Елена Андреевна"/>
        <s v="Новикова Ольга Викторовна"/>
        <s v="Волков Дмитрий Романович"/>
        <s v="Павлова Татьяна Сергеевна"/>
        <s v="Попов Кирилл Денисович"/>
        <s v="Федорова Ксения Максимовна"/>
        <s v="Егоров Илья Александрович"/>
        <s v="Смирнов Евгений Андреевич"/>
        <s v="Васильева Дарья Павловна"/>
        <s v="Михайлова Алина Романовна"/>
      </sharedItems>
    </cacheField>
    <cacheField name="ФИО клиента" numFmtId="0">
      <sharedItems count="237">
        <s v="Соловьева Наталья Максимовна"/>
        <s v="Иванова Виктория Олеговна"/>
        <s v="Андреева Виктория Романовна"/>
        <s v="Белов Виктор Ильич"/>
        <s v="Павлова Юлия Федоровна"/>
        <s v="Соколова Виктория Александровна"/>
        <s v="Захарова Людмила Антоновна"/>
        <s v="Иванов Степан Федорович"/>
        <s v="Петрова Виктория Ивановна"/>
        <s v="Егорова Полина Павловна"/>
        <s v="Орлов Михаил Борисович"/>
        <s v="Яковлев Игорь Антонович"/>
        <s v="Федорова Елена Николаевна"/>
        <s v="Михайлов Павел Сергеевич"/>
        <s v="Смирнов Александр Викторович"/>
        <s v="Соколова Ирина Владимировна"/>
        <s v="Соловьева Юлия Михайловна"/>
        <s v="Михайлов Алексей Викторович"/>
        <s v="Михайлова Елена Федоровна"/>
        <s v="Романова Мария Ивановна"/>
        <s v="Егорова Людмила Михайловна"/>
        <s v="Федоров Роман Викторович"/>
        <s v="Борисов Алексей Антонович"/>
        <s v="Михайлова Наталья Павловна"/>
        <s v="Смирнов Дмитрий Андреевич"/>
        <s v="Тарасов Кирилл Александрович"/>
        <s v="Баранова Екатерина Николаевна"/>
        <s v="Степанов Алексей Антонович"/>
        <s v="Захаров Иван Александрович"/>
        <s v="Егорова Наталья Олеговна"/>
        <s v="Яковлева Виктория Романовна"/>
        <s v="Иванова Полина Романовна"/>
        <s v="Баранова Светлана Владимировна"/>
        <s v="Алексеева Ксения Антоновна"/>
        <s v="Зайцева Наталья Юрьевна"/>
        <s v="Кузнецов Михаил Викторович"/>
        <s v="Федорова Анна Александровна"/>
        <s v="Морозов Иван Михайлович"/>
        <s v="Степанов Денис Николаевич"/>
        <s v="Козлова Мария Олеговна"/>
        <s v="Соловьева Ирина Максимовна"/>
        <s v="Тарасов Александр Павлович"/>
        <s v="Сергеев Михаил Николаевич"/>
        <s v="Соловьева Анна Андреевна"/>
        <s v="Степанова Надежда Ильинична"/>
        <s v="Волков Вадим Романович"/>
        <s v="Козлова Татьяна Викторовна"/>
        <s v="Ковалева Татьяна Андреевна"/>
        <s v="Попова Мария Ильинична"/>
        <s v="Григорьева Надежда Николаевна"/>
        <s v="Иванов Никита Дмитриевич"/>
        <s v="Макаров Олег Максимович"/>
        <s v="Павлов Николай Алексеевич"/>
        <s v="Андреев Кирилл Федорович"/>
        <s v="Степанов Евгений Максимович"/>
        <s v="Иванов Борис Антонович"/>
        <s v="Зайцева Людмила Игоревна"/>
        <s v="Иванов Алексей Антонович"/>
        <s v="Комаров Роман Павлович"/>
        <s v="Комарова Полина Олеговна"/>
        <s v="Куликова Александра Юрьевна"/>
        <s v="Куликова Светлана Евгеньевна"/>
        <s v="Лебедева Мария Ивановна"/>
        <s v="Федоров Иван Александрович"/>
        <s v="Комаров Виктор Олегович"/>
        <s v="Сергеев Антон Александрович"/>
        <s v="Сидоров Павел Романович"/>
        <s v="Соколова Ксения Олеговна"/>
        <s v="Федоров Вадим Олегович"/>
        <s v="Андреев Дмитрий Николаевич"/>
        <s v="Степанов Александр Федорович"/>
        <s v="Воробьев Андрей Дмитриевич"/>
        <s v="Соколова Мария Максимовна"/>
        <s v="Козлов Никита Федорович"/>
        <s v="Зайцева Валерия Павловна"/>
        <s v="Попов Николай Максимович"/>
        <s v="Новиков Андрей Дмитриевич"/>
        <s v="Куликов Кирилл Александрович"/>
        <s v="Михайлов Евгений Романович"/>
        <s v="Иванова Надежда Алексеевна"/>
        <s v="Яковлев Евгений Владимирович"/>
        <s v="Козлова Полина Павловна"/>
        <s v="Комарова Полина Игоревна"/>
        <s v="Борисов Антон Владимирович"/>
        <s v="Куликов Виктор Федорович"/>
        <s v="Ковалева Софья Дмитриевна"/>
        <s v="Иванова Татьяна Юрьевна"/>
        <s v="Иванова Дарья Николаевна"/>
        <s v="Козлова Виктория Дмитриевна"/>
        <s v="Козлова Светлана Михайловна"/>
        <s v="Павлова Дарья Игоревна"/>
        <s v="Федорова Людмила Алексеевна"/>
        <s v="Павлов Юрий Борисович"/>
        <s v="Соловьев Роман Дмитриевич"/>
        <s v="Захаров Игорь Максимович"/>
        <s v="Петрова Марина Романовна"/>
        <s v="Федоров Кирилл Иванович"/>
        <s v="Волков Кирилл Олегович"/>
        <s v="Никитина Людмила Юрьевна"/>
        <s v="Семенова Софья Федоровна"/>
        <s v="Зайцева Валерия Максимовна"/>
        <s v="Борисов Иван Кириллович"/>
        <s v="Федоров Степан Александрович"/>
        <s v="Иванова Юлия Антоновна"/>
        <s v="Зайцев Андрей Евгеньевич"/>
        <s v="Егорова Софья Антоновна"/>
        <s v="Соколов Вадим Викторович"/>
        <s v="Яковлева Дарья Ивановна"/>
        <s v="Зайцев Роман Артемович"/>
        <s v="Комаров Дмитрий Антонович"/>
        <s v="Федоров Илья Александрович"/>
        <s v="Ковалев Дмитрий Владимирович"/>
        <s v="Макаров Никита Иванович"/>
        <s v="Попов Юрий Михайлович"/>
        <s v="Семенов Алексей Олегович"/>
        <s v="Тарасова Ксения Игоревна"/>
        <s v="Новиков Артем Борисович"/>
        <s v="Соловьева Людмила Евгеньевна"/>
        <s v="Лебедева Дарья Николаевна"/>
        <s v="Тарасова Татьяна Сергеевна"/>
        <s v="Егоров Антон Евгеньевич"/>
        <s v="Петрова Надежда Александровна"/>
        <s v="Попов Степан Сергеевич"/>
        <s v="Соловьев Никита Ильич"/>
        <s v="Соловьева Елена Максимовна"/>
        <s v="Михайлов Михаил Кириллович"/>
        <s v="Тарасова Софья Евгеньевна"/>
        <s v="Куликов Борис Артемович"/>
        <s v="Алексеева Полина Дмитриевна"/>
        <s v="Иванова Виктория Романовна"/>
        <s v="Морозова Елена Александровна"/>
        <s v="Новикова Александра Алексеевна"/>
        <s v="Соловьев Антон Ильич"/>
        <s v="Козлова Ирина Юрьевна"/>
        <s v="Баранова Виктория Ивановна"/>
        <s v="Кузнецова Софья Денисовна"/>
        <s v="Михайлова Полина Александровна"/>
        <s v="Егорова Татьяна Денисовна"/>
        <s v="Яковлева Ирина Денисовна"/>
        <s v="Тарасова Елена Антоновна"/>
        <s v="Григорьева Софья Дмитриевна"/>
        <s v="Николаев Денис Алексеевич"/>
        <s v="Зайцев Дмитрий Игоревич"/>
        <s v="Романова Наталья Романовна"/>
        <s v="Семенов Вадим Игоревич"/>
        <s v="Новиков Артем Денисович"/>
        <s v="Лебедева Юлия Олеговна"/>
        <s v="Егоров Алексей Артемович"/>
        <s v="Белов Игорь Романович"/>
        <s v="Смирнов Евгений Артемович"/>
        <s v="Волков Александр Павлович"/>
        <s v="Никитин Юрий Максимович"/>
        <s v="Романов Антон Антонович"/>
        <s v="Семенова Мария Федоровна"/>
        <s v="Иванов Игорь Николаевич"/>
        <s v="Семенов Николай Александрович"/>
        <s v="Смирнова Светлана Александровна"/>
        <s v="Макаров Алексей Романович"/>
        <s v="Алексеев Олег Алексеевич"/>
        <s v="Зайцев Федор Денисович"/>
        <s v="Сидорова Татьяна Павловна"/>
        <s v="Семенова Мария Павловна"/>
        <s v="Смирнова Анна Ильинична"/>
        <s v="Сергеева Дарья Михайловна"/>
        <s v="Макаров Максим Артемович"/>
        <s v="Зайцев Александр Игоревич"/>
        <s v="Баранова Валерия Федоровна"/>
        <s v="Воробьев Вадим Владимирович"/>
        <s v="Захарова Анна Павловна"/>
        <s v="Козлова Валерия Олеговна"/>
        <s v="Орлова Татьяна Алексеевна"/>
        <s v="Козлов Александр Ильич"/>
        <s v="Федорова Марина Денисовна"/>
        <s v="Белов Максим Александрович"/>
        <s v="Васильев Андрей Игоревич"/>
        <s v="Михайлова Татьяна Александровна"/>
        <s v="Борисов Игорь Евгеньевич"/>
        <s v="Смирнова Татьяна Викторовна"/>
        <s v="Васильев Евгений Сергеевич"/>
        <s v="Ковалева Екатерина Михайловна"/>
        <s v="Сергеев Николай Игоревич"/>
        <s v="Романов Денис Олегович"/>
        <s v="Козлов Дмитрий Романович"/>
        <s v="Куликов Николай Кириллович"/>
        <s v="Макарова Виктория Максимовна"/>
        <s v="Орлова Алина Павловна"/>
        <s v="Соколова Надежда Денисовна"/>
        <s v="Степанов Илья Владимирович"/>
        <s v="Соколов Владимир Иванович"/>
        <s v="Андреев Роман Денисович"/>
        <s v="Куликова Татьяна Владимировна"/>
        <s v="Егорова Светлана Владимировна"/>
        <s v="Козлов Кирилл Олегович"/>
        <s v="Смирнова Надежда Владимировна"/>
        <s v="Зайцев Павел Николаевич"/>
        <s v="Степанова Людмила Антоновна"/>
        <s v="Кузнецова Татьяна Юрьевна"/>
        <s v="Андреев Игорь Борисович"/>
        <s v="Ковалева Ирина Павловна"/>
        <s v="Павлова Надежда Дмитриевна"/>
        <s v="Иванов Евгений Андреевич"/>
        <s v="Комаров Владимир Евгеньевич"/>
        <s v="Орлова Людмила Максимовна"/>
        <s v="Морозов Виктор Александрович"/>
        <s v="Новиков Павел Алексеевич"/>
        <s v="Соколова Анастасия Игоревна"/>
        <s v="Андреева Екатерина Денисовна"/>
        <s v="Соловьев Евгений Денисович"/>
        <s v="Волкова Юлия Евгеньевна"/>
        <s v="Соловьева Виктория Максимовна"/>
        <s v="Семенова Алина Юрьевна"/>
        <s v="Макарова Мария Андреевна"/>
        <s v="Федоров Никита Игоревич"/>
        <s v="Павлова Дарья Александровна"/>
        <s v="Алексеева Валерия Павловна"/>
        <s v="Егорова Анна Ильинична"/>
        <s v="Егорова Юлия Александровна"/>
        <s v="Егоров Артем Кириллович"/>
        <s v="Зайцева Марина Максимовна"/>
        <s v="Николаев Денис Павлович"/>
        <s v="Новиков Андрей Борисович"/>
        <s v="Сидорова Ольга Ивановна"/>
        <s v="Алексеева Мария Игоревна"/>
        <s v="Лебедев Евгений Иванович"/>
        <s v="Романов Сергей Михайлович"/>
        <s v="Ковалев Иван Викторович"/>
        <s v="Григорьев Виктор Игоревич"/>
        <s v="Новиков Дмитрий Олегович"/>
        <s v="Попова Валерия Алексеевна"/>
        <s v="Николаев Андрей Артемович"/>
        <s v="Новикова Анастасия Андреевна"/>
        <s v="Петров Антон Артемович"/>
        <s v="Яковлев Александр Федорович"/>
        <s v="Воробьева Юлия Евгеньевна"/>
        <s v="Николаев Денис Кириллович"/>
        <s v="Федоров Максим Михайлович"/>
        <s v="Михайлов Илья Денисович"/>
      </sharedItems>
    </cacheField>
    <cacheField name="Дата сделки" numFmtId="164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6" base="2">
        <rangePr groupBy="days" startDate="2026-01-01T00:00:00" endDate="2026-09-01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Сумма сделки" numFmtId="3">
      <sharedItems containsSemiMixedTypes="0" containsString="0" containsNumber="1" containsInteger="1" minValue="5200" maxValue="70469"/>
    </cacheField>
    <cacheField name="N" numFmtId="0" formula=" 1" databaseField="0"/>
    <cacheField name="V" numFmtId="0" formula=" 1" databaseField="0"/>
    <cacheField name="Месяцы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а Солнцева" refreshedDate="46299.975268634262" createdVersion="7" refreshedVersion="7" minRefreshableVersion="3" recordCount="237" xr:uid="{9DD0797F-E28F-487F-9E6D-DE6AFC0AD778}">
  <cacheSource type="worksheet">
    <worksheetSource ref="I1:M238" sheet="сводная таблица"/>
  </cacheSource>
  <cacheFields count="5">
    <cacheField name="Клиент" numFmtId="0">
      <sharedItems/>
    </cacheField>
    <cacheField name="Вариация" numFmtId="10">
      <sharedItems containsSemiMixedTypes="0" containsString="0" containsNumber="1" minValue="1.296693056893824E-2" maxValue="0.86823384495592304"/>
    </cacheField>
    <cacheField name="ABC" numFmtId="0">
      <sharedItems count="3">
        <s v="A"/>
        <s v="B"/>
        <s v="C"/>
      </sharedItems>
    </cacheField>
    <cacheField name="XYZ" numFmtId="0">
      <sharedItems count="3">
        <s v="X"/>
        <s v="Y"/>
        <s v="Z"/>
      </sharedItems>
    </cacheField>
    <cacheField name="Сумма" numFmtId="0">
      <sharedItems containsSemiMixedTypes="0" containsString="0" containsNumber="1" containsInteger="1" minValue="82508" maxValue="22257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5">
  <r>
    <x v="0"/>
    <x v="0"/>
    <x v="0"/>
    <n v="38987"/>
  </r>
  <r>
    <x v="1"/>
    <x v="1"/>
    <x v="0"/>
    <n v="12029"/>
  </r>
  <r>
    <x v="2"/>
    <x v="2"/>
    <x v="0"/>
    <n v="17042"/>
  </r>
  <r>
    <x v="3"/>
    <x v="3"/>
    <x v="0"/>
    <n v="15584"/>
  </r>
  <r>
    <x v="4"/>
    <x v="4"/>
    <x v="0"/>
    <n v="17202"/>
  </r>
  <r>
    <x v="4"/>
    <x v="5"/>
    <x v="0"/>
    <n v="39374"/>
  </r>
  <r>
    <x v="4"/>
    <x v="5"/>
    <x v="0"/>
    <n v="45396"/>
  </r>
  <r>
    <x v="5"/>
    <x v="6"/>
    <x v="0"/>
    <n v="41529"/>
  </r>
  <r>
    <x v="5"/>
    <x v="7"/>
    <x v="0"/>
    <n v="37982"/>
  </r>
  <r>
    <x v="5"/>
    <x v="8"/>
    <x v="0"/>
    <n v="34064"/>
  </r>
  <r>
    <x v="0"/>
    <x v="9"/>
    <x v="1"/>
    <n v="51016"/>
  </r>
  <r>
    <x v="6"/>
    <x v="10"/>
    <x v="1"/>
    <n v="15263"/>
  </r>
  <r>
    <x v="1"/>
    <x v="11"/>
    <x v="1"/>
    <n v="15008"/>
  </r>
  <r>
    <x v="3"/>
    <x v="12"/>
    <x v="1"/>
    <n v="15410"/>
  </r>
  <r>
    <x v="7"/>
    <x v="13"/>
    <x v="1"/>
    <n v="44223"/>
  </r>
  <r>
    <x v="7"/>
    <x v="14"/>
    <x v="1"/>
    <n v="18021"/>
  </r>
  <r>
    <x v="7"/>
    <x v="15"/>
    <x v="1"/>
    <n v="24319"/>
  </r>
  <r>
    <x v="4"/>
    <x v="16"/>
    <x v="1"/>
    <n v="31217"/>
  </r>
  <r>
    <x v="5"/>
    <x v="9"/>
    <x v="1"/>
    <n v="44858"/>
  </r>
  <r>
    <x v="5"/>
    <x v="17"/>
    <x v="1"/>
    <n v="39833"/>
  </r>
  <r>
    <x v="5"/>
    <x v="18"/>
    <x v="1"/>
    <n v="34194"/>
  </r>
  <r>
    <x v="5"/>
    <x v="8"/>
    <x v="1"/>
    <n v="40847"/>
  </r>
  <r>
    <x v="5"/>
    <x v="19"/>
    <x v="1"/>
    <n v="42892"/>
  </r>
  <r>
    <x v="3"/>
    <x v="20"/>
    <x v="2"/>
    <n v="18138"/>
  </r>
  <r>
    <x v="8"/>
    <x v="21"/>
    <x v="2"/>
    <n v="15034"/>
  </r>
  <r>
    <x v="4"/>
    <x v="22"/>
    <x v="2"/>
    <n v="28205"/>
  </r>
  <r>
    <x v="4"/>
    <x v="23"/>
    <x v="2"/>
    <n v="33501"/>
  </r>
  <r>
    <x v="5"/>
    <x v="24"/>
    <x v="2"/>
    <n v="39028"/>
  </r>
  <r>
    <x v="5"/>
    <x v="25"/>
    <x v="2"/>
    <n v="52654"/>
  </r>
  <r>
    <x v="0"/>
    <x v="26"/>
    <x v="3"/>
    <n v="33194"/>
  </r>
  <r>
    <x v="9"/>
    <x v="27"/>
    <x v="3"/>
    <n v="12366"/>
  </r>
  <r>
    <x v="10"/>
    <x v="28"/>
    <x v="3"/>
    <n v="10744"/>
  </r>
  <r>
    <x v="2"/>
    <x v="29"/>
    <x v="3"/>
    <n v="35946"/>
  </r>
  <r>
    <x v="2"/>
    <x v="30"/>
    <x v="3"/>
    <n v="18892"/>
  </r>
  <r>
    <x v="3"/>
    <x v="31"/>
    <x v="3"/>
    <n v="16650"/>
  </r>
  <r>
    <x v="8"/>
    <x v="32"/>
    <x v="3"/>
    <n v="18159"/>
  </r>
  <r>
    <x v="7"/>
    <x v="33"/>
    <x v="3"/>
    <n v="31494"/>
  </r>
  <r>
    <x v="7"/>
    <x v="34"/>
    <x v="3"/>
    <n v="25605"/>
  </r>
  <r>
    <x v="7"/>
    <x v="35"/>
    <x v="3"/>
    <n v="12884"/>
  </r>
  <r>
    <x v="7"/>
    <x v="36"/>
    <x v="3"/>
    <n v="26481"/>
  </r>
  <r>
    <x v="4"/>
    <x v="37"/>
    <x v="3"/>
    <n v="24458"/>
  </r>
  <r>
    <x v="4"/>
    <x v="38"/>
    <x v="3"/>
    <n v="34032"/>
  </r>
  <r>
    <x v="5"/>
    <x v="39"/>
    <x v="3"/>
    <n v="49752"/>
  </r>
  <r>
    <x v="5"/>
    <x v="40"/>
    <x v="3"/>
    <n v="39007"/>
  </r>
  <r>
    <x v="5"/>
    <x v="41"/>
    <x v="3"/>
    <n v="32378"/>
  </r>
  <r>
    <x v="0"/>
    <x v="42"/>
    <x v="4"/>
    <n v="27767"/>
  </r>
  <r>
    <x v="0"/>
    <x v="43"/>
    <x v="4"/>
    <n v="32050"/>
  </r>
  <r>
    <x v="9"/>
    <x v="44"/>
    <x v="4"/>
    <n v="11407"/>
  </r>
  <r>
    <x v="11"/>
    <x v="45"/>
    <x v="4"/>
    <n v="10724"/>
  </r>
  <r>
    <x v="11"/>
    <x v="46"/>
    <x v="4"/>
    <n v="5200"/>
  </r>
  <r>
    <x v="3"/>
    <x v="47"/>
    <x v="4"/>
    <n v="18305"/>
  </r>
  <r>
    <x v="8"/>
    <x v="48"/>
    <x v="4"/>
    <n v="5446"/>
  </r>
  <r>
    <x v="4"/>
    <x v="49"/>
    <x v="4"/>
    <n v="30025"/>
  </r>
  <r>
    <x v="4"/>
    <x v="50"/>
    <x v="4"/>
    <n v="38194"/>
  </r>
  <r>
    <x v="4"/>
    <x v="51"/>
    <x v="4"/>
    <n v="29359"/>
  </r>
  <r>
    <x v="4"/>
    <x v="52"/>
    <x v="4"/>
    <n v="49625"/>
  </r>
  <r>
    <x v="5"/>
    <x v="53"/>
    <x v="4"/>
    <n v="33140"/>
  </r>
  <r>
    <x v="12"/>
    <x v="54"/>
    <x v="5"/>
    <n v="13350"/>
  </r>
  <r>
    <x v="0"/>
    <x v="55"/>
    <x v="5"/>
    <n v="34207"/>
  </r>
  <r>
    <x v="6"/>
    <x v="56"/>
    <x v="5"/>
    <n v="15026"/>
  </r>
  <r>
    <x v="13"/>
    <x v="57"/>
    <x v="5"/>
    <n v="5200"/>
  </r>
  <r>
    <x v="7"/>
    <x v="58"/>
    <x v="5"/>
    <n v="23304"/>
  </r>
  <r>
    <x v="4"/>
    <x v="59"/>
    <x v="5"/>
    <n v="41881"/>
  </r>
  <r>
    <x v="4"/>
    <x v="60"/>
    <x v="5"/>
    <n v="45126"/>
  </r>
  <r>
    <x v="5"/>
    <x v="53"/>
    <x v="5"/>
    <n v="38002"/>
  </r>
  <r>
    <x v="5"/>
    <x v="61"/>
    <x v="5"/>
    <n v="41017"/>
  </r>
  <r>
    <x v="5"/>
    <x v="62"/>
    <x v="5"/>
    <n v="56085"/>
  </r>
  <r>
    <x v="5"/>
    <x v="63"/>
    <x v="5"/>
    <n v="39838"/>
  </r>
  <r>
    <x v="12"/>
    <x v="64"/>
    <x v="6"/>
    <n v="26120"/>
  </r>
  <r>
    <x v="2"/>
    <x v="65"/>
    <x v="6"/>
    <n v="20109"/>
  </r>
  <r>
    <x v="14"/>
    <x v="66"/>
    <x v="6"/>
    <n v="5200"/>
  </r>
  <r>
    <x v="5"/>
    <x v="67"/>
    <x v="6"/>
    <n v="44676"/>
  </r>
  <r>
    <x v="5"/>
    <x v="68"/>
    <x v="6"/>
    <n v="33400"/>
  </r>
  <r>
    <x v="9"/>
    <x v="69"/>
    <x v="7"/>
    <n v="12952"/>
  </r>
  <r>
    <x v="9"/>
    <x v="70"/>
    <x v="7"/>
    <n v="22761"/>
  </r>
  <r>
    <x v="1"/>
    <x v="71"/>
    <x v="7"/>
    <n v="12261"/>
  </r>
  <r>
    <x v="3"/>
    <x v="72"/>
    <x v="7"/>
    <n v="21949"/>
  </r>
  <r>
    <x v="8"/>
    <x v="73"/>
    <x v="7"/>
    <n v="18245"/>
  </r>
  <r>
    <x v="4"/>
    <x v="74"/>
    <x v="7"/>
    <n v="48793"/>
  </r>
  <r>
    <x v="4"/>
    <x v="50"/>
    <x v="7"/>
    <n v="37608"/>
  </r>
  <r>
    <x v="1"/>
    <x v="75"/>
    <x v="8"/>
    <n v="8930"/>
  </r>
  <r>
    <x v="3"/>
    <x v="76"/>
    <x v="8"/>
    <n v="11509"/>
  </r>
  <r>
    <x v="4"/>
    <x v="77"/>
    <x v="8"/>
    <n v="41413"/>
  </r>
  <r>
    <x v="4"/>
    <x v="78"/>
    <x v="8"/>
    <n v="34006"/>
  </r>
  <r>
    <x v="5"/>
    <x v="7"/>
    <x v="8"/>
    <n v="47579"/>
  </r>
  <r>
    <x v="5"/>
    <x v="79"/>
    <x v="8"/>
    <n v="45136"/>
  </r>
  <r>
    <x v="5"/>
    <x v="23"/>
    <x v="8"/>
    <n v="37608"/>
  </r>
  <r>
    <x v="5"/>
    <x v="19"/>
    <x v="8"/>
    <n v="41195"/>
  </r>
  <r>
    <x v="5"/>
    <x v="24"/>
    <x v="8"/>
    <n v="37600"/>
  </r>
  <r>
    <x v="5"/>
    <x v="80"/>
    <x v="8"/>
    <n v="52275"/>
  </r>
  <r>
    <x v="12"/>
    <x v="81"/>
    <x v="9"/>
    <n v="12263"/>
  </r>
  <r>
    <x v="0"/>
    <x v="82"/>
    <x v="9"/>
    <n v="14022"/>
  </r>
  <r>
    <x v="10"/>
    <x v="83"/>
    <x v="9"/>
    <n v="16024"/>
  </r>
  <r>
    <x v="2"/>
    <x v="84"/>
    <x v="9"/>
    <n v="6984"/>
  </r>
  <r>
    <x v="13"/>
    <x v="85"/>
    <x v="9"/>
    <n v="6654"/>
  </r>
  <r>
    <x v="4"/>
    <x v="86"/>
    <x v="9"/>
    <n v="41589"/>
  </r>
  <r>
    <x v="4"/>
    <x v="43"/>
    <x v="9"/>
    <n v="43432"/>
  </r>
  <r>
    <x v="4"/>
    <x v="38"/>
    <x v="9"/>
    <n v="26590"/>
  </r>
  <r>
    <x v="5"/>
    <x v="87"/>
    <x v="9"/>
    <n v="39139"/>
  </r>
  <r>
    <x v="5"/>
    <x v="88"/>
    <x v="9"/>
    <n v="51517"/>
  </r>
  <r>
    <x v="5"/>
    <x v="89"/>
    <x v="9"/>
    <n v="45933"/>
  </r>
  <r>
    <x v="5"/>
    <x v="62"/>
    <x v="9"/>
    <n v="37204"/>
  </r>
  <r>
    <x v="5"/>
    <x v="90"/>
    <x v="9"/>
    <n v="39460"/>
  </r>
  <r>
    <x v="5"/>
    <x v="41"/>
    <x v="9"/>
    <n v="40583"/>
  </r>
  <r>
    <x v="0"/>
    <x v="24"/>
    <x v="10"/>
    <n v="52698"/>
  </r>
  <r>
    <x v="10"/>
    <x v="91"/>
    <x v="10"/>
    <n v="19240"/>
  </r>
  <r>
    <x v="8"/>
    <x v="92"/>
    <x v="10"/>
    <n v="9407"/>
  </r>
  <r>
    <x v="7"/>
    <x v="93"/>
    <x v="10"/>
    <n v="26953"/>
  </r>
  <r>
    <x v="4"/>
    <x v="94"/>
    <x v="10"/>
    <n v="53279"/>
  </r>
  <r>
    <x v="4"/>
    <x v="60"/>
    <x v="10"/>
    <n v="35777"/>
  </r>
  <r>
    <x v="5"/>
    <x v="95"/>
    <x v="10"/>
    <n v="59650"/>
  </r>
  <r>
    <x v="5"/>
    <x v="24"/>
    <x v="10"/>
    <n v="34160"/>
  </r>
  <r>
    <x v="5"/>
    <x v="96"/>
    <x v="10"/>
    <n v="35110"/>
  </r>
  <r>
    <x v="5"/>
    <x v="80"/>
    <x v="10"/>
    <n v="48141"/>
  </r>
  <r>
    <x v="0"/>
    <x v="97"/>
    <x v="11"/>
    <n v="38031"/>
  </r>
  <r>
    <x v="0"/>
    <x v="98"/>
    <x v="11"/>
    <n v="29217"/>
  </r>
  <r>
    <x v="0"/>
    <x v="99"/>
    <x v="11"/>
    <n v="40812"/>
  </r>
  <r>
    <x v="9"/>
    <x v="100"/>
    <x v="11"/>
    <n v="15638"/>
  </r>
  <r>
    <x v="6"/>
    <x v="101"/>
    <x v="11"/>
    <n v="15419"/>
  </r>
  <r>
    <x v="6"/>
    <x v="102"/>
    <x v="11"/>
    <n v="14732"/>
  </r>
  <r>
    <x v="10"/>
    <x v="103"/>
    <x v="11"/>
    <n v="16299"/>
  </r>
  <r>
    <x v="3"/>
    <x v="104"/>
    <x v="11"/>
    <n v="36368"/>
  </r>
  <r>
    <x v="7"/>
    <x v="105"/>
    <x v="11"/>
    <n v="18797"/>
  </r>
  <r>
    <x v="7"/>
    <x v="106"/>
    <x v="11"/>
    <n v="26829"/>
  </r>
  <r>
    <x v="4"/>
    <x v="86"/>
    <x v="11"/>
    <n v="36871"/>
  </r>
  <r>
    <x v="4"/>
    <x v="77"/>
    <x v="11"/>
    <n v="26662"/>
  </r>
  <r>
    <x v="4"/>
    <x v="107"/>
    <x v="11"/>
    <n v="30683"/>
  </r>
  <r>
    <x v="5"/>
    <x v="108"/>
    <x v="11"/>
    <n v="30067"/>
  </r>
  <r>
    <x v="5"/>
    <x v="109"/>
    <x v="11"/>
    <n v="33872"/>
  </r>
  <r>
    <x v="5"/>
    <x v="62"/>
    <x v="11"/>
    <n v="46700"/>
  </r>
  <r>
    <x v="5"/>
    <x v="95"/>
    <x v="11"/>
    <n v="50902"/>
  </r>
  <r>
    <x v="5"/>
    <x v="99"/>
    <x v="11"/>
    <n v="32804"/>
  </r>
  <r>
    <x v="12"/>
    <x v="110"/>
    <x v="12"/>
    <n v="13915"/>
  </r>
  <r>
    <x v="2"/>
    <x v="111"/>
    <x v="12"/>
    <n v="15803"/>
  </r>
  <r>
    <x v="3"/>
    <x v="112"/>
    <x v="12"/>
    <n v="22431"/>
  </r>
  <r>
    <x v="3"/>
    <x v="113"/>
    <x v="12"/>
    <n v="19322"/>
  </r>
  <r>
    <x v="7"/>
    <x v="114"/>
    <x v="12"/>
    <n v="18746"/>
  </r>
  <r>
    <x v="7"/>
    <x v="115"/>
    <x v="12"/>
    <n v="30946"/>
  </r>
  <r>
    <x v="4"/>
    <x v="107"/>
    <x v="12"/>
    <n v="32344"/>
  </r>
  <r>
    <x v="5"/>
    <x v="40"/>
    <x v="12"/>
    <n v="28847"/>
  </r>
  <r>
    <x v="0"/>
    <x v="116"/>
    <x v="13"/>
    <n v="31693"/>
  </r>
  <r>
    <x v="0"/>
    <x v="117"/>
    <x v="13"/>
    <n v="43815"/>
  </r>
  <r>
    <x v="3"/>
    <x v="118"/>
    <x v="13"/>
    <n v="20980"/>
  </r>
  <r>
    <x v="3"/>
    <x v="119"/>
    <x v="13"/>
    <n v="30661"/>
  </r>
  <r>
    <x v="4"/>
    <x v="120"/>
    <x v="13"/>
    <n v="54963"/>
  </r>
  <r>
    <x v="4"/>
    <x v="121"/>
    <x v="13"/>
    <n v="47307"/>
  </r>
  <r>
    <x v="4"/>
    <x v="122"/>
    <x v="13"/>
    <n v="28480"/>
  </r>
  <r>
    <x v="5"/>
    <x v="99"/>
    <x v="13"/>
    <n v="32252"/>
  </r>
  <r>
    <x v="12"/>
    <x v="123"/>
    <x v="14"/>
    <n v="22676"/>
  </r>
  <r>
    <x v="1"/>
    <x v="124"/>
    <x v="14"/>
    <n v="10430"/>
  </r>
  <r>
    <x v="3"/>
    <x v="125"/>
    <x v="14"/>
    <n v="19349"/>
  </r>
  <r>
    <x v="7"/>
    <x v="126"/>
    <x v="14"/>
    <n v="52208"/>
  </r>
  <r>
    <x v="15"/>
    <x v="127"/>
    <x v="14"/>
    <n v="13162"/>
  </r>
  <r>
    <x v="5"/>
    <x v="128"/>
    <x v="14"/>
    <n v="28891"/>
  </r>
  <r>
    <x v="5"/>
    <x v="6"/>
    <x v="14"/>
    <n v="31588"/>
  </r>
  <r>
    <x v="5"/>
    <x v="129"/>
    <x v="14"/>
    <n v="13059"/>
  </r>
  <r>
    <x v="5"/>
    <x v="62"/>
    <x v="14"/>
    <n v="54929"/>
  </r>
  <r>
    <x v="5"/>
    <x v="130"/>
    <x v="14"/>
    <n v="51220"/>
  </r>
  <r>
    <x v="1"/>
    <x v="131"/>
    <x v="15"/>
    <n v="14536"/>
  </r>
  <r>
    <x v="11"/>
    <x v="132"/>
    <x v="15"/>
    <n v="9726"/>
  </r>
  <r>
    <x v="4"/>
    <x v="133"/>
    <x v="15"/>
    <n v="27585"/>
  </r>
  <r>
    <x v="5"/>
    <x v="18"/>
    <x v="15"/>
    <n v="31254"/>
  </r>
  <r>
    <x v="5"/>
    <x v="90"/>
    <x v="15"/>
    <n v="44693"/>
  </r>
  <r>
    <x v="5"/>
    <x v="25"/>
    <x v="15"/>
    <n v="58256"/>
  </r>
  <r>
    <x v="0"/>
    <x v="134"/>
    <x v="16"/>
    <n v="27852"/>
  </r>
  <r>
    <x v="0"/>
    <x v="135"/>
    <x v="16"/>
    <n v="38418"/>
  </r>
  <r>
    <x v="0"/>
    <x v="136"/>
    <x v="16"/>
    <n v="10623"/>
  </r>
  <r>
    <x v="6"/>
    <x v="137"/>
    <x v="16"/>
    <n v="15350"/>
  </r>
  <r>
    <x v="10"/>
    <x v="138"/>
    <x v="16"/>
    <n v="14789"/>
  </r>
  <r>
    <x v="11"/>
    <x v="139"/>
    <x v="16"/>
    <n v="14619"/>
  </r>
  <r>
    <x v="3"/>
    <x v="140"/>
    <x v="16"/>
    <n v="5200"/>
  </r>
  <r>
    <x v="3"/>
    <x v="141"/>
    <x v="16"/>
    <n v="16120"/>
  </r>
  <r>
    <x v="4"/>
    <x v="142"/>
    <x v="16"/>
    <n v="31764"/>
  </r>
  <r>
    <x v="4"/>
    <x v="143"/>
    <x v="16"/>
    <n v="34538"/>
  </r>
  <r>
    <x v="5"/>
    <x v="144"/>
    <x v="16"/>
    <n v="33757"/>
  </r>
  <r>
    <x v="0"/>
    <x v="145"/>
    <x v="17"/>
    <n v="37429"/>
  </r>
  <r>
    <x v="6"/>
    <x v="146"/>
    <x v="17"/>
    <n v="12990"/>
  </r>
  <r>
    <x v="13"/>
    <x v="147"/>
    <x v="17"/>
    <n v="14007"/>
  </r>
  <r>
    <x v="3"/>
    <x v="148"/>
    <x v="17"/>
    <n v="19227"/>
  </r>
  <r>
    <x v="7"/>
    <x v="149"/>
    <x v="17"/>
    <n v="28570"/>
  </r>
  <r>
    <x v="4"/>
    <x v="78"/>
    <x v="17"/>
    <n v="32544"/>
  </r>
  <r>
    <x v="5"/>
    <x v="128"/>
    <x v="17"/>
    <n v="43578"/>
  </r>
  <r>
    <x v="5"/>
    <x v="150"/>
    <x v="17"/>
    <n v="41142"/>
  </r>
  <r>
    <x v="5"/>
    <x v="109"/>
    <x v="17"/>
    <n v="37256"/>
  </r>
  <r>
    <x v="5"/>
    <x v="18"/>
    <x v="17"/>
    <n v="33342"/>
  </r>
  <r>
    <x v="5"/>
    <x v="151"/>
    <x v="17"/>
    <n v="46861"/>
  </r>
  <r>
    <x v="5"/>
    <x v="152"/>
    <x v="17"/>
    <n v="35501"/>
  </r>
  <r>
    <x v="5"/>
    <x v="68"/>
    <x v="17"/>
    <n v="25900"/>
  </r>
  <r>
    <x v="16"/>
    <x v="153"/>
    <x v="18"/>
    <n v="14005"/>
  </r>
  <r>
    <x v="0"/>
    <x v="154"/>
    <x v="18"/>
    <n v="36061"/>
  </r>
  <r>
    <x v="0"/>
    <x v="155"/>
    <x v="18"/>
    <n v="15555"/>
  </r>
  <r>
    <x v="7"/>
    <x v="156"/>
    <x v="18"/>
    <n v="20299"/>
  </r>
  <r>
    <x v="4"/>
    <x v="157"/>
    <x v="18"/>
    <n v="41894"/>
  </r>
  <r>
    <x v="5"/>
    <x v="108"/>
    <x v="18"/>
    <n v="31547"/>
  </r>
  <r>
    <x v="5"/>
    <x v="79"/>
    <x v="18"/>
    <n v="33786"/>
  </r>
  <r>
    <x v="5"/>
    <x v="24"/>
    <x v="18"/>
    <n v="47396"/>
  </r>
  <r>
    <x v="12"/>
    <x v="158"/>
    <x v="19"/>
    <n v="13476"/>
  </r>
  <r>
    <x v="6"/>
    <x v="159"/>
    <x v="19"/>
    <n v="28768"/>
  </r>
  <r>
    <x v="4"/>
    <x v="51"/>
    <x v="19"/>
    <n v="29082"/>
  </r>
  <r>
    <x v="4"/>
    <x v="78"/>
    <x v="19"/>
    <n v="45492"/>
  </r>
  <r>
    <x v="4"/>
    <x v="160"/>
    <x v="19"/>
    <n v="26958"/>
  </r>
  <r>
    <x v="5"/>
    <x v="9"/>
    <x v="19"/>
    <n v="58975"/>
  </r>
  <r>
    <x v="5"/>
    <x v="152"/>
    <x v="19"/>
    <n v="50742"/>
  </r>
  <r>
    <x v="5"/>
    <x v="144"/>
    <x v="19"/>
    <n v="44337"/>
  </r>
  <r>
    <x v="6"/>
    <x v="161"/>
    <x v="20"/>
    <n v="15724"/>
  </r>
  <r>
    <x v="10"/>
    <x v="162"/>
    <x v="20"/>
    <n v="14243"/>
  </r>
  <r>
    <x v="7"/>
    <x v="163"/>
    <x v="20"/>
    <n v="24077"/>
  </r>
  <r>
    <x v="4"/>
    <x v="164"/>
    <x v="20"/>
    <n v="29021"/>
  </r>
  <r>
    <x v="5"/>
    <x v="22"/>
    <x v="20"/>
    <n v="39119"/>
  </r>
  <r>
    <x v="5"/>
    <x v="9"/>
    <x v="20"/>
    <n v="52412"/>
  </r>
  <r>
    <x v="5"/>
    <x v="165"/>
    <x v="20"/>
    <n v="45193"/>
  </r>
  <r>
    <x v="5"/>
    <x v="151"/>
    <x v="20"/>
    <n v="46333"/>
  </r>
  <r>
    <x v="12"/>
    <x v="166"/>
    <x v="21"/>
    <n v="17299"/>
  </r>
  <r>
    <x v="0"/>
    <x v="167"/>
    <x v="21"/>
    <n v="20004"/>
  </r>
  <r>
    <x v="8"/>
    <x v="168"/>
    <x v="21"/>
    <n v="12526"/>
  </r>
  <r>
    <x v="7"/>
    <x v="164"/>
    <x v="21"/>
    <n v="27768"/>
  </r>
  <r>
    <x v="4"/>
    <x v="169"/>
    <x v="21"/>
    <n v="41792"/>
  </r>
  <r>
    <x v="4"/>
    <x v="77"/>
    <x v="21"/>
    <n v="28133"/>
  </r>
  <r>
    <x v="4"/>
    <x v="5"/>
    <x v="21"/>
    <n v="34983"/>
  </r>
  <r>
    <x v="5"/>
    <x v="88"/>
    <x v="21"/>
    <n v="36221"/>
  </r>
  <r>
    <x v="5"/>
    <x v="130"/>
    <x v="21"/>
    <n v="36502"/>
  </r>
  <r>
    <x v="5"/>
    <x v="152"/>
    <x v="21"/>
    <n v="42970"/>
  </r>
  <r>
    <x v="5"/>
    <x v="144"/>
    <x v="21"/>
    <n v="34432"/>
  </r>
  <r>
    <x v="5"/>
    <x v="41"/>
    <x v="21"/>
    <n v="50782"/>
  </r>
  <r>
    <x v="5"/>
    <x v="41"/>
    <x v="21"/>
    <n v="32276"/>
  </r>
  <r>
    <x v="5"/>
    <x v="41"/>
    <x v="21"/>
    <n v="43054"/>
  </r>
  <r>
    <x v="5"/>
    <x v="80"/>
    <x v="21"/>
    <n v="34907"/>
  </r>
  <r>
    <x v="12"/>
    <x v="170"/>
    <x v="22"/>
    <n v="14568"/>
  </r>
  <r>
    <x v="0"/>
    <x v="171"/>
    <x v="22"/>
    <n v="27824"/>
  </r>
  <r>
    <x v="0"/>
    <x v="172"/>
    <x v="22"/>
    <n v="32404"/>
  </r>
  <r>
    <x v="6"/>
    <x v="173"/>
    <x v="22"/>
    <n v="32816"/>
  </r>
  <r>
    <x v="2"/>
    <x v="174"/>
    <x v="22"/>
    <n v="35465"/>
  </r>
  <r>
    <x v="4"/>
    <x v="175"/>
    <x v="22"/>
    <n v="46797"/>
  </r>
  <r>
    <x v="5"/>
    <x v="176"/>
    <x v="22"/>
    <n v="41999"/>
  </r>
  <r>
    <x v="5"/>
    <x v="62"/>
    <x v="22"/>
    <n v="34146"/>
  </r>
  <r>
    <x v="5"/>
    <x v="63"/>
    <x v="22"/>
    <n v="27774"/>
  </r>
  <r>
    <x v="0"/>
    <x v="177"/>
    <x v="23"/>
    <n v="37231"/>
  </r>
  <r>
    <x v="11"/>
    <x v="178"/>
    <x v="23"/>
    <n v="12473"/>
  </r>
  <r>
    <x v="2"/>
    <x v="179"/>
    <x v="23"/>
    <n v="17478"/>
  </r>
  <r>
    <x v="2"/>
    <x v="180"/>
    <x v="23"/>
    <n v="16479"/>
  </r>
  <r>
    <x v="7"/>
    <x v="181"/>
    <x v="23"/>
    <n v="23526"/>
  </r>
  <r>
    <x v="4"/>
    <x v="87"/>
    <x v="23"/>
    <n v="27075"/>
  </r>
  <r>
    <x v="4"/>
    <x v="182"/>
    <x v="23"/>
    <n v="34880"/>
  </r>
  <r>
    <x v="4"/>
    <x v="160"/>
    <x v="23"/>
    <n v="41341"/>
  </r>
  <r>
    <x v="5"/>
    <x v="7"/>
    <x v="23"/>
    <n v="43136"/>
  </r>
  <r>
    <x v="5"/>
    <x v="88"/>
    <x v="23"/>
    <n v="34118"/>
  </r>
  <r>
    <x v="5"/>
    <x v="89"/>
    <x v="23"/>
    <n v="46231"/>
  </r>
  <r>
    <x v="5"/>
    <x v="183"/>
    <x v="23"/>
    <n v="36094"/>
  </r>
  <r>
    <x v="5"/>
    <x v="18"/>
    <x v="23"/>
    <n v="42823"/>
  </r>
  <r>
    <x v="0"/>
    <x v="184"/>
    <x v="24"/>
    <n v="35365"/>
  </r>
  <r>
    <x v="11"/>
    <x v="185"/>
    <x v="24"/>
    <n v="14025"/>
  </r>
  <r>
    <x v="2"/>
    <x v="186"/>
    <x v="24"/>
    <n v="37588"/>
  </r>
  <r>
    <x v="17"/>
    <x v="187"/>
    <x v="24"/>
    <n v="11893"/>
  </r>
  <r>
    <x v="7"/>
    <x v="33"/>
    <x v="24"/>
    <n v="21453"/>
  </r>
  <r>
    <x v="4"/>
    <x v="188"/>
    <x v="24"/>
    <n v="45702"/>
  </r>
  <r>
    <x v="4"/>
    <x v="63"/>
    <x v="24"/>
    <n v="35876"/>
  </r>
  <r>
    <x v="5"/>
    <x v="6"/>
    <x v="24"/>
    <n v="50225"/>
  </r>
  <r>
    <x v="5"/>
    <x v="87"/>
    <x v="24"/>
    <n v="42582"/>
  </r>
  <r>
    <x v="5"/>
    <x v="17"/>
    <x v="24"/>
    <n v="47312"/>
  </r>
  <r>
    <x v="5"/>
    <x v="67"/>
    <x v="24"/>
    <n v="30369"/>
  </r>
  <r>
    <x v="5"/>
    <x v="40"/>
    <x v="24"/>
    <n v="38870"/>
  </r>
  <r>
    <x v="0"/>
    <x v="189"/>
    <x v="25"/>
    <n v="40342"/>
  </r>
  <r>
    <x v="0"/>
    <x v="190"/>
    <x v="25"/>
    <n v="41966"/>
  </r>
  <r>
    <x v="2"/>
    <x v="191"/>
    <x v="25"/>
    <n v="15524"/>
  </r>
  <r>
    <x v="2"/>
    <x v="192"/>
    <x v="25"/>
    <n v="30300"/>
  </r>
  <r>
    <x v="2"/>
    <x v="193"/>
    <x v="25"/>
    <n v="13675"/>
  </r>
  <r>
    <x v="3"/>
    <x v="194"/>
    <x v="25"/>
    <n v="7092"/>
  </r>
  <r>
    <x v="17"/>
    <x v="195"/>
    <x v="25"/>
    <n v="13615"/>
  </r>
  <r>
    <x v="8"/>
    <x v="196"/>
    <x v="25"/>
    <n v="16772"/>
  </r>
  <r>
    <x v="7"/>
    <x v="197"/>
    <x v="25"/>
    <n v="25193"/>
  </r>
  <r>
    <x v="7"/>
    <x v="198"/>
    <x v="25"/>
    <n v="23983"/>
  </r>
  <r>
    <x v="7"/>
    <x v="199"/>
    <x v="25"/>
    <n v="20512"/>
  </r>
  <r>
    <x v="4"/>
    <x v="200"/>
    <x v="25"/>
    <n v="36860"/>
  </r>
  <r>
    <x v="5"/>
    <x v="176"/>
    <x v="25"/>
    <n v="35325"/>
  </r>
  <r>
    <x v="5"/>
    <x v="108"/>
    <x v="25"/>
    <n v="39637"/>
  </r>
  <r>
    <x v="5"/>
    <x v="39"/>
    <x v="25"/>
    <n v="32695"/>
  </r>
  <r>
    <x v="5"/>
    <x v="39"/>
    <x v="25"/>
    <n v="32647"/>
  </r>
  <r>
    <x v="5"/>
    <x v="183"/>
    <x v="25"/>
    <n v="44467"/>
  </r>
  <r>
    <x v="5"/>
    <x v="151"/>
    <x v="25"/>
    <n v="63958"/>
  </r>
  <r>
    <x v="5"/>
    <x v="144"/>
    <x v="25"/>
    <n v="42040"/>
  </r>
  <r>
    <x v="18"/>
    <x v="201"/>
    <x v="26"/>
    <n v="9144"/>
  </r>
  <r>
    <x v="12"/>
    <x v="202"/>
    <x v="26"/>
    <n v="24208"/>
  </r>
  <r>
    <x v="0"/>
    <x v="203"/>
    <x v="26"/>
    <n v="16792"/>
  </r>
  <r>
    <x v="0"/>
    <x v="204"/>
    <x v="26"/>
    <n v="21983"/>
  </r>
  <r>
    <x v="0"/>
    <x v="205"/>
    <x v="26"/>
    <n v="31002"/>
  </r>
  <r>
    <x v="6"/>
    <x v="206"/>
    <x v="26"/>
    <n v="31188"/>
  </r>
  <r>
    <x v="10"/>
    <x v="207"/>
    <x v="26"/>
    <n v="20016"/>
  </r>
  <r>
    <x v="13"/>
    <x v="208"/>
    <x v="26"/>
    <n v="12107"/>
  </r>
  <r>
    <x v="17"/>
    <x v="209"/>
    <x v="26"/>
    <n v="9767"/>
  </r>
  <r>
    <x v="4"/>
    <x v="188"/>
    <x v="26"/>
    <n v="41752"/>
  </r>
  <r>
    <x v="5"/>
    <x v="53"/>
    <x v="26"/>
    <n v="41513"/>
  </r>
  <r>
    <x v="5"/>
    <x v="130"/>
    <x v="26"/>
    <n v="42595"/>
  </r>
  <r>
    <x v="5"/>
    <x v="99"/>
    <x v="26"/>
    <n v="38445"/>
  </r>
  <r>
    <x v="5"/>
    <x v="41"/>
    <x v="26"/>
    <n v="34287"/>
  </r>
  <r>
    <x v="0"/>
    <x v="210"/>
    <x v="27"/>
    <n v="33405"/>
  </r>
  <r>
    <x v="9"/>
    <x v="211"/>
    <x v="27"/>
    <n v="9765"/>
  </r>
  <r>
    <x v="1"/>
    <x v="212"/>
    <x v="27"/>
    <n v="13727"/>
  </r>
  <r>
    <x v="10"/>
    <x v="213"/>
    <x v="27"/>
    <n v="11863"/>
  </r>
  <r>
    <x v="3"/>
    <x v="214"/>
    <x v="27"/>
    <n v="18565"/>
  </r>
  <r>
    <x v="7"/>
    <x v="215"/>
    <x v="27"/>
    <n v="9822"/>
  </r>
  <r>
    <x v="7"/>
    <x v="216"/>
    <x v="27"/>
    <n v="43932"/>
  </r>
  <r>
    <x v="4"/>
    <x v="142"/>
    <x v="27"/>
    <n v="43777"/>
  </r>
  <r>
    <x v="4"/>
    <x v="182"/>
    <x v="27"/>
    <n v="29403"/>
  </r>
  <r>
    <x v="4"/>
    <x v="24"/>
    <x v="27"/>
    <n v="40154"/>
  </r>
  <r>
    <x v="5"/>
    <x v="217"/>
    <x v="27"/>
    <n v="42609"/>
  </r>
  <r>
    <x v="5"/>
    <x v="218"/>
    <x v="27"/>
    <n v="63131"/>
  </r>
  <r>
    <x v="5"/>
    <x v="62"/>
    <x v="27"/>
    <n v="39296"/>
  </r>
  <r>
    <x v="5"/>
    <x v="219"/>
    <x v="27"/>
    <n v="20333"/>
  </r>
  <r>
    <x v="5"/>
    <x v="95"/>
    <x v="27"/>
    <n v="59788"/>
  </r>
  <r>
    <x v="5"/>
    <x v="19"/>
    <x v="27"/>
    <n v="37269"/>
  </r>
  <r>
    <x v="5"/>
    <x v="80"/>
    <x v="27"/>
    <n v="42464"/>
  </r>
  <r>
    <x v="12"/>
    <x v="220"/>
    <x v="28"/>
    <n v="14368"/>
  </r>
  <r>
    <x v="0"/>
    <x v="221"/>
    <x v="28"/>
    <n v="21821"/>
  </r>
  <r>
    <x v="6"/>
    <x v="222"/>
    <x v="28"/>
    <n v="16544"/>
  </r>
  <r>
    <x v="19"/>
    <x v="223"/>
    <x v="28"/>
    <n v="5200"/>
  </r>
  <r>
    <x v="10"/>
    <x v="224"/>
    <x v="28"/>
    <n v="30967"/>
  </r>
  <r>
    <x v="3"/>
    <x v="225"/>
    <x v="28"/>
    <n v="16644"/>
  </r>
  <r>
    <x v="4"/>
    <x v="200"/>
    <x v="28"/>
    <n v="40323"/>
  </r>
  <r>
    <x v="4"/>
    <x v="133"/>
    <x v="28"/>
    <n v="32424"/>
  </r>
  <r>
    <x v="4"/>
    <x v="143"/>
    <x v="28"/>
    <n v="26996"/>
  </r>
  <r>
    <x v="5"/>
    <x v="23"/>
    <x v="28"/>
    <n v="25260"/>
  </r>
  <r>
    <x v="5"/>
    <x v="8"/>
    <x v="28"/>
    <n v="37971"/>
  </r>
  <r>
    <x v="0"/>
    <x v="226"/>
    <x v="29"/>
    <n v="29528"/>
  </r>
  <r>
    <x v="0"/>
    <x v="68"/>
    <x v="29"/>
    <n v="30086"/>
  </r>
  <r>
    <x v="6"/>
    <x v="227"/>
    <x v="29"/>
    <n v="7990"/>
  </r>
  <r>
    <x v="14"/>
    <x v="228"/>
    <x v="29"/>
    <n v="5200"/>
  </r>
  <r>
    <x v="3"/>
    <x v="229"/>
    <x v="29"/>
    <n v="11125"/>
  </r>
  <r>
    <x v="3"/>
    <x v="230"/>
    <x v="29"/>
    <n v="18954"/>
  </r>
  <r>
    <x v="7"/>
    <x v="231"/>
    <x v="29"/>
    <n v="23465"/>
  </r>
  <r>
    <x v="7"/>
    <x v="232"/>
    <x v="29"/>
    <n v="36182"/>
  </r>
  <r>
    <x v="4"/>
    <x v="24"/>
    <x v="29"/>
    <n v="51876"/>
  </r>
  <r>
    <x v="4"/>
    <x v="16"/>
    <x v="29"/>
    <n v="37161"/>
  </r>
  <r>
    <x v="5"/>
    <x v="217"/>
    <x v="29"/>
    <n v="41452"/>
  </r>
  <r>
    <x v="5"/>
    <x v="9"/>
    <x v="29"/>
    <n v="55252"/>
  </r>
  <r>
    <x v="5"/>
    <x v="109"/>
    <x v="29"/>
    <n v="45052"/>
  </r>
  <r>
    <x v="5"/>
    <x v="41"/>
    <x v="29"/>
    <n v="43911"/>
  </r>
  <r>
    <x v="18"/>
    <x v="233"/>
    <x v="30"/>
    <n v="14854"/>
  </r>
  <r>
    <x v="10"/>
    <x v="234"/>
    <x v="30"/>
    <n v="15826"/>
  </r>
  <r>
    <x v="4"/>
    <x v="37"/>
    <x v="30"/>
    <n v="19856"/>
  </r>
  <r>
    <x v="4"/>
    <x v="235"/>
    <x v="30"/>
    <n v="48085"/>
  </r>
  <r>
    <x v="5"/>
    <x v="128"/>
    <x v="30"/>
    <n v="46000"/>
  </r>
  <r>
    <x v="5"/>
    <x v="236"/>
    <x v="30"/>
    <n v="68852"/>
  </r>
  <r>
    <x v="5"/>
    <x v="130"/>
    <x v="30"/>
    <n v="35647"/>
  </r>
  <r>
    <x v="5"/>
    <x v="99"/>
    <x v="30"/>
    <n v="42414"/>
  </r>
  <r>
    <x v="5"/>
    <x v="24"/>
    <x v="30"/>
    <n v="48239"/>
  </r>
  <r>
    <x v="5"/>
    <x v="25"/>
    <x v="30"/>
    <n v="41983"/>
  </r>
  <r>
    <x v="18"/>
    <x v="201"/>
    <x v="31"/>
    <n v="8159"/>
  </r>
  <r>
    <x v="0"/>
    <x v="210"/>
    <x v="31"/>
    <n v="32310"/>
  </r>
  <r>
    <x v="11"/>
    <x v="46"/>
    <x v="31"/>
    <n v="22652"/>
  </r>
  <r>
    <x v="3"/>
    <x v="125"/>
    <x v="31"/>
    <n v="18060"/>
  </r>
  <r>
    <x v="17"/>
    <x v="209"/>
    <x v="31"/>
    <n v="12090"/>
  </r>
  <r>
    <x v="7"/>
    <x v="199"/>
    <x v="31"/>
    <n v="26785"/>
  </r>
  <r>
    <x v="4"/>
    <x v="59"/>
    <x v="31"/>
    <n v="45087"/>
  </r>
  <r>
    <x v="4"/>
    <x v="157"/>
    <x v="31"/>
    <n v="45016"/>
  </r>
  <r>
    <x v="5"/>
    <x v="9"/>
    <x v="31"/>
    <n v="56707"/>
  </r>
  <r>
    <x v="5"/>
    <x v="9"/>
    <x v="31"/>
    <n v="52991"/>
  </r>
  <r>
    <x v="5"/>
    <x v="109"/>
    <x v="31"/>
    <n v="34085"/>
  </r>
  <r>
    <x v="5"/>
    <x v="24"/>
    <x v="31"/>
    <n v="35306"/>
  </r>
  <r>
    <x v="5"/>
    <x v="80"/>
    <x v="31"/>
    <n v="39156"/>
  </r>
  <r>
    <x v="18"/>
    <x v="223"/>
    <x v="32"/>
    <n v="18041"/>
  </r>
  <r>
    <x v="12"/>
    <x v="123"/>
    <x v="32"/>
    <n v="5200"/>
  </r>
  <r>
    <x v="0"/>
    <x v="116"/>
    <x v="32"/>
    <n v="32398"/>
  </r>
  <r>
    <x v="0"/>
    <x v="204"/>
    <x v="32"/>
    <n v="38084"/>
  </r>
  <r>
    <x v="6"/>
    <x v="102"/>
    <x v="32"/>
    <n v="14937"/>
  </r>
  <r>
    <x v="1"/>
    <x v="212"/>
    <x v="32"/>
    <n v="15055"/>
  </r>
  <r>
    <x v="2"/>
    <x v="84"/>
    <x v="32"/>
    <n v="27223"/>
  </r>
  <r>
    <x v="8"/>
    <x v="32"/>
    <x v="32"/>
    <n v="12002"/>
  </r>
  <r>
    <x v="8"/>
    <x v="21"/>
    <x v="32"/>
    <n v="14690"/>
  </r>
  <r>
    <x v="7"/>
    <x v="34"/>
    <x v="32"/>
    <n v="24030"/>
  </r>
  <r>
    <x v="4"/>
    <x v="43"/>
    <x v="32"/>
    <n v="33830"/>
  </r>
  <r>
    <x v="5"/>
    <x v="150"/>
    <x v="32"/>
    <n v="43322"/>
  </r>
  <r>
    <x v="5"/>
    <x v="9"/>
    <x v="32"/>
    <n v="51542"/>
  </r>
  <r>
    <x v="5"/>
    <x v="61"/>
    <x v="32"/>
    <n v="42960"/>
  </r>
  <r>
    <x v="5"/>
    <x v="41"/>
    <x v="32"/>
    <n v="39608"/>
  </r>
  <r>
    <x v="0"/>
    <x v="49"/>
    <x v="33"/>
    <n v="41039"/>
  </r>
  <r>
    <x v="0"/>
    <x v="194"/>
    <x v="33"/>
    <n v="33125"/>
  </r>
  <r>
    <x v="2"/>
    <x v="29"/>
    <x v="33"/>
    <n v="32012"/>
  </r>
  <r>
    <x v="7"/>
    <x v="114"/>
    <x v="33"/>
    <n v="23989"/>
  </r>
  <r>
    <x v="7"/>
    <x v="14"/>
    <x v="33"/>
    <n v="22478"/>
  </r>
  <r>
    <x v="4"/>
    <x v="200"/>
    <x v="33"/>
    <n v="36067"/>
  </r>
  <r>
    <x v="4"/>
    <x v="121"/>
    <x v="33"/>
    <n v="48746"/>
  </r>
  <r>
    <x v="4"/>
    <x v="16"/>
    <x v="33"/>
    <n v="38096"/>
  </r>
  <r>
    <x v="5"/>
    <x v="217"/>
    <x v="33"/>
    <n v="40149"/>
  </r>
  <r>
    <x v="5"/>
    <x v="218"/>
    <x v="33"/>
    <n v="32778"/>
  </r>
  <r>
    <x v="5"/>
    <x v="6"/>
    <x v="33"/>
    <n v="36556"/>
  </r>
  <r>
    <x v="5"/>
    <x v="130"/>
    <x v="33"/>
    <n v="38505"/>
  </r>
  <r>
    <x v="9"/>
    <x v="100"/>
    <x v="34"/>
    <n v="11793"/>
  </r>
  <r>
    <x v="2"/>
    <x v="72"/>
    <x v="34"/>
    <n v="14839"/>
  </r>
  <r>
    <x v="3"/>
    <x v="31"/>
    <x v="34"/>
    <n v="16266"/>
  </r>
  <r>
    <x v="3"/>
    <x v="230"/>
    <x v="34"/>
    <n v="18753"/>
  </r>
  <r>
    <x v="4"/>
    <x v="22"/>
    <x v="34"/>
    <n v="27890"/>
  </r>
  <r>
    <x v="4"/>
    <x v="143"/>
    <x v="34"/>
    <n v="32243"/>
  </r>
  <r>
    <x v="4"/>
    <x v="43"/>
    <x v="34"/>
    <n v="41717"/>
  </r>
  <r>
    <x v="5"/>
    <x v="88"/>
    <x v="34"/>
    <n v="42940"/>
  </r>
  <r>
    <x v="5"/>
    <x v="89"/>
    <x v="34"/>
    <n v="44701"/>
  </r>
  <r>
    <x v="5"/>
    <x v="95"/>
    <x v="34"/>
    <n v="46746"/>
  </r>
  <r>
    <x v="5"/>
    <x v="152"/>
    <x v="34"/>
    <n v="38448"/>
  </r>
  <r>
    <x v="5"/>
    <x v="99"/>
    <x v="34"/>
    <n v="31536"/>
  </r>
  <r>
    <x v="5"/>
    <x v="40"/>
    <x v="34"/>
    <n v="31516"/>
  </r>
  <r>
    <x v="0"/>
    <x v="204"/>
    <x v="35"/>
    <n v="34082"/>
  </r>
  <r>
    <x v="10"/>
    <x v="224"/>
    <x v="35"/>
    <n v="9210"/>
  </r>
  <r>
    <x v="11"/>
    <x v="185"/>
    <x v="35"/>
    <n v="13371"/>
  </r>
  <r>
    <x v="3"/>
    <x v="229"/>
    <x v="35"/>
    <n v="14466"/>
  </r>
  <r>
    <x v="7"/>
    <x v="36"/>
    <x v="35"/>
    <n v="28371"/>
  </r>
  <r>
    <x v="7"/>
    <x v="172"/>
    <x v="35"/>
    <n v="26618"/>
  </r>
  <r>
    <x v="4"/>
    <x v="142"/>
    <x v="35"/>
    <n v="45607"/>
  </r>
  <r>
    <x v="4"/>
    <x v="74"/>
    <x v="35"/>
    <n v="49584"/>
  </r>
  <r>
    <x v="4"/>
    <x v="169"/>
    <x v="35"/>
    <n v="25903"/>
  </r>
  <r>
    <x v="4"/>
    <x v="169"/>
    <x v="35"/>
    <n v="32848"/>
  </r>
  <r>
    <x v="4"/>
    <x v="4"/>
    <x v="35"/>
    <n v="35231"/>
  </r>
  <r>
    <x v="5"/>
    <x v="152"/>
    <x v="35"/>
    <n v="36945"/>
  </r>
  <r>
    <x v="5"/>
    <x v="67"/>
    <x v="35"/>
    <n v="31354"/>
  </r>
  <r>
    <x v="5"/>
    <x v="41"/>
    <x v="35"/>
    <n v="49953"/>
  </r>
  <r>
    <x v="5"/>
    <x v="68"/>
    <x v="35"/>
    <n v="41507"/>
  </r>
  <r>
    <x v="12"/>
    <x v="110"/>
    <x v="36"/>
    <n v="13396"/>
  </r>
  <r>
    <x v="0"/>
    <x v="171"/>
    <x v="36"/>
    <n v="18623"/>
  </r>
  <r>
    <x v="10"/>
    <x v="138"/>
    <x v="36"/>
    <n v="14256"/>
  </r>
  <r>
    <x v="2"/>
    <x v="174"/>
    <x v="36"/>
    <n v="11540"/>
  </r>
  <r>
    <x v="2"/>
    <x v="198"/>
    <x v="36"/>
    <n v="18181"/>
  </r>
  <r>
    <x v="13"/>
    <x v="147"/>
    <x v="36"/>
    <n v="13911"/>
  </r>
  <r>
    <x v="7"/>
    <x v="149"/>
    <x v="36"/>
    <n v="30424"/>
  </r>
  <r>
    <x v="7"/>
    <x v="93"/>
    <x v="36"/>
    <n v="26935"/>
  </r>
  <r>
    <x v="4"/>
    <x v="22"/>
    <x v="36"/>
    <n v="37072"/>
  </r>
  <r>
    <x v="4"/>
    <x v="216"/>
    <x v="36"/>
    <n v="43986"/>
  </r>
  <r>
    <x v="4"/>
    <x v="194"/>
    <x v="36"/>
    <n v="36034"/>
  </r>
  <r>
    <x v="4"/>
    <x v="86"/>
    <x v="36"/>
    <n v="32539"/>
  </r>
  <r>
    <x v="4"/>
    <x v="182"/>
    <x v="36"/>
    <n v="31987"/>
  </r>
  <r>
    <x v="4"/>
    <x v="188"/>
    <x v="36"/>
    <n v="33169"/>
  </r>
  <r>
    <x v="5"/>
    <x v="7"/>
    <x v="36"/>
    <n v="42711"/>
  </r>
  <r>
    <x v="5"/>
    <x v="18"/>
    <x v="36"/>
    <n v="34402"/>
  </r>
  <r>
    <x v="5"/>
    <x v="95"/>
    <x v="36"/>
    <n v="46530"/>
  </r>
  <r>
    <x v="18"/>
    <x v="208"/>
    <x v="37"/>
    <n v="12294"/>
  </r>
  <r>
    <x v="0"/>
    <x v="177"/>
    <x v="37"/>
    <n v="32538"/>
  </r>
  <r>
    <x v="0"/>
    <x v="68"/>
    <x v="37"/>
    <n v="29259"/>
  </r>
  <r>
    <x v="11"/>
    <x v="139"/>
    <x v="37"/>
    <n v="14873"/>
  </r>
  <r>
    <x v="3"/>
    <x v="148"/>
    <x v="37"/>
    <n v="20373"/>
  </r>
  <r>
    <x v="3"/>
    <x v="118"/>
    <x v="37"/>
    <n v="20862"/>
  </r>
  <r>
    <x v="17"/>
    <x v="187"/>
    <x v="37"/>
    <n v="12758"/>
  </r>
  <r>
    <x v="7"/>
    <x v="13"/>
    <x v="37"/>
    <n v="45172"/>
  </r>
  <r>
    <x v="4"/>
    <x v="7"/>
    <x v="37"/>
    <n v="43440"/>
  </r>
  <r>
    <x v="4"/>
    <x v="164"/>
    <x v="37"/>
    <n v="28829"/>
  </r>
  <r>
    <x v="4"/>
    <x v="51"/>
    <x v="37"/>
    <n v="27914"/>
  </r>
  <r>
    <x v="0"/>
    <x v="55"/>
    <x v="38"/>
    <n v="33040"/>
  </r>
  <r>
    <x v="0"/>
    <x v="135"/>
    <x v="38"/>
    <n v="32749"/>
  </r>
  <r>
    <x v="1"/>
    <x v="124"/>
    <x v="38"/>
    <n v="12705"/>
  </r>
  <r>
    <x v="10"/>
    <x v="28"/>
    <x v="38"/>
    <n v="12909"/>
  </r>
  <r>
    <x v="2"/>
    <x v="193"/>
    <x v="38"/>
    <n v="19972"/>
  </r>
  <r>
    <x v="13"/>
    <x v="57"/>
    <x v="38"/>
    <n v="5200"/>
  </r>
  <r>
    <x v="17"/>
    <x v="195"/>
    <x v="38"/>
    <n v="14247"/>
  </r>
  <r>
    <x v="8"/>
    <x v="168"/>
    <x v="38"/>
    <n v="12869"/>
  </r>
  <r>
    <x v="7"/>
    <x v="197"/>
    <x v="38"/>
    <n v="25130"/>
  </r>
  <r>
    <x v="7"/>
    <x v="4"/>
    <x v="38"/>
    <n v="31415"/>
  </r>
  <r>
    <x v="4"/>
    <x v="117"/>
    <x v="38"/>
    <n v="21700"/>
  </r>
  <r>
    <x v="5"/>
    <x v="128"/>
    <x v="38"/>
    <n v="47668"/>
  </r>
  <r>
    <x v="5"/>
    <x v="129"/>
    <x v="38"/>
    <n v="41708"/>
  </r>
  <r>
    <x v="5"/>
    <x v="109"/>
    <x v="38"/>
    <n v="47161"/>
  </r>
  <r>
    <x v="5"/>
    <x v="95"/>
    <x v="38"/>
    <n v="48884"/>
  </r>
  <r>
    <x v="5"/>
    <x v="144"/>
    <x v="38"/>
    <n v="42099"/>
  </r>
  <r>
    <x v="5"/>
    <x v="67"/>
    <x v="38"/>
    <n v="40739"/>
  </r>
  <r>
    <x v="0"/>
    <x v="226"/>
    <x v="39"/>
    <n v="40578"/>
  </r>
  <r>
    <x v="6"/>
    <x v="101"/>
    <x v="39"/>
    <n v="16592"/>
  </r>
  <r>
    <x v="6"/>
    <x v="161"/>
    <x v="39"/>
    <n v="15943"/>
  </r>
  <r>
    <x v="8"/>
    <x v="75"/>
    <x v="39"/>
    <n v="5200"/>
  </r>
  <r>
    <x v="7"/>
    <x v="35"/>
    <x v="39"/>
    <n v="23045"/>
  </r>
  <r>
    <x v="7"/>
    <x v="35"/>
    <x v="39"/>
    <n v="28929"/>
  </r>
  <r>
    <x v="4"/>
    <x v="122"/>
    <x v="39"/>
    <n v="26281"/>
  </r>
  <r>
    <x v="5"/>
    <x v="129"/>
    <x v="39"/>
    <n v="42198"/>
  </r>
  <r>
    <x v="5"/>
    <x v="23"/>
    <x v="39"/>
    <n v="36644"/>
  </r>
  <r>
    <x v="5"/>
    <x v="90"/>
    <x v="39"/>
    <n v="42209"/>
  </r>
  <r>
    <x v="5"/>
    <x v="24"/>
    <x v="39"/>
    <n v="47447"/>
  </r>
  <r>
    <x v="5"/>
    <x v="80"/>
    <x v="39"/>
    <n v="49990"/>
  </r>
  <r>
    <x v="12"/>
    <x v="81"/>
    <x v="40"/>
    <n v="13860"/>
  </r>
  <r>
    <x v="16"/>
    <x v="153"/>
    <x v="40"/>
    <n v="14126"/>
  </r>
  <r>
    <x v="0"/>
    <x v="155"/>
    <x v="40"/>
    <n v="28577"/>
  </r>
  <r>
    <x v="6"/>
    <x v="137"/>
    <x v="40"/>
    <n v="18156"/>
  </r>
  <r>
    <x v="2"/>
    <x v="3"/>
    <x v="40"/>
    <n v="16260"/>
  </r>
  <r>
    <x v="3"/>
    <x v="221"/>
    <x v="40"/>
    <n v="23222"/>
  </r>
  <r>
    <x v="4"/>
    <x v="235"/>
    <x v="40"/>
    <n v="44793"/>
  </r>
  <r>
    <x v="5"/>
    <x v="17"/>
    <x v="40"/>
    <n v="32372"/>
  </r>
  <r>
    <x v="5"/>
    <x v="17"/>
    <x v="40"/>
    <n v="34687"/>
  </r>
  <r>
    <x v="5"/>
    <x v="236"/>
    <x v="40"/>
    <n v="31719"/>
  </r>
  <r>
    <x v="5"/>
    <x v="144"/>
    <x v="40"/>
    <n v="33907"/>
  </r>
  <r>
    <x v="5"/>
    <x v="99"/>
    <x v="40"/>
    <n v="48637"/>
  </r>
  <r>
    <x v="5"/>
    <x v="41"/>
    <x v="40"/>
    <n v="35618"/>
  </r>
  <r>
    <x v="0"/>
    <x v="141"/>
    <x v="41"/>
    <n v="8531"/>
  </r>
  <r>
    <x v="3"/>
    <x v="112"/>
    <x v="41"/>
    <n v="21680"/>
  </r>
  <r>
    <x v="8"/>
    <x v="196"/>
    <x v="41"/>
    <n v="16388"/>
  </r>
  <r>
    <x v="4"/>
    <x v="50"/>
    <x v="41"/>
    <n v="24933"/>
  </r>
  <r>
    <x v="4"/>
    <x v="5"/>
    <x v="41"/>
    <n v="37179"/>
  </r>
  <r>
    <x v="5"/>
    <x v="39"/>
    <x v="41"/>
    <n v="36020"/>
  </r>
  <r>
    <x v="5"/>
    <x v="61"/>
    <x v="41"/>
    <n v="45533"/>
  </r>
  <r>
    <x v="5"/>
    <x v="41"/>
    <x v="41"/>
    <n v="46721"/>
  </r>
  <r>
    <x v="5"/>
    <x v="96"/>
    <x v="41"/>
    <n v="29846"/>
  </r>
  <r>
    <x v="0"/>
    <x v="82"/>
    <x v="42"/>
    <n v="27919"/>
  </r>
  <r>
    <x v="10"/>
    <x v="207"/>
    <x v="42"/>
    <n v="5200"/>
  </r>
  <r>
    <x v="2"/>
    <x v="111"/>
    <x v="42"/>
    <n v="16925"/>
  </r>
  <r>
    <x v="14"/>
    <x v="66"/>
    <x v="42"/>
    <n v="29068"/>
  </r>
  <r>
    <x v="3"/>
    <x v="231"/>
    <x v="42"/>
    <n v="24177"/>
  </r>
  <r>
    <x v="5"/>
    <x v="87"/>
    <x v="42"/>
    <n v="33330"/>
  </r>
  <r>
    <x v="5"/>
    <x v="61"/>
    <x v="42"/>
    <n v="36917"/>
  </r>
  <r>
    <x v="5"/>
    <x v="19"/>
    <x v="42"/>
    <n v="39180"/>
  </r>
  <r>
    <x v="5"/>
    <x v="25"/>
    <x v="42"/>
    <n v="61407"/>
  </r>
  <r>
    <x v="5"/>
    <x v="25"/>
    <x v="42"/>
    <n v="49775"/>
  </r>
  <r>
    <x v="12"/>
    <x v="158"/>
    <x v="43"/>
    <n v="13531"/>
  </r>
  <r>
    <x v="0"/>
    <x v="136"/>
    <x v="43"/>
    <n v="42677"/>
  </r>
  <r>
    <x v="0"/>
    <x v="145"/>
    <x v="43"/>
    <n v="36694"/>
  </r>
  <r>
    <x v="10"/>
    <x v="162"/>
    <x v="43"/>
    <n v="14270"/>
  </r>
  <r>
    <x v="3"/>
    <x v="214"/>
    <x v="43"/>
    <n v="18379"/>
  </r>
  <r>
    <x v="7"/>
    <x v="15"/>
    <x v="43"/>
    <n v="24253"/>
  </r>
  <r>
    <x v="7"/>
    <x v="126"/>
    <x v="43"/>
    <n v="24138"/>
  </r>
  <r>
    <x v="4"/>
    <x v="142"/>
    <x v="43"/>
    <n v="43028"/>
  </r>
  <r>
    <x v="4"/>
    <x v="37"/>
    <x v="43"/>
    <n v="25005"/>
  </r>
  <r>
    <x v="5"/>
    <x v="53"/>
    <x v="43"/>
    <n v="30910"/>
  </r>
  <r>
    <x v="5"/>
    <x v="9"/>
    <x v="43"/>
    <n v="48550"/>
  </r>
  <r>
    <x v="5"/>
    <x v="218"/>
    <x v="43"/>
    <n v="36190"/>
  </r>
  <r>
    <x v="5"/>
    <x v="39"/>
    <x v="43"/>
    <n v="26182"/>
  </r>
  <r>
    <x v="5"/>
    <x v="89"/>
    <x v="43"/>
    <n v="32880"/>
  </r>
  <r>
    <x v="5"/>
    <x v="17"/>
    <x v="43"/>
    <n v="32231"/>
  </r>
  <r>
    <x v="5"/>
    <x v="130"/>
    <x v="43"/>
    <n v="30970"/>
  </r>
  <r>
    <x v="5"/>
    <x v="151"/>
    <x v="43"/>
    <n v="38963"/>
  </r>
  <r>
    <x v="5"/>
    <x v="40"/>
    <x v="43"/>
    <n v="32097"/>
  </r>
  <r>
    <x v="5"/>
    <x v="41"/>
    <x v="43"/>
    <n v="45495"/>
  </r>
  <r>
    <x v="12"/>
    <x v="202"/>
    <x v="44"/>
    <n v="20561"/>
  </r>
  <r>
    <x v="0"/>
    <x v="167"/>
    <x v="44"/>
    <n v="25809"/>
  </r>
  <r>
    <x v="0"/>
    <x v="144"/>
    <x v="44"/>
    <n v="42883"/>
  </r>
  <r>
    <x v="2"/>
    <x v="222"/>
    <x v="44"/>
    <n v="16706"/>
  </r>
  <r>
    <x v="2"/>
    <x v="186"/>
    <x v="44"/>
    <n v="14563"/>
  </r>
  <r>
    <x v="3"/>
    <x v="104"/>
    <x v="44"/>
    <n v="17594"/>
  </r>
  <r>
    <x v="7"/>
    <x v="105"/>
    <x v="44"/>
    <n v="18043"/>
  </r>
  <r>
    <x v="4"/>
    <x v="200"/>
    <x v="44"/>
    <n v="37378"/>
  </r>
  <r>
    <x v="4"/>
    <x v="164"/>
    <x v="44"/>
    <n v="31104"/>
  </r>
  <r>
    <x v="5"/>
    <x v="53"/>
    <x v="44"/>
    <n v="34025"/>
  </r>
  <r>
    <x v="5"/>
    <x v="9"/>
    <x v="44"/>
    <n v="47703"/>
  </r>
  <r>
    <x v="5"/>
    <x v="18"/>
    <x v="44"/>
    <n v="45872"/>
  </r>
  <r>
    <x v="5"/>
    <x v="18"/>
    <x v="44"/>
    <n v="35320"/>
  </r>
  <r>
    <x v="5"/>
    <x v="8"/>
    <x v="44"/>
    <n v="34035"/>
  </r>
  <r>
    <x v="5"/>
    <x v="152"/>
    <x v="44"/>
    <n v="32290"/>
  </r>
  <r>
    <x v="5"/>
    <x v="38"/>
    <x v="44"/>
    <n v="24756"/>
  </r>
  <r>
    <x v="12"/>
    <x v="170"/>
    <x v="45"/>
    <n v="14812"/>
  </r>
  <r>
    <x v="0"/>
    <x v="136"/>
    <x v="45"/>
    <n v="33778"/>
  </r>
  <r>
    <x v="0"/>
    <x v="19"/>
    <x v="45"/>
    <n v="52570"/>
  </r>
  <r>
    <x v="8"/>
    <x v="48"/>
    <x v="45"/>
    <n v="21574"/>
  </r>
  <r>
    <x v="4"/>
    <x v="175"/>
    <x v="45"/>
    <n v="47204"/>
  </r>
  <r>
    <x v="4"/>
    <x v="106"/>
    <x v="45"/>
    <n v="30273"/>
  </r>
  <r>
    <x v="5"/>
    <x v="150"/>
    <x v="45"/>
    <n v="42228"/>
  </r>
  <r>
    <x v="5"/>
    <x v="99"/>
    <x v="45"/>
    <n v="35080"/>
  </r>
  <r>
    <x v="0"/>
    <x v="134"/>
    <x v="46"/>
    <n v="27393"/>
  </r>
  <r>
    <x v="1"/>
    <x v="71"/>
    <x v="46"/>
    <n v="12181"/>
  </r>
  <r>
    <x v="3"/>
    <x v="113"/>
    <x v="46"/>
    <n v="18785"/>
  </r>
  <r>
    <x v="7"/>
    <x v="14"/>
    <x v="46"/>
    <n v="23082"/>
  </r>
  <r>
    <x v="7"/>
    <x v="126"/>
    <x v="46"/>
    <n v="32234"/>
  </r>
  <r>
    <x v="5"/>
    <x v="151"/>
    <x v="46"/>
    <n v="45311"/>
  </r>
  <r>
    <x v="5"/>
    <x v="24"/>
    <x v="46"/>
    <n v="50183"/>
  </r>
  <r>
    <x v="5"/>
    <x v="25"/>
    <x v="46"/>
    <n v="45909"/>
  </r>
  <r>
    <x v="5"/>
    <x v="80"/>
    <x v="46"/>
    <n v="44759"/>
  </r>
  <r>
    <x v="12"/>
    <x v="166"/>
    <x v="47"/>
    <n v="11909"/>
  </r>
  <r>
    <x v="12"/>
    <x v="54"/>
    <x v="47"/>
    <n v="15077"/>
  </r>
  <r>
    <x v="0"/>
    <x v="26"/>
    <x v="47"/>
    <n v="38469"/>
  </r>
  <r>
    <x v="1"/>
    <x v="1"/>
    <x v="47"/>
    <n v="12984"/>
  </r>
  <r>
    <x v="3"/>
    <x v="119"/>
    <x v="47"/>
    <n v="30457"/>
  </r>
  <r>
    <x v="7"/>
    <x v="33"/>
    <x v="47"/>
    <n v="24259"/>
  </r>
  <r>
    <x v="4"/>
    <x v="39"/>
    <x v="47"/>
    <n v="37595"/>
  </r>
  <r>
    <x v="4"/>
    <x v="160"/>
    <x v="47"/>
    <n v="36131"/>
  </r>
  <r>
    <x v="5"/>
    <x v="53"/>
    <x v="47"/>
    <n v="43080"/>
  </r>
  <r>
    <x v="5"/>
    <x v="8"/>
    <x v="47"/>
    <n v="41636"/>
  </r>
  <r>
    <x v="5"/>
    <x v="95"/>
    <x v="47"/>
    <n v="31799"/>
  </r>
  <r>
    <x v="5"/>
    <x v="63"/>
    <x v="47"/>
    <n v="51849"/>
  </r>
  <r>
    <x v="6"/>
    <x v="173"/>
    <x v="48"/>
    <n v="29613"/>
  </r>
  <r>
    <x v="1"/>
    <x v="131"/>
    <x v="48"/>
    <n v="14251"/>
  </r>
  <r>
    <x v="11"/>
    <x v="132"/>
    <x v="48"/>
    <n v="9135"/>
  </r>
  <r>
    <x v="2"/>
    <x v="181"/>
    <x v="48"/>
    <n v="23222"/>
  </r>
  <r>
    <x v="13"/>
    <x v="85"/>
    <x v="48"/>
    <n v="7261"/>
  </r>
  <r>
    <x v="3"/>
    <x v="76"/>
    <x v="48"/>
    <n v="33570"/>
  </r>
  <r>
    <x v="4"/>
    <x v="77"/>
    <x v="48"/>
    <n v="31645"/>
  </r>
  <r>
    <x v="4"/>
    <x v="78"/>
    <x v="48"/>
    <n v="17514"/>
  </r>
  <r>
    <x v="4"/>
    <x v="117"/>
    <x v="48"/>
    <n v="24965"/>
  </r>
  <r>
    <x v="4"/>
    <x v="107"/>
    <x v="48"/>
    <n v="26753"/>
  </r>
  <r>
    <x v="4"/>
    <x v="107"/>
    <x v="48"/>
    <n v="35916"/>
  </r>
  <r>
    <x v="5"/>
    <x v="165"/>
    <x v="48"/>
    <n v="61684"/>
  </r>
  <r>
    <x v="5"/>
    <x v="94"/>
    <x v="48"/>
    <n v="57247"/>
  </r>
  <r>
    <x v="5"/>
    <x v="6"/>
    <x v="48"/>
    <n v="41395"/>
  </r>
  <r>
    <x v="5"/>
    <x v="87"/>
    <x v="48"/>
    <n v="41691"/>
  </r>
  <r>
    <x v="5"/>
    <x v="109"/>
    <x v="48"/>
    <n v="42857"/>
  </r>
  <r>
    <x v="5"/>
    <x v="61"/>
    <x v="48"/>
    <n v="42163"/>
  </r>
  <r>
    <x v="0"/>
    <x v="154"/>
    <x v="49"/>
    <n v="36241"/>
  </r>
  <r>
    <x v="0"/>
    <x v="155"/>
    <x v="49"/>
    <n v="21712"/>
  </r>
  <r>
    <x v="9"/>
    <x v="44"/>
    <x v="49"/>
    <n v="13796"/>
  </r>
  <r>
    <x v="11"/>
    <x v="178"/>
    <x v="49"/>
    <n v="12612"/>
  </r>
  <r>
    <x v="4"/>
    <x v="77"/>
    <x v="49"/>
    <n v="25097"/>
  </r>
  <r>
    <x v="4"/>
    <x v="77"/>
    <x v="49"/>
    <n v="26556"/>
  </r>
  <r>
    <x v="5"/>
    <x v="99"/>
    <x v="49"/>
    <n v="40230"/>
  </r>
  <r>
    <x v="0"/>
    <x v="82"/>
    <x v="50"/>
    <n v="36102"/>
  </r>
  <r>
    <x v="0"/>
    <x v="184"/>
    <x v="50"/>
    <n v="39579"/>
  </r>
  <r>
    <x v="0"/>
    <x v="203"/>
    <x v="50"/>
    <n v="7504"/>
  </r>
  <r>
    <x v="1"/>
    <x v="11"/>
    <x v="50"/>
    <n v="14499"/>
  </r>
  <r>
    <x v="2"/>
    <x v="179"/>
    <x v="50"/>
    <n v="18009"/>
  </r>
  <r>
    <x v="8"/>
    <x v="73"/>
    <x v="50"/>
    <n v="13932"/>
  </r>
  <r>
    <x v="4"/>
    <x v="182"/>
    <x v="50"/>
    <n v="32236"/>
  </r>
  <r>
    <x v="5"/>
    <x v="128"/>
    <x v="50"/>
    <n v="35278"/>
  </r>
  <r>
    <x v="5"/>
    <x v="7"/>
    <x v="50"/>
    <n v="42824"/>
  </r>
  <r>
    <x v="5"/>
    <x v="89"/>
    <x v="50"/>
    <n v="39074"/>
  </r>
  <r>
    <x v="5"/>
    <x v="219"/>
    <x v="50"/>
    <n v="48808"/>
  </r>
  <r>
    <x v="0"/>
    <x v="98"/>
    <x v="51"/>
    <n v="27537"/>
  </r>
  <r>
    <x v="9"/>
    <x v="27"/>
    <x v="51"/>
    <n v="13269"/>
  </r>
  <r>
    <x v="6"/>
    <x v="159"/>
    <x v="51"/>
    <n v="5200"/>
  </r>
  <r>
    <x v="1"/>
    <x v="211"/>
    <x v="51"/>
    <n v="15577"/>
  </r>
  <r>
    <x v="10"/>
    <x v="91"/>
    <x v="51"/>
    <n v="15421"/>
  </r>
  <r>
    <x v="2"/>
    <x v="180"/>
    <x v="51"/>
    <n v="16324"/>
  </r>
  <r>
    <x v="3"/>
    <x v="47"/>
    <x v="51"/>
    <n v="18692"/>
  </r>
  <r>
    <x v="7"/>
    <x v="156"/>
    <x v="51"/>
    <n v="20419"/>
  </r>
  <r>
    <x v="4"/>
    <x v="86"/>
    <x v="51"/>
    <n v="45736"/>
  </r>
  <r>
    <x v="4"/>
    <x v="4"/>
    <x v="51"/>
    <n v="33523"/>
  </r>
  <r>
    <x v="4"/>
    <x v="16"/>
    <x v="51"/>
    <n v="30418"/>
  </r>
  <r>
    <x v="5"/>
    <x v="79"/>
    <x v="51"/>
    <n v="35453"/>
  </r>
  <r>
    <x v="5"/>
    <x v="130"/>
    <x v="51"/>
    <n v="42561"/>
  </r>
  <r>
    <x v="6"/>
    <x v="225"/>
    <x v="52"/>
    <n v="25436"/>
  </r>
  <r>
    <x v="6"/>
    <x v="220"/>
    <x v="52"/>
    <n v="12603"/>
  </r>
  <r>
    <x v="10"/>
    <x v="191"/>
    <x v="52"/>
    <n v="15533"/>
  </r>
  <r>
    <x v="4"/>
    <x v="133"/>
    <x v="52"/>
    <n v="41360"/>
  </r>
  <r>
    <x v="4"/>
    <x v="143"/>
    <x v="52"/>
    <n v="45276"/>
  </r>
  <r>
    <x v="5"/>
    <x v="6"/>
    <x v="52"/>
    <n v="48601"/>
  </r>
  <r>
    <x v="5"/>
    <x v="8"/>
    <x v="52"/>
    <n v="39024"/>
  </r>
  <r>
    <x v="6"/>
    <x v="56"/>
    <x v="53"/>
    <n v="14589"/>
  </r>
  <r>
    <x v="6"/>
    <x v="227"/>
    <x v="53"/>
    <n v="5200"/>
  </r>
  <r>
    <x v="6"/>
    <x v="10"/>
    <x v="53"/>
    <n v="16315"/>
  </r>
  <r>
    <x v="10"/>
    <x v="83"/>
    <x v="53"/>
    <n v="16450"/>
  </r>
  <r>
    <x v="10"/>
    <x v="213"/>
    <x v="53"/>
    <n v="5200"/>
  </r>
  <r>
    <x v="2"/>
    <x v="30"/>
    <x v="53"/>
    <n v="18758"/>
  </r>
  <r>
    <x v="3"/>
    <x v="140"/>
    <x v="53"/>
    <n v="30439"/>
  </r>
  <r>
    <x v="3"/>
    <x v="20"/>
    <x v="53"/>
    <n v="18117"/>
  </r>
  <r>
    <x v="8"/>
    <x v="92"/>
    <x v="53"/>
    <n v="21438"/>
  </r>
  <r>
    <x v="7"/>
    <x v="58"/>
    <x v="53"/>
    <n v="22262"/>
  </r>
  <r>
    <x v="5"/>
    <x v="129"/>
    <x v="53"/>
    <n v="27855"/>
  </r>
  <r>
    <x v="5"/>
    <x v="79"/>
    <x v="53"/>
    <n v="35340"/>
  </r>
  <r>
    <x v="5"/>
    <x v="88"/>
    <x v="53"/>
    <n v="39318"/>
  </r>
  <r>
    <x v="5"/>
    <x v="41"/>
    <x v="53"/>
    <n v="32862"/>
  </r>
  <r>
    <x v="18"/>
    <x v="233"/>
    <x v="54"/>
    <n v="17522"/>
  </r>
  <r>
    <x v="0"/>
    <x v="190"/>
    <x v="54"/>
    <n v="41201"/>
  </r>
  <r>
    <x v="0"/>
    <x v="42"/>
    <x v="54"/>
    <n v="26885"/>
  </r>
  <r>
    <x v="6"/>
    <x v="206"/>
    <x v="54"/>
    <n v="5200"/>
  </r>
  <r>
    <x v="7"/>
    <x v="167"/>
    <x v="54"/>
    <n v="29900"/>
  </r>
  <r>
    <x v="7"/>
    <x v="115"/>
    <x v="54"/>
    <n v="29354"/>
  </r>
  <r>
    <x v="4"/>
    <x v="120"/>
    <x v="54"/>
    <n v="54671"/>
  </r>
  <r>
    <x v="4"/>
    <x v="60"/>
    <x v="54"/>
    <n v="35105"/>
  </r>
  <r>
    <x v="5"/>
    <x v="9"/>
    <x v="54"/>
    <n v="57170"/>
  </r>
  <r>
    <x v="5"/>
    <x v="108"/>
    <x v="54"/>
    <n v="30301"/>
  </r>
  <r>
    <x v="5"/>
    <x v="108"/>
    <x v="54"/>
    <n v="40405"/>
  </r>
  <r>
    <x v="5"/>
    <x v="94"/>
    <x v="54"/>
    <n v="38787"/>
  </r>
  <r>
    <x v="5"/>
    <x v="183"/>
    <x v="54"/>
    <n v="36516"/>
  </r>
  <r>
    <x v="5"/>
    <x v="18"/>
    <x v="54"/>
    <n v="42441"/>
  </r>
  <r>
    <x v="5"/>
    <x v="23"/>
    <x v="54"/>
    <n v="52031"/>
  </r>
  <r>
    <x v="5"/>
    <x v="90"/>
    <x v="54"/>
    <n v="39719"/>
  </r>
  <r>
    <x v="5"/>
    <x v="155"/>
    <x v="54"/>
    <n v="34388"/>
  </r>
  <r>
    <x v="0"/>
    <x v="189"/>
    <x v="55"/>
    <n v="43098"/>
  </r>
  <r>
    <x v="0"/>
    <x v="0"/>
    <x v="55"/>
    <n v="38894"/>
  </r>
  <r>
    <x v="6"/>
    <x v="146"/>
    <x v="55"/>
    <n v="10178"/>
  </r>
  <r>
    <x v="14"/>
    <x v="228"/>
    <x v="55"/>
    <n v="28121"/>
  </r>
  <r>
    <x v="7"/>
    <x v="215"/>
    <x v="55"/>
    <n v="8474"/>
  </r>
  <r>
    <x v="4"/>
    <x v="129"/>
    <x v="55"/>
    <n v="28383"/>
  </r>
  <r>
    <x v="4"/>
    <x v="52"/>
    <x v="55"/>
    <n v="49497"/>
  </r>
  <r>
    <x v="5"/>
    <x v="128"/>
    <x v="55"/>
    <n v="33087"/>
  </r>
  <r>
    <x v="5"/>
    <x v="62"/>
    <x v="55"/>
    <n v="32148"/>
  </r>
  <r>
    <x v="5"/>
    <x v="130"/>
    <x v="55"/>
    <n v="41766"/>
  </r>
  <r>
    <x v="5"/>
    <x v="144"/>
    <x v="55"/>
    <n v="34999"/>
  </r>
  <r>
    <x v="5"/>
    <x v="68"/>
    <x v="55"/>
    <n v="40855"/>
  </r>
  <r>
    <x v="9"/>
    <x v="69"/>
    <x v="56"/>
    <n v="13640"/>
  </r>
  <r>
    <x v="9"/>
    <x v="70"/>
    <x v="56"/>
    <n v="23476"/>
  </r>
  <r>
    <x v="10"/>
    <x v="234"/>
    <x v="56"/>
    <n v="15545"/>
  </r>
  <r>
    <x v="2"/>
    <x v="2"/>
    <x v="56"/>
    <n v="17772"/>
  </r>
  <r>
    <x v="2"/>
    <x v="65"/>
    <x v="56"/>
    <n v="15958"/>
  </r>
  <r>
    <x v="4"/>
    <x v="160"/>
    <x v="56"/>
    <n v="31756"/>
  </r>
  <r>
    <x v="5"/>
    <x v="217"/>
    <x v="56"/>
    <n v="41878"/>
  </r>
  <r>
    <x v="5"/>
    <x v="87"/>
    <x v="56"/>
    <n v="36249"/>
  </r>
  <r>
    <x v="5"/>
    <x v="88"/>
    <x v="56"/>
    <n v="41327"/>
  </r>
  <r>
    <x v="5"/>
    <x v="151"/>
    <x v="56"/>
    <n v="48718"/>
  </r>
  <r>
    <x v="0"/>
    <x v="97"/>
    <x v="57"/>
    <n v="28764"/>
  </r>
  <r>
    <x v="11"/>
    <x v="45"/>
    <x v="57"/>
    <n v="9731"/>
  </r>
  <r>
    <x v="3"/>
    <x v="232"/>
    <x v="57"/>
    <n v="7046"/>
  </r>
  <r>
    <x v="7"/>
    <x v="33"/>
    <x v="57"/>
    <n v="17985"/>
  </r>
  <r>
    <x v="7"/>
    <x v="163"/>
    <x v="57"/>
    <n v="23355"/>
  </r>
  <r>
    <x v="4"/>
    <x v="51"/>
    <x v="57"/>
    <n v="29173"/>
  </r>
  <r>
    <x v="4"/>
    <x v="37"/>
    <x v="57"/>
    <n v="19300"/>
  </r>
  <r>
    <x v="5"/>
    <x v="176"/>
    <x v="57"/>
    <n v="67248"/>
  </r>
  <r>
    <x v="5"/>
    <x v="108"/>
    <x v="57"/>
    <n v="34685"/>
  </r>
  <r>
    <x v="5"/>
    <x v="183"/>
    <x v="57"/>
    <n v="43040"/>
  </r>
  <r>
    <x v="5"/>
    <x v="152"/>
    <x v="57"/>
    <n v="40774"/>
  </r>
  <r>
    <x v="5"/>
    <x v="19"/>
    <x v="57"/>
    <n v="51604"/>
  </r>
  <r>
    <x v="12"/>
    <x v="64"/>
    <x v="58"/>
    <n v="25985"/>
  </r>
  <r>
    <x v="0"/>
    <x v="97"/>
    <x v="58"/>
    <n v="25025"/>
  </r>
  <r>
    <x v="0"/>
    <x v="205"/>
    <x v="58"/>
    <n v="32055"/>
  </r>
  <r>
    <x v="10"/>
    <x v="103"/>
    <x v="58"/>
    <n v="15979"/>
  </r>
  <r>
    <x v="2"/>
    <x v="192"/>
    <x v="58"/>
    <n v="35526"/>
  </r>
  <r>
    <x v="3"/>
    <x v="12"/>
    <x v="58"/>
    <n v="19114"/>
  </r>
  <r>
    <x v="15"/>
    <x v="127"/>
    <x v="58"/>
    <n v="13668"/>
  </r>
  <r>
    <x v="4"/>
    <x v="99"/>
    <x v="58"/>
    <n v="36463"/>
  </r>
  <r>
    <x v="4"/>
    <x v="38"/>
    <x v="58"/>
    <n v="32714"/>
  </r>
  <r>
    <x v="5"/>
    <x v="41"/>
    <x v="58"/>
    <n v="45655"/>
  </r>
  <r>
    <x v="5"/>
    <x v="63"/>
    <x v="58"/>
    <n v="36763"/>
  </r>
  <r>
    <x v="12"/>
    <x v="158"/>
    <x v="59"/>
    <n v="14038"/>
  </r>
  <r>
    <x v="0"/>
    <x v="204"/>
    <x v="59"/>
    <n v="22077"/>
  </r>
  <r>
    <x v="9"/>
    <x v="208"/>
    <x v="59"/>
    <n v="12463"/>
  </r>
  <r>
    <x v="6"/>
    <x v="137"/>
    <x v="59"/>
    <n v="20145"/>
  </r>
  <r>
    <x v="10"/>
    <x v="103"/>
    <x v="59"/>
    <n v="18822"/>
  </r>
  <r>
    <x v="10"/>
    <x v="213"/>
    <x v="59"/>
    <n v="10384"/>
  </r>
  <r>
    <x v="10"/>
    <x v="48"/>
    <x v="59"/>
    <n v="7902"/>
  </r>
  <r>
    <x v="3"/>
    <x v="225"/>
    <x v="59"/>
    <n v="17406"/>
  </r>
  <r>
    <x v="7"/>
    <x v="231"/>
    <x v="59"/>
    <n v="22881"/>
  </r>
  <r>
    <x v="4"/>
    <x v="169"/>
    <x v="59"/>
    <n v="42201"/>
  </r>
  <r>
    <x v="4"/>
    <x v="133"/>
    <x v="59"/>
    <n v="27272"/>
  </r>
  <r>
    <x v="4"/>
    <x v="235"/>
    <x v="59"/>
    <n v="32792"/>
  </r>
  <r>
    <x v="5"/>
    <x v="128"/>
    <x v="59"/>
    <n v="39548"/>
  </r>
  <r>
    <x v="5"/>
    <x v="53"/>
    <x v="59"/>
    <n v="36018"/>
  </r>
  <r>
    <x v="5"/>
    <x v="39"/>
    <x v="59"/>
    <n v="49331"/>
  </r>
  <r>
    <x v="5"/>
    <x v="23"/>
    <x v="59"/>
    <n v="35626"/>
  </r>
  <r>
    <x v="5"/>
    <x v="40"/>
    <x v="59"/>
    <n v="48230"/>
  </r>
  <r>
    <x v="5"/>
    <x v="25"/>
    <x v="59"/>
    <n v="55199"/>
  </r>
  <r>
    <x v="9"/>
    <x v="69"/>
    <x v="60"/>
    <n v="13117"/>
  </r>
  <r>
    <x v="6"/>
    <x v="56"/>
    <x v="60"/>
    <n v="14274"/>
  </r>
  <r>
    <x v="6"/>
    <x v="161"/>
    <x v="60"/>
    <n v="15854"/>
  </r>
  <r>
    <x v="14"/>
    <x v="66"/>
    <x v="60"/>
    <n v="5200"/>
  </r>
  <r>
    <x v="0"/>
    <x v="167"/>
    <x v="61"/>
    <n v="29859"/>
  </r>
  <r>
    <x v="0"/>
    <x v="135"/>
    <x v="61"/>
    <n v="30491"/>
  </r>
  <r>
    <x v="0"/>
    <x v="68"/>
    <x v="61"/>
    <n v="37692"/>
  </r>
  <r>
    <x v="9"/>
    <x v="44"/>
    <x v="61"/>
    <n v="16061"/>
  </r>
  <r>
    <x v="7"/>
    <x v="114"/>
    <x v="61"/>
    <n v="16464"/>
  </r>
  <r>
    <x v="7"/>
    <x v="115"/>
    <x v="61"/>
    <n v="30275"/>
  </r>
  <r>
    <x v="4"/>
    <x v="51"/>
    <x v="61"/>
    <n v="43731"/>
  </r>
  <r>
    <x v="4"/>
    <x v="78"/>
    <x v="61"/>
    <n v="36433"/>
  </r>
  <r>
    <x v="5"/>
    <x v="53"/>
    <x v="61"/>
    <n v="38610"/>
  </r>
  <r>
    <x v="5"/>
    <x v="108"/>
    <x v="61"/>
    <n v="36668"/>
  </r>
  <r>
    <x v="5"/>
    <x v="218"/>
    <x v="61"/>
    <n v="58825"/>
  </r>
  <r>
    <x v="5"/>
    <x v="6"/>
    <x v="61"/>
    <n v="35455"/>
  </r>
  <r>
    <x v="5"/>
    <x v="87"/>
    <x v="61"/>
    <n v="46371"/>
  </r>
  <r>
    <x v="5"/>
    <x v="151"/>
    <x v="61"/>
    <n v="65903"/>
  </r>
  <r>
    <x v="5"/>
    <x v="41"/>
    <x v="61"/>
    <n v="41018"/>
  </r>
  <r>
    <x v="0"/>
    <x v="42"/>
    <x v="62"/>
    <n v="26811"/>
  </r>
  <r>
    <x v="9"/>
    <x v="70"/>
    <x v="62"/>
    <n v="21980"/>
  </r>
  <r>
    <x v="9"/>
    <x v="27"/>
    <x v="62"/>
    <n v="14924"/>
  </r>
  <r>
    <x v="6"/>
    <x v="222"/>
    <x v="62"/>
    <n v="16333"/>
  </r>
  <r>
    <x v="6"/>
    <x v="102"/>
    <x v="62"/>
    <n v="15325"/>
  </r>
  <r>
    <x v="2"/>
    <x v="3"/>
    <x v="62"/>
    <n v="16042"/>
  </r>
  <r>
    <x v="3"/>
    <x v="140"/>
    <x v="62"/>
    <n v="28650"/>
  </r>
  <r>
    <x v="7"/>
    <x v="199"/>
    <x v="62"/>
    <n v="28247"/>
  </r>
  <r>
    <x v="7"/>
    <x v="106"/>
    <x v="62"/>
    <n v="26458"/>
  </r>
  <r>
    <x v="5"/>
    <x v="176"/>
    <x v="62"/>
    <n v="51617"/>
  </r>
  <r>
    <x v="5"/>
    <x v="129"/>
    <x v="62"/>
    <n v="39933"/>
  </r>
  <r>
    <x v="6"/>
    <x v="173"/>
    <x v="63"/>
    <n v="5200"/>
  </r>
  <r>
    <x v="8"/>
    <x v="75"/>
    <x v="63"/>
    <n v="24125"/>
  </r>
  <r>
    <x v="7"/>
    <x v="14"/>
    <x v="63"/>
    <n v="6212"/>
  </r>
  <r>
    <x v="7"/>
    <x v="149"/>
    <x v="63"/>
    <n v="28313"/>
  </r>
  <r>
    <x v="4"/>
    <x v="60"/>
    <x v="63"/>
    <n v="13677"/>
  </r>
  <r>
    <x v="4"/>
    <x v="181"/>
    <x v="63"/>
    <n v="17947"/>
  </r>
  <r>
    <x v="5"/>
    <x v="144"/>
    <x v="63"/>
    <n v="46643"/>
  </r>
  <r>
    <x v="5"/>
    <x v="96"/>
    <x v="63"/>
    <n v="46005"/>
  </r>
  <r>
    <x v="5"/>
    <x v="96"/>
    <x v="63"/>
    <n v="46667"/>
  </r>
  <r>
    <x v="0"/>
    <x v="226"/>
    <x v="64"/>
    <n v="38389"/>
  </r>
  <r>
    <x v="6"/>
    <x v="227"/>
    <x v="64"/>
    <n v="5200"/>
  </r>
  <r>
    <x v="10"/>
    <x v="138"/>
    <x v="64"/>
    <n v="14633"/>
  </r>
  <r>
    <x v="17"/>
    <x v="209"/>
    <x v="64"/>
    <n v="10133"/>
  </r>
  <r>
    <x v="7"/>
    <x v="0"/>
    <x v="64"/>
    <n v="40832"/>
  </r>
  <r>
    <x v="4"/>
    <x v="96"/>
    <x v="64"/>
    <n v="39170"/>
  </r>
  <r>
    <x v="5"/>
    <x v="108"/>
    <x v="64"/>
    <n v="33506"/>
  </r>
  <r>
    <x v="5"/>
    <x v="129"/>
    <x v="64"/>
    <n v="41141"/>
  </r>
  <r>
    <x v="5"/>
    <x v="95"/>
    <x v="64"/>
    <n v="64730"/>
  </r>
  <r>
    <x v="5"/>
    <x v="143"/>
    <x v="64"/>
    <n v="46592"/>
  </r>
  <r>
    <x v="2"/>
    <x v="180"/>
    <x v="65"/>
    <n v="16131"/>
  </r>
  <r>
    <x v="3"/>
    <x v="125"/>
    <x v="65"/>
    <n v="18037"/>
  </r>
  <r>
    <x v="8"/>
    <x v="166"/>
    <x v="65"/>
    <n v="11716"/>
  </r>
  <r>
    <x v="7"/>
    <x v="215"/>
    <x v="65"/>
    <n v="10497"/>
  </r>
  <r>
    <x v="4"/>
    <x v="43"/>
    <x v="65"/>
    <n v="30622"/>
  </r>
  <r>
    <x v="5"/>
    <x v="95"/>
    <x v="65"/>
    <n v="43721"/>
  </r>
  <r>
    <x v="5"/>
    <x v="96"/>
    <x v="65"/>
    <n v="39111"/>
  </r>
  <r>
    <x v="12"/>
    <x v="81"/>
    <x v="66"/>
    <n v="11132"/>
  </r>
  <r>
    <x v="0"/>
    <x v="134"/>
    <x v="66"/>
    <n v="28841"/>
  </r>
  <r>
    <x v="0"/>
    <x v="77"/>
    <x v="66"/>
    <n v="34102"/>
  </r>
  <r>
    <x v="0"/>
    <x v="219"/>
    <x v="66"/>
    <n v="21355"/>
  </r>
  <r>
    <x v="0"/>
    <x v="8"/>
    <x v="66"/>
    <n v="40154"/>
  </r>
  <r>
    <x v="1"/>
    <x v="211"/>
    <x v="66"/>
    <n v="10701"/>
  </r>
  <r>
    <x v="7"/>
    <x v="34"/>
    <x v="66"/>
    <n v="24190"/>
  </r>
  <r>
    <x v="4"/>
    <x v="77"/>
    <x v="66"/>
    <n v="29983"/>
  </r>
  <r>
    <x v="4"/>
    <x v="160"/>
    <x v="66"/>
    <n v="35444"/>
  </r>
  <r>
    <x v="5"/>
    <x v="183"/>
    <x v="66"/>
    <n v="41635"/>
  </r>
  <r>
    <x v="5"/>
    <x v="236"/>
    <x v="66"/>
    <n v="34802"/>
  </r>
  <r>
    <x v="5"/>
    <x v="19"/>
    <x v="66"/>
    <n v="53356"/>
  </r>
  <r>
    <x v="0"/>
    <x v="205"/>
    <x v="67"/>
    <n v="32918"/>
  </r>
  <r>
    <x v="6"/>
    <x v="101"/>
    <x v="67"/>
    <n v="16181"/>
  </r>
  <r>
    <x v="19"/>
    <x v="223"/>
    <x v="67"/>
    <n v="17101"/>
  </r>
  <r>
    <x v="11"/>
    <x v="46"/>
    <x v="67"/>
    <n v="5855"/>
  </r>
  <r>
    <x v="2"/>
    <x v="72"/>
    <x v="67"/>
    <n v="16228"/>
  </r>
  <r>
    <x v="4"/>
    <x v="105"/>
    <x v="67"/>
    <n v="29534"/>
  </r>
  <r>
    <x v="4"/>
    <x v="182"/>
    <x v="67"/>
    <n v="52205"/>
  </r>
  <r>
    <x v="5"/>
    <x v="53"/>
    <x v="67"/>
    <n v="31394"/>
  </r>
  <r>
    <x v="5"/>
    <x v="62"/>
    <x v="67"/>
    <n v="41752"/>
  </r>
  <r>
    <x v="5"/>
    <x v="8"/>
    <x v="67"/>
    <n v="25916"/>
  </r>
  <r>
    <x v="12"/>
    <x v="91"/>
    <x v="68"/>
    <n v="18415"/>
  </r>
  <r>
    <x v="1"/>
    <x v="131"/>
    <x v="68"/>
    <n v="14835"/>
  </r>
  <r>
    <x v="1"/>
    <x v="124"/>
    <x v="68"/>
    <n v="12835"/>
  </r>
  <r>
    <x v="3"/>
    <x v="230"/>
    <x v="68"/>
    <n v="18967"/>
  </r>
  <r>
    <x v="3"/>
    <x v="12"/>
    <x v="68"/>
    <n v="21275"/>
  </r>
  <r>
    <x v="17"/>
    <x v="187"/>
    <x v="68"/>
    <n v="12071"/>
  </r>
  <r>
    <x v="4"/>
    <x v="86"/>
    <x v="68"/>
    <n v="41166"/>
  </r>
  <r>
    <x v="4"/>
    <x v="133"/>
    <x v="68"/>
    <n v="24633"/>
  </r>
  <r>
    <x v="5"/>
    <x v="165"/>
    <x v="68"/>
    <n v="25883"/>
  </r>
  <r>
    <x v="5"/>
    <x v="62"/>
    <x v="68"/>
    <n v="41515"/>
  </r>
  <r>
    <x v="5"/>
    <x v="23"/>
    <x v="68"/>
    <n v="30106"/>
  </r>
  <r>
    <x v="1"/>
    <x v="71"/>
    <x v="69"/>
    <n v="11941"/>
  </r>
  <r>
    <x v="2"/>
    <x v="65"/>
    <x v="69"/>
    <n v="16058"/>
  </r>
  <r>
    <x v="3"/>
    <x v="148"/>
    <x v="69"/>
    <n v="19152"/>
  </r>
  <r>
    <x v="7"/>
    <x v="197"/>
    <x v="69"/>
    <n v="24614"/>
  </r>
  <r>
    <x v="4"/>
    <x v="122"/>
    <x v="69"/>
    <n v="31230"/>
  </r>
  <r>
    <x v="5"/>
    <x v="62"/>
    <x v="69"/>
    <n v="43245"/>
  </r>
  <r>
    <x v="5"/>
    <x v="17"/>
    <x v="69"/>
    <n v="30819"/>
  </r>
  <r>
    <x v="5"/>
    <x v="130"/>
    <x v="69"/>
    <n v="38976"/>
  </r>
  <r>
    <x v="5"/>
    <x v="80"/>
    <x v="69"/>
    <n v="48849"/>
  </r>
  <r>
    <x v="18"/>
    <x v="201"/>
    <x v="70"/>
    <n v="8648"/>
  </r>
  <r>
    <x v="16"/>
    <x v="153"/>
    <x v="70"/>
    <n v="13294"/>
  </r>
  <r>
    <x v="3"/>
    <x v="229"/>
    <x v="70"/>
    <n v="40111"/>
  </r>
  <r>
    <x v="8"/>
    <x v="32"/>
    <x v="70"/>
    <n v="16638"/>
  </r>
  <r>
    <x v="4"/>
    <x v="164"/>
    <x v="70"/>
    <n v="26143"/>
  </r>
  <r>
    <x v="4"/>
    <x v="121"/>
    <x v="70"/>
    <n v="48987"/>
  </r>
  <r>
    <x v="5"/>
    <x v="7"/>
    <x v="70"/>
    <n v="47075"/>
  </r>
  <r>
    <x v="5"/>
    <x v="17"/>
    <x v="70"/>
    <n v="44600"/>
  </r>
  <r>
    <x v="5"/>
    <x v="18"/>
    <x v="70"/>
    <n v="37891"/>
  </r>
  <r>
    <x v="5"/>
    <x v="99"/>
    <x v="70"/>
    <n v="29596"/>
  </r>
  <r>
    <x v="0"/>
    <x v="55"/>
    <x v="71"/>
    <n v="33466"/>
  </r>
  <r>
    <x v="0"/>
    <x v="184"/>
    <x v="71"/>
    <n v="30470"/>
  </r>
  <r>
    <x v="1"/>
    <x v="11"/>
    <x v="71"/>
    <n v="14589"/>
  </r>
  <r>
    <x v="10"/>
    <x v="196"/>
    <x v="71"/>
    <n v="10367"/>
  </r>
  <r>
    <x v="8"/>
    <x v="168"/>
    <x v="71"/>
    <n v="12984"/>
  </r>
  <r>
    <x v="7"/>
    <x v="232"/>
    <x v="71"/>
    <n v="16962"/>
  </r>
  <r>
    <x v="4"/>
    <x v="129"/>
    <x v="71"/>
    <n v="30124"/>
  </r>
  <r>
    <x v="4"/>
    <x v="157"/>
    <x v="71"/>
    <n v="41882"/>
  </r>
  <r>
    <x v="4"/>
    <x v="160"/>
    <x v="71"/>
    <n v="32623"/>
  </r>
  <r>
    <x v="5"/>
    <x v="87"/>
    <x v="71"/>
    <n v="42440"/>
  </r>
  <r>
    <x v="5"/>
    <x v="109"/>
    <x v="71"/>
    <n v="46832"/>
  </r>
  <r>
    <x v="5"/>
    <x v="8"/>
    <x v="71"/>
    <n v="42806"/>
  </r>
  <r>
    <x v="18"/>
    <x v="233"/>
    <x v="72"/>
    <n v="13645"/>
  </r>
  <r>
    <x v="0"/>
    <x v="190"/>
    <x v="72"/>
    <n v="40298"/>
  </r>
  <r>
    <x v="10"/>
    <x v="224"/>
    <x v="72"/>
    <n v="9553"/>
  </r>
  <r>
    <x v="2"/>
    <x v="29"/>
    <x v="72"/>
    <n v="38519"/>
  </r>
  <r>
    <x v="3"/>
    <x v="112"/>
    <x v="72"/>
    <n v="22164"/>
  </r>
  <r>
    <x v="8"/>
    <x v="21"/>
    <x v="72"/>
    <n v="14749"/>
  </r>
  <r>
    <x v="4"/>
    <x v="200"/>
    <x v="72"/>
    <n v="36231"/>
  </r>
  <r>
    <x v="5"/>
    <x v="39"/>
    <x v="72"/>
    <n v="40387"/>
  </r>
  <r>
    <x v="5"/>
    <x v="130"/>
    <x v="72"/>
    <n v="42475"/>
  </r>
  <r>
    <x v="5"/>
    <x v="19"/>
    <x v="72"/>
    <n v="50084"/>
  </r>
  <r>
    <x v="12"/>
    <x v="123"/>
    <x v="73"/>
    <n v="8465"/>
  </r>
  <r>
    <x v="0"/>
    <x v="167"/>
    <x v="73"/>
    <n v="31181"/>
  </r>
  <r>
    <x v="6"/>
    <x v="159"/>
    <x v="73"/>
    <n v="5200"/>
  </r>
  <r>
    <x v="6"/>
    <x v="220"/>
    <x v="73"/>
    <n v="18549"/>
  </r>
  <r>
    <x v="10"/>
    <x v="28"/>
    <x v="73"/>
    <n v="13932"/>
  </r>
  <r>
    <x v="11"/>
    <x v="45"/>
    <x v="73"/>
    <n v="5200"/>
  </r>
  <r>
    <x v="11"/>
    <x v="139"/>
    <x v="73"/>
    <n v="14489"/>
  </r>
  <r>
    <x v="2"/>
    <x v="30"/>
    <x v="73"/>
    <n v="18190"/>
  </r>
  <r>
    <x v="3"/>
    <x v="214"/>
    <x v="73"/>
    <n v="18999"/>
  </r>
  <r>
    <x v="3"/>
    <x v="76"/>
    <x v="73"/>
    <n v="17640"/>
  </r>
  <r>
    <x v="7"/>
    <x v="58"/>
    <x v="73"/>
    <n v="23251"/>
  </r>
  <r>
    <x v="7"/>
    <x v="35"/>
    <x v="73"/>
    <n v="21201"/>
  </r>
  <r>
    <x v="4"/>
    <x v="52"/>
    <x v="73"/>
    <n v="45834"/>
  </r>
  <r>
    <x v="5"/>
    <x v="108"/>
    <x v="73"/>
    <n v="37293"/>
  </r>
  <r>
    <x v="5"/>
    <x v="89"/>
    <x v="73"/>
    <n v="49863"/>
  </r>
  <r>
    <x v="5"/>
    <x v="61"/>
    <x v="73"/>
    <n v="42147"/>
  </r>
  <r>
    <x v="5"/>
    <x v="23"/>
    <x v="73"/>
    <n v="30100"/>
  </r>
  <r>
    <x v="5"/>
    <x v="144"/>
    <x v="73"/>
    <n v="29686"/>
  </r>
  <r>
    <x v="12"/>
    <x v="54"/>
    <x v="74"/>
    <n v="12382"/>
  </r>
  <r>
    <x v="0"/>
    <x v="154"/>
    <x v="74"/>
    <n v="36495"/>
  </r>
  <r>
    <x v="0"/>
    <x v="171"/>
    <x v="74"/>
    <n v="27472"/>
  </r>
  <r>
    <x v="0"/>
    <x v="175"/>
    <x v="74"/>
    <n v="46610"/>
  </r>
  <r>
    <x v="0"/>
    <x v="155"/>
    <x v="74"/>
    <n v="10215"/>
  </r>
  <r>
    <x v="6"/>
    <x v="206"/>
    <x v="74"/>
    <n v="5200"/>
  </r>
  <r>
    <x v="6"/>
    <x v="146"/>
    <x v="74"/>
    <n v="18413"/>
  </r>
  <r>
    <x v="11"/>
    <x v="178"/>
    <x v="74"/>
    <n v="11935"/>
  </r>
  <r>
    <x v="4"/>
    <x v="22"/>
    <x v="74"/>
    <n v="25461"/>
  </r>
  <r>
    <x v="4"/>
    <x v="122"/>
    <x v="74"/>
    <n v="36944"/>
  </r>
  <r>
    <x v="4"/>
    <x v="188"/>
    <x v="74"/>
    <n v="41328"/>
  </r>
  <r>
    <x v="5"/>
    <x v="7"/>
    <x v="74"/>
    <n v="47342"/>
  </r>
  <r>
    <x v="5"/>
    <x v="88"/>
    <x v="74"/>
    <n v="39789"/>
  </r>
  <r>
    <x v="5"/>
    <x v="130"/>
    <x v="74"/>
    <n v="42276"/>
  </r>
  <r>
    <x v="0"/>
    <x v="221"/>
    <x v="75"/>
    <n v="10951"/>
  </r>
  <r>
    <x v="15"/>
    <x v="127"/>
    <x v="75"/>
    <n v="13503"/>
  </r>
  <r>
    <x v="4"/>
    <x v="217"/>
    <x v="75"/>
    <n v="47394"/>
  </r>
  <r>
    <x v="5"/>
    <x v="176"/>
    <x v="75"/>
    <n v="33427"/>
  </r>
  <r>
    <x v="5"/>
    <x v="39"/>
    <x v="75"/>
    <n v="35420"/>
  </r>
  <r>
    <x v="5"/>
    <x v="109"/>
    <x v="75"/>
    <n v="37869"/>
  </r>
  <r>
    <x v="5"/>
    <x v="90"/>
    <x v="75"/>
    <n v="36780"/>
  </r>
  <r>
    <x v="5"/>
    <x v="152"/>
    <x v="75"/>
    <n v="43032"/>
  </r>
  <r>
    <x v="0"/>
    <x v="194"/>
    <x v="76"/>
    <n v="7468"/>
  </r>
  <r>
    <x v="0"/>
    <x v="136"/>
    <x v="76"/>
    <n v="6997"/>
  </r>
  <r>
    <x v="3"/>
    <x v="20"/>
    <x v="76"/>
    <n v="18050"/>
  </r>
  <r>
    <x v="4"/>
    <x v="142"/>
    <x v="76"/>
    <n v="51765"/>
  </r>
  <r>
    <x v="4"/>
    <x v="59"/>
    <x v="76"/>
    <n v="49463"/>
  </r>
  <r>
    <x v="5"/>
    <x v="176"/>
    <x v="76"/>
    <n v="35648"/>
  </r>
  <r>
    <x v="5"/>
    <x v="164"/>
    <x v="76"/>
    <n v="29430"/>
  </r>
  <r>
    <x v="5"/>
    <x v="67"/>
    <x v="76"/>
    <n v="52415"/>
  </r>
  <r>
    <x v="12"/>
    <x v="202"/>
    <x v="77"/>
    <n v="6774"/>
  </r>
  <r>
    <x v="2"/>
    <x v="192"/>
    <x v="77"/>
    <n v="29185"/>
  </r>
  <r>
    <x v="2"/>
    <x v="193"/>
    <x v="77"/>
    <n v="19396"/>
  </r>
  <r>
    <x v="2"/>
    <x v="186"/>
    <x v="77"/>
    <n v="14317"/>
  </r>
  <r>
    <x v="3"/>
    <x v="31"/>
    <x v="77"/>
    <n v="22664"/>
  </r>
  <r>
    <x v="4"/>
    <x v="18"/>
    <x v="77"/>
    <n v="43497"/>
  </r>
  <r>
    <x v="4"/>
    <x v="4"/>
    <x v="77"/>
    <n v="48860"/>
  </r>
  <r>
    <x v="4"/>
    <x v="235"/>
    <x v="77"/>
    <n v="34873"/>
  </r>
  <r>
    <x v="5"/>
    <x v="94"/>
    <x v="77"/>
    <n v="58858"/>
  </r>
  <r>
    <x v="5"/>
    <x v="183"/>
    <x v="77"/>
    <n v="43148"/>
  </r>
  <r>
    <x v="5"/>
    <x v="62"/>
    <x v="77"/>
    <n v="42792"/>
  </r>
  <r>
    <x v="5"/>
    <x v="151"/>
    <x v="77"/>
    <n v="46709"/>
  </r>
  <r>
    <x v="5"/>
    <x v="99"/>
    <x v="77"/>
    <n v="40412"/>
  </r>
  <r>
    <x v="12"/>
    <x v="64"/>
    <x v="78"/>
    <n v="21700"/>
  </r>
  <r>
    <x v="0"/>
    <x v="203"/>
    <x v="78"/>
    <n v="43284"/>
  </r>
  <r>
    <x v="0"/>
    <x v="98"/>
    <x v="78"/>
    <n v="28270"/>
  </r>
  <r>
    <x v="11"/>
    <x v="185"/>
    <x v="78"/>
    <n v="12871"/>
  </r>
  <r>
    <x v="2"/>
    <x v="179"/>
    <x v="78"/>
    <n v="17538"/>
  </r>
  <r>
    <x v="13"/>
    <x v="57"/>
    <x v="78"/>
    <n v="8008"/>
  </r>
  <r>
    <x v="14"/>
    <x v="228"/>
    <x v="78"/>
    <n v="5200"/>
  </r>
  <r>
    <x v="7"/>
    <x v="116"/>
    <x v="78"/>
    <n v="30795"/>
  </r>
  <r>
    <x v="7"/>
    <x v="93"/>
    <x v="78"/>
    <n v="26815"/>
  </r>
  <r>
    <x v="4"/>
    <x v="200"/>
    <x v="78"/>
    <n v="40520"/>
  </r>
  <r>
    <x v="4"/>
    <x v="107"/>
    <x v="78"/>
    <n v="34621"/>
  </r>
  <r>
    <x v="5"/>
    <x v="128"/>
    <x v="78"/>
    <n v="38259"/>
  </r>
  <r>
    <x v="5"/>
    <x v="176"/>
    <x v="78"/>
    <n v="48857"/>
  </r>
  <r>
    <x v="5"/>
    <x v="79"/>
    <x v="78"/>
    <n v="32828"/>
  </r>
  <r>
    <x v="5"/>
    <x v="96"/>
    <x v="78"/>
    <n v="33581"/>
  </r>
  <r>
    <x v="2"/>
    <x v="174"/>
    <x v="79"/>
    <n v="10467"/>
  </r>
  <r>
    <x v="8"/>
    <x v="92"/>
    <x v="79"/>
    <n v="24837"/>
  </r>
  <r>
    <x v="4"/>
    <x v="6"/>
    <x v="79"/>
    <n v="51302"/>
  </r>
  <r>
    <x v="4"/>
    <x v="188"/>
    <x v="79"/>
    <n v="42502"/>
  </r>
  <r>
    <x v="4"/>
    <x v="117"/>
    <x v="79"/>
    <n v="45011"/>
  </r>
  <r>
    <x v="4"/>
    <x v="107"/>
    <x v="79"/>
    <n v="26354"/>
  </r>
  <r>
    <x v="5"/>
    <x v="9"/>
    <x v="79"/>
    <n v="41546"/>
  </r>
  <r>
    <x v="5"/>
    <x v="62"/>
    <x v="79"/>
    <n v="51931"/>
  </r>
  <r>
    <x v="5"/>
    <x v="24"/>
    <x v="79"/>
    <n v="63203"/>
  </r>
  <r>
    <x v="5"/>
    <x v="68"/>
    <x v="79"/>
    <n v="36018"/>
  </r>
  <r>
    <x v="13"/>
    <x v="147"/>
    <x v="80"/>
    <n v="14109"/>
  </r>
  <r>
    <x v="3"/>
    <x v="119"/>
    <x v="80"/>
    <n v="43015"/>
  </r>
  <r>
    <x v="4"/>
    <x v="25"/>
    <x v="80"/>
    <n v="52369"/>
  </r>
  <r>
    <x v="5"/>
    <x v="130"/>
    <x v="80"/>
    <n v="42103"/>
  </r>
  <r>
    <x v="5"/>
    <x v="4"/>
    <x v="80"/>
    <n v="43503"/>
  </r>
  <r>
    <x v="5"/>
    <x v="25"/>
    <x v="80"/>
    <n v="45402"/>
  </r>
  <r>
    <x v="5"/>
    <x v="80"/>
    <x v="80"/>
    <n v="36964"/>
  </r>
  <r>
    <x v="0"/>
    <x v="82"/>
    <x v="81"/>
    <n v="31772"/>
  </r>
  <r>
    <x v="2"/>
    <x v="2"/>
    <x v="81"/>
    <n v="19043"/>
  </r>
  <r>
    <x v="4"/>
    <x v="22"/>
    <x v="81"/>
    <n v="38510"/>
  </r>
  <r>
    <x v="4"/>
    <x v="216"/>
    <x v="81"/>
    <n v="44167"/>
  </r>
  <r>
    <x v="4"/>
    <x v="38"/>
    <x v="81"/>
    <n v="31605"/>
  </r>
  <r>
    <x v="5"/>
    <x v="217"/>
    <x v="81"/>
    <n v="41269"/>
  </r>
  <r>
    <x v="5"/>
    <x v="68"/>
    <x v="81"/>
    <n v="36472"/>
  </r>
  <r>
    <x v="1"/>
    <x v="212"/>
    <x v="82"/>
    <n v="14140"/>
  </r>
  <r>
    <x v="11"/>
    <x v="132"/>
    <x v="82"/>
    <n v="28184"/>
  </r>
  <r>
    <x v="7"/>
    <x v="15"/>
    <x v="82"/>
    <n v="23231"/>
  </r>
  <r>
    <x v="7"/>
    <x v="172"/>
    <x v="82"/>
    <n v="18032"/>
  </r>
  <r>
    <x v="7"/>
    <x v="232"/>
    <x v="82"/>
    <n v="25835"/>
  </r>
  <r>
    <x v="4"/>
    <x v="38"/>
    <x v="82"/>
    <n v="28821"/>
  </r>
  <r>
    <x v="4"/>
    <x v="41"/>
    <x v="82"/>
    <n v="37936"/>
  </r>
  <r>
    <x v="5"/>
    <x v="7"/>
    <x v="82"/>
    <n v="41446"/>
  </r>
  <r>
    <x v="5"/>
    <x v="88"/>
    <x v="82"/>
    <n v="42745"/>
  </r>
  <r>
    <x v="5"/>
    <x v="236"/>
    <x v="82"/>
    <n v="52605"/>
  </r>
  <r>
    <x v="5"/>
    <x v="99"/>
    <x v="82"/>
    <n v="39167"/>
  </r>
  <r>
    <x v="5"/>
    <x v="99"/>
    <x v="82"/>
    <n v="44958"/>
  </r>
  <r>
    <x v="10"/>
    <x v="191"/>
    <x v="83"/>
    <n v="15711"/>
  </r>
  <r>
    <x v="2"/>
    <x v="198"/>
    <x v="83"/>
    <n v="19099"/>
  </r>
  <r>
    <x v="13"/>
    <x v="85"/>
    <x v="83"/>
    <n v="24731"/>
  </r>
  <r>
    <x v="7"/>
    <x v="33"/>
    <x v="83"/>
    <n v="5471"/>
  </r>
  <r>
    <x v="7"/>
    <x v="13"/>
    <x v="83"/>
    <n v="11655"/>
  </r>
  <r>
    <x v="4"/>
    <x v="50"/>
    <x v="83"/>
    <n v="24448"/>
  </r>
  <r>
    <x v="4"/>
    <x v="16"/>
    <x v="83"/>
    <n v="33846"/>
  </r>
  <r>
    <x v="5"/>
    <x v="62"/>
    <x v="83"/>
    <n v="47750"/>
  </r>
  <r>
    <x v="5"/>
    <x v="80"/>
    <x v="83"/>
    <n v="52447"/>
  </r>
  <r>
    <x v="5"/>
    <x v="80"/>
    <x v="83"/>
    <n v="33936"/>
  </r>
  <r>
    <x v="12"/>
    <x v="110"/>
    <x v="84"/>
    <n v="13577"/>
  </r>
  <r>
    <x v="0"/>
    <x v="210"/>
    <x v="84"/>
    <n v="33648"/>
  </r>
  <r>
    <x v="10"/>
    <x v="162"/>
    <x v="84"/>
    <n v="15202"/>
  </r>
  <r>
    <x v="3"/>
    <x v="47"/>
    <x v="84"/>
    <n v="19012"/>
  </r>
  <r>
    <x v="3"/>
    <x v="113"/>
    <x v="84"/>
    <n v="19922"/>
  </r>
  <r>
    <x v="7"/>
    <x v="163"/>
    <x v="84"/>
    <n v="24025"/>
  </r>
  <r>
    <x v="5"/>
    <x v="150"/>
    <x v="84"/>
    <n v="31128"/>
  </r>
  <r>
    <x v="5"/>
    <x v="17"/>
    <x v="84"/>
    <n v="34417"/>
  </r>
  <r>
    <x v="5"/>
    <x v="151"/>
    <x v="84"/>
    <n v="49252"/>
  </r>
  <r>
    <x v="0"/>
    <x v="177"/>
    <x v="85"/>
    <n v="32497"/>
  </r>
  <r>
    <x v="10"/>
    <x v="234"/>
    <x v="85"/>
    <n v="15392"/>
  </r>
  <r>
    <x v="3"/>
    <x v="118"/>
    <x v="85"/>
    <n v="21661"/>
  </r>
  <r>
    <x v="4"/>
    <x v="74"/>
    <x v="85"/>
    <n v="46083"/>
  </r>
  <r>
    <x v="5"/>
    <x v="6"/>
    <x v="85"/>
    <n v="40301"/>
  </r>
  <r>
    <x v="5"/>
    <x v="39"/>
    <x v="85"/>
    <n v="45141"/>
  </r>
  <r>
    <x v="5"/>
    <x v="96"/>
    <x v="85"/>
    <n v="41616"/>
  </r>
  <r>
    <x v="0"/>
    <x v="97"/>
    <x v="86"/>
    <n v="37585"/>
  </r>
  <r>
    <x v="0"/>
    <x v="49"/>
    <x v="86"/>
    <n v="40002"/>
  </r>
  <r>
    <x v="10"/>
    <x v="83"/>
    <x v="86"/>
    <n v="16800"/>
  </r>
  <r>
    <x v="2"/>
    <x v="111"/>
    <x v="86"/>
    <n v="16683"/>
  </r>
  <r>
    <x v="4"/>
    <x v="77"/>
    <x v="86"/>
    <n v="41455"/>
  </r>
  <r>
    <x v="4"/>
    <x v="43"/>
    <x v="86"/>
    <n v="40075"/>
  </r>
  <r>
    <x v="5"/>
    <x v="79"/>
    <x v="86"/>
    <n v="40085"/>
  </r>
  <r>
    <x v="5"/>
    <x v="152"/>
    <x v="86"/>
    <n v="48594"/>
  </r>
  <r>
    <x v="5"/>
    <x v="63"/>
    <x v="86"/>
    <n v="51311"/>
  </r>
  <r>
    <x v="12"/>
    <x v="170"/>
    <x v="87"/>
    <n v="14968"/>
  </r>
  <r>
    <x v="6"/>
    <x v="10"/>
    <x v="87"/>
    <n v="15367"/>
  </r>
  <r>
    <x v="2"/>
    <x v="84"/>
    <x v="87"/>
    <n v="5200"/>
  </r>
  <r>
    <x v="17"/>
    <x v="195"/>
    <x v="87"/>
    <n v="13996"/>
  </r>
  <r>
    <x v="7"/>
    <x v="36"/>
    <x v="87"/>
    <n v="18913"/>
  </r>
  <r>
    <x v="4"/>
    <x v="37"/>
    <x v="87"/>
    <n v="43277"/>
  </r>
  <r>
    <x v="5"/>
    <x v="176"/>
    <x v="87"/>
    <n v="40146"/>
  </r>
  <r>
    <x v="5"/>
    <x v="61"/>
    <x v="87"/>
    <n v="47680"/>
  </r>
  <r>
    <x v="5"/>
    <x v="18"/>
    <x v="87"/>
    <n v="40720"/>
  </r>
  <r>
    <x v="5"/>
    <x v="95"/>
    <x v="87"/>
    <n v="60841"/>
  </r>
  <r>
    <x v="5"/>
    <x v="144"/>
    <x v="87"/>
    <n v="45660"/>
  </r>
  <r>
    <x v="0"/>
    <x v="145"/>
    <x v="88"/>
    <n v="37676"/>
  </r>
  <r>
    <x v="9"/>
    <x v="100"/>
    <x v="88"/>
    <n v="12693"/>
  </r>
  <r>
    <x v="1"/>
    <x v="1"/>
    <x v="88"/>
    <n v="12989"/>
  </r>
  <r>
    <x v="3"/>
    <x v="104"/>
    <x v="88"/>
    <n v="6383"/>
  </r>
  <r>
    <x v="8"/>
    <x v="73"/>
    <x v="88"/>
    <n v="12262"/>
  </r>
  <r>
    <x v="4"/>
    <x v="86"/>
    <x v="88"/>
    <n v="39853"/>
  </r>
  <r>
    <x v="4"/>
    <x v="16"/>
    <x v="88"/>
    <n v="32784"/>
  </r>
  <r>
    <x v="4"/>
    <x v="126"/>
    <x v="88"/>
    <n v="44658"/>
  </r>
  <r>
    <x v="5"/>
    <x v="128"/>
    <x v="88"/>
    <n v="36702"/>
  </r>
  <r>
    <x v="5"/>
    <x v="129"/>
    <x v="88"/>
    <n v="40349"/>
  </r>
  <r>
    <x v="5"/>
    <x v="88"/>
    <x v="88"/>
    <n v="38488"/>
  </r>
  <r>
    <x v="5"/>
    <x v="109"/>
    <x v="88"/>
    <n v="30721"/>
  </r>
  <r>
    <x v="5"/>
    <x v="90"/>
    <x v="88"/>
    <n v="42193"/>
  </r>
  <r>
    <x v="5"/>
    <x v="144"/>
    <x v="88"/>
    <n v="37062"/>
  </r>
  <r>
    <x v="5"/>
    <x v="40"/>
    <x v="88"/>
    <n v="41475"/>
  </r>
  <r>
    <x v="0"/>
    <x v="26"/>
    <x v="89"/>
    <n v="23799"/>
  </r>
  <r>
    <x v="0"/>
    <x v="171"/>
    <x v="89"/>
    <n v="36862"/>
  </r>
  <r>
    <x v="10"/>
    <x v="207"/>
    <x v="89"/>
    <n v="12105"/>
  </r>
  <r>
    <x v="3"/>
    <x v="141"/>
    <x v="89"/>
    <n v="39686"/>
  </r>
  <r>
    <x v="7"/>
    <x v="189"/>
    <x v="89"/>
    <n v="35319"/>
  </r>
  <r>
    <x v="7"/>
    <x v="156"/>
    <x v="89"/>
    <n v="19863"/>
  </r>
  <r>
    <x v="4"/>
    <x v="120"/>
    <x v="89"/>
    <n v="54089"/>
  </r>
  <r>
    <x v="4"/>
    <x v="5"/>
    <x v="89"/>
    <n v="35577"/>
  </r>
  <r>
    <x v="4"/>
    <x v="235"/>
    <x v="89"/>
    <n v="24515"/>
  </r>
  <r>
    <x v="5"/>
    <x v="89"/>
    <x v="89"/>
    <n v="60608"/>
  </r>
  <r>
    <x v="5"/>
    <x v="152"/>
    <x v="89"/>
    <n v="44950"/>
  </r>
  <r>
    <x v="5"/>
    <x v="99"/>
    <x v="89"/>
    <n v="42338"/>
  </r>
  <r>
    <x v="5"/>
    <x v="99"/>
    <x v="89"/>
    <n v="34402"/>
  </r>
  <r>
    <x v="5"/>
    <x v="67"/>
    <x v="89"/>
    <n v="40150"/>
  </r>
  <r>
    <x v="0"/>
    <x v="55"/>
    <x v="90"/>
    <n v="32462"/>
  </r>
  <r>
    <x v="6"/>
    <x v="84"/>
    <x v="90"/>
    <n v="14083"/>
  </r>
  <r>
    <x v="1"/>
    <x v="1"/>
    <x v="90"/>
    <n v="12607"/>
  </r>
  <r>
    <x v="1"/>
    <x v="131"/>
    <x v="90"/>
    <n v="14164"/>
  </r>
  <r>
    <x v="1"/>
    <x v="124"/>
    <x v="90"/>
    <n v="12469"/>
  </r>
  <r>
    <x v="1"/>
    <x v="212"/>
    <x v="90"/>
    <n v="10602"/>
  </r>
  <r>
    <x v="7"/>
    <x v="181"/>
    <x v="90"/>
    <n v="28835"/>
  </r>
  <r>
    <x v="7"/>
    <x v="43"/>
    <x v="90"/>
    <n v="31928"/>
  </r>
  <r>
    <x v="4"/>
    <x v="200"/>
    <x v="90"/>
    <n v="43369"/>
  </r>
  <r>
    <x v="5"/>
    <x v="89"/>
    <x v="90"/>
    <n v="41090"/>
  </r>
  <r>
    <x v="5"/>
    <x v="18"/>
    <x v="90"/>
    <n v="32858"/>
  </r>
  <r>
    <x v="5"/>
    <x v="23"/>
    <x v="90"/>
    <n v="30412"/>
  </r>
  <r>
    <x v="5"/>
    <x v="25"/>
    <x v="90"/>
    <n v="47675"/>
  </r>
  <r>
    <x v="12"/>
    <x v="123"/>
    <x v="91"/>
    <n v="27838"/>
  </r>
  <r>
    <x v="0"/>
    <x v="97"/>
    <x v="91"/>
    <n v="32676"/>
  </r>
  <r>
    <x v="0"/>
    <x v="49"/>
    <x v="91"/>
    <n v="48689"/>
  </r>
  <r>
    <x v="10"/>
    <x v="159"/>
    <x v="91"/>
    <n v="29440"/>
  </r>
  <r>
    <x v="2"/>
    <x v="58"/>
    <x v="91"/>
    <n v="22277"/>
  </r>
  <r>
    <x v="3"/>
    <x v="148"/>
    <x v="91"/>
    <n v="19260"/>
  </r>
  <r>
    <x v="3"/>
    <x v="118"/>
    <x v="91"/>
    <n v="20076"/>
  </r>
  <r>
    <x v="7"/>
    <x v="163"/>
    <x v="91"/>
    <n v="22349"/>
  </r>
  <r>
    <x v="4"/>
    <x v="164"/>
    <x v="91"/>
    <n v="26850"/>
  </r>
  <r>
    <x v="5"/>
    <x v="176"/>
    <x v="91"/>
    <n v="44095"/>
  </r>
  <r>
    <x v="5"/>
    <x v="6"/>
    <x v="91"/>
    <n v="43366"/>
  </r>
  <r>
    <x v="5"/>
    <x v="39"/>
    <x v="91"/>
    <n v="45298"/>
  </r>
  <r>
    <x v="5"/>
    <x v="23"/>
    <x v="91"/>
    <n v="34361"/>
  </r>
  <r>
    <x v="5"/>
    <x v="130"/>
    <x v="91"/>
    <n v="34786"/>
  </r>
  <r>
    <x v="5"/>
    <x v="95"/>
    <x v="91"/>
    <n v="44278"/>
  </r>
  <r>
    <x v="5"/>
    <x v="24"/>
    <x v="91"/>
    <n v="41151"/>
  </r>
  <r>
    <x v="5"/>
    <x v="41"/>
    <x v="91"/>
    <n v="41051"/>
  </r>
  <r>
    <x v="0"/>
    <x v="98"/>
    <x v="92"/>
    <n v="29377"/>
  </r>
  <r>
    <x v="14"/>
    <x v="66"/>
    <x v="92"/>
    <n v="8588"/>
  </r>
  <r>
    <x v="3"/>
    <x v="140"/>
    <x v="92"/>
    <n v="6121"/>
  </r>
  <r>
    <x v="7"/>
    <x v="14"/>
    <x v="92"/>
    <n v="9187"/>
  </r>
  <r>
    <x v="4"/>
    <x v="200"/>
    <x v="92"/>
    <n v="29615"/>
  </r>
  <r>
    <x v="4"/>
    <x v="78"/>
    <x v="92"/>
    <n v="25740"/>
  </r>
  <r>
    <x v="5"/>
    <x v="53"/>
    <x v="92"/>
    <n v="32905"/>
  </r>
  <r>
    <x v="5"/>
    <x v="176"/>
    <x v="92"/>
    <n v="47381"/>
  </r>
  <r>
    <x v="5"/>
    <x v="176"/>
    <x v="92"/>
    <n v="42352"/>
  </r>
  <r>
    <x v="5"/>
    <x v="88"/>
    <x v="92"/>
    <n v="42005"/>
  </r>
  <r>
    <x v="5"/>
    <x v="39"/>
    <x v="92"/>
    <n v="39622"/>
  </r>
  <r>
    <x v="5"/>
    <x v="109"/>
    <x v="92"/>
    <n v="34498"/>
  </r>
  <r>
    <x v="5"/>
    <x v="219"/>
    <x v="92"/>
    <n v="20200"/>
  </r>
  <r>
    <x v="5"/>
    <x v="95"/>
    <x v="92"/>
    <n v="44709"/>
  </r>
  <r>
    <x v="5"/>
    <x v="67"/>
    <x v="92"/>
    <n v="37509"/>
  </r>
  <r>
    <x v="0"/>
    <x v="116"/>
    <x v="93"/>
    <n v="31584"/>
  </r>
  <r>
    <x v="0"/>
    <x v="155"/>
    <x v="93"/>
    <n v="29370"/>
  </r>
  <r>
    <x v="3"/>
    <x v="203"/>
    <x v="93"/>
    <n v="25563"/>
  </r>
  <r>
    <x v="3"/>
    <x v="141"/>
    <x v="93"/>
    <n v="7987"/>
  </r>
  <r>
    <x v="3"/>
    <x v="156"/>
    <x v="93"/>
    <n v="19695"/>
  </r>
  <r>
    <x v="4"/>
    <x v="182"/>
    <x v="93"/>
    <n v="37702"/>
  </r>
  <r>
    <x v="5"/>
    <x v="79"/>
    <x v="93"/>
    <n v="31018"/>
  </r>
  <r>
    <x v="5"/>
    <x v="39"/>
    <x v="93"/>
    <n v="37084"/>
  </r>
  <r>
    <x v="0"/>
    <x v="194"/>
    <x v="94"/>
    <n v="51473"/>
  </r>
  <r>
    <x v="9"/>
    <x v="100"/>
    <x v="94"/>
    <n v="9694"/>
  </r>
  <r>
    <x v="6"/>
    <x v="173"/>
    <x v="94"/>
    <n v="5200"/>
  </r>
  <r>
    <x v="10"/>
    <x v="28"/>
    <x v="94"/>
    <n v="13115"/>
  </r>
  <r>
    <x v="11"/>
    <x v="46"/>
    <x v="94"/>
    <n v="21530"/>
  </r>
  <r>
    <x v="2"/>
    <x v="65"/>
    <x v="94"/>
    <n v="22431"/>
  </r>
  <r>
    <x v="3"/>
    <x v="214"/>
    <x v="94"/>
    <n v="17931"/>
  </r>
  <r>
    <x v="4"/>
    <x v="143"/>
    <x v="94"/>
    <n v="38832"/>
  </r>
  <r>
    <x v="5"/>
    <x v="217"/>
    <x v="94"/>
    <n v="33898"/>
  </r>
  <r>
    <x v="5"/>
    <x v="9"/>
    <x v="94"/>
    <n v="52227"/>
  </r>
  <r>
    <x v="5"/>
    <x v="129"/>
    <x v="94"/>
    <n v="31416"/>
  </r>
  <r>
    <x v="5"/>
    <x v="23"/>
    <x v="94"/>
    <n v="30499"/>
  </r>
  <r>
    <x v="6"/>
    <x v="206"/>
    <x v="95"/>
    <n v="12109"/>
  </r>
  <r>
    <x v="10"/>
    <x v="138"/>
    <x v="95"/>
    <n v="14093"/>
  </r>
  <r>
    <x v="13"/>
    <x v="57"/>
    <x v="95"/>
    <n v="24980"/>
  </r>
  <r>
    <x v="3"/>
    <x v="230"/>
    <x v="95"/>
    <n v="19381"/>
  </r>
  <r>
    <x v="8"/>
    <x v="75"/>
    <x v="95"/>
    <n v="5360"/>
  </r>
  <r>
    <x v="4"/>
    <x v="133"/>
    <x v="95"/>
    <n v="21826"/>
  </r>
  <r>
    <x v="4"/>
    <x v="4"/>
    <x v="95"/>
    <n v="20121"/>
  </r>
  <r>
    <x v="5"/>
    <x v="128"/>
    <x v="95"/>
    <n v="30905"/>
  </r>
  <r>
    <x v="5"/>
    <x v="129"/>
    <x v="95"/>
    <n v="39750"/>
  </r>
  <r>
    <x v="5"/>
    <x v="89"/>
    <x v="95"/>
    <n v="50426"/>
  </r>
  <r>
    <x v="5"/>
    <x v="18"/>
    <x v="95"/>
    <n v="31293"/>
  </r>
  <r>
    <x v="5"/>
    <x v="68"/>
    <x v="95"/>
    <n v="30522"/>
  </r>
  <r>
    <x v="0"/>
    <x v="205"/>
    <x v="96"/>
    <n v="32025"/>
  </r>
  <r>
    <x v="17"/>
    <x v="195"/>
    <x v="96"/>
    <n v="14269"/>
  </r>
  <r>
    <x v="7"/>
    <x v="33"/>
    <x v="96"/>
    <n v="23544"/>
  </r>
  <r>
    <x v="4"/>
    <x v="52"/>
    <x v="96"/>
    <n v="45616"/>
  </r>
  <r>
    <x v="4"/>
    <x v="38"/>
    <x v="96"/>
    <n v="31389"/>
  </r>
  <r>
    <x v="5"/>
    <x v="152"/>
    <x v="96"/>
    <n v="31251"/>
  </r>
  <r>
    <x v="5"/>
    <x v="24"/>
    <x v="96"/>
    <n v="47708"/>
  </r>
  <r>
    <x v="12"/>
    <x v="110"/>
    <x v="97"/>
    <n v="14225"/>
  </r>
  <r>
    <x v="6"/>
    <x v="101"/>
    <x v="97"/>
    <n v="15481"/>
  </r>
  <r>
    <x v="1"/>
    <x v="211"/>
    <x v="97"/>
    <n v="15105"/>
  </r>
  <r>
    <x v="10"/>
    <x v="191"/>
    <x v="97"/>
    <n v="15491"/>
  </r>
  <r>
    <x v="3"/>
    <x v="113"/>
    <x v="97"/>
    <n v="18706"/>
  </r>
  <r>
    <x v="8"/>
    <x v="168"/>
    <x v="97"/>
    <n v="13040"/>
  </r>
  <r>
    <x v="8"/>
    <x v="73"/>
    <x v="97"/>
    <n v="15302"/>
  </r>
  <r>
    <x v="4"/>
    <x v="22"/>
    <x v="97"/>
    <n v="30462"/>
  </r>
  <r>
    <x v="4"/>
    <x v="120"/>
    <x v="97"/>
    <n v="55642"/>
  </r>
  <r>
    <x v="4"/>
    <x v="74"/>
    <x v="97"/>
    <n v="47771"/>
  </r>
  <r>
    <x v="4"/>
    <x v="37"/>
    <x v="97"/>
    <n v="21973"/>
  </r>
  <r>
    <x v="5"/>
    <x v="41"/>
    <x v="97"/>
    <n v="37506"/>
  </r>
  <r>
    <x v="18"/>
    <x v="201"/>
    <x v="98"/>
    <n v="9883"/>
  </r>
  <r>
    <x v="12"/>
    <x v="166"/>
    <x v="98"/>
    <n v="17004"/>
  </r>
  <r>
    <x v="0"/>
    <x v="189"/>
    <x v="98"/>
    <n v="35565"/>
  </r>
  <r>
    <x v="7"/>
    <x v="172"/>
    <x v="98"/>
    <n v="29910"/>
  </r>
  <r>
    <x v="4"/>
    <x v="169"/>
    <x v="98"/>
    <n v="25352"/>
  </r>
  <r>
    <x v="4"/>
    <x v="126"/>
    <x v="98"/>
    <n v="29571"/>
  </r>
  <r>
    <x v="5"/>
    <x v="176"/>
    <x v="98"/>
    <n v="45731"/>
  </r>
  <r>
    <x v="5"/>
    <x v="87"/>
    <x v="98"/>
    <n v="47625"/>
  </r>
  <r>
    <x v="5"/>
    <x v="80"/>
    <x v="98"/>
    <n v="49975"/>
  </r>
  <r>
    <x v="0"/>
    <x v="77"/>
    <x v="99"/>
    <n v="39417"/>
  </r>
  <r>
    <x v="10"/>
    <x v="234"/>
    <x v="99"/>
    <n v="15529"/>
  </r>
  <r>
    <x v="11"/>
    <x v="185"/>
    <x v="99"/>
    <n v="12896"/>
  </r>
  <r>
    <x v="3"/>
    <x v="193"/>
    <x v="99"/>
    <n v="19726"/>
  </r>
  <r>
    <x v="7"/>
    <x v="36"/>
    <x v="99"/>
    <n v="26662"/>
  </r>
  <r>
    <x v="4"/>
    <x v="50"/>
    <x v="99"/>
    <n v="33821"/>
  </r>
  <r>
    <x v="4"/>
    <x v="188"/>
    <x v="99"/>
    <n v="42654"/>
  </r>
  <r>
    <x v="4"/>
    <x v="117"/>
    <x v="99"/>
    <n v="25593"/>
  </r>
  <r>
    <x v="5"/>
    <x v="129"/>
    <x v="99"/>
    <n v="32404"/>
  </r>
  <r>
    <x v="5"/>
    <x v="129"/>
    <x v="99"/>
    <n v="25536"/>
  </r>
  <r>
    <x v="5"/>
    <x v="130"/>
    <x v="99"/>
    <n v="37519"/>
  </r>
  <r>
    <x v="5"/>
    <x v="19"/>
    <x v="99"/>
    <n v="39985"/>
  </r>
  <r>
    <x v="0"/>
    <x v="134"/>
    <x v="100"/>
    <n v="28991"/>
  </r>
  <r>
    <x v="0"/>
    <x v="24"/>
    <x v="100"/>
    <n v="49509"/>
  </r>
  <r>
    <x v="19"/>
    <x v="223"/>
    <x v="100"/>
    <n v="5200"/>
  </r>
  <r>
    <x v="4"/>
    <x v="128"/>
    <x v="100"/>
    <n v="44999"/>
  </r>
  <r>
    <x v="5"/>
    <x v="217"/>
    <x v="100"/>
    <n v="51971"/>
  </r>
  <r>
    <x v="5"/>
    <x v="165"/>
    <x v="100"/>
    <n v="56526"/>
  </r>
  <r>
    <x v="5"/>
    <x v="109"/>
    <x v="100"/>
    <n v="39211"/>
  </r>
  <r>
    <x v="5"/>
    <x v="90"/>
    <x v="100"/>
    <n v="33427"/>
  </r>
  <r>
    <x v="5"/>
    <x v="80"/>
    <x v="100"/>
    <n v="49477"/>
  </r>
  <r>
    <x v="0"/>
    <x v="42"/>
    <x v="101"/>
    <n v="27533"/>
  </r>
  <r>
    <x v="6"/>
    <x v="102"/>
    <x v="101"/>
    <n v="15492"/>
  </r>
  <r>
    <x v="2"/>
    <x v="2"/>
    <x v="101"/>
    <n v="21702"/>
  </r>
  <r>
    <x v="14"/>
    <x v="228"/>
    <x v="101"/>
    <n v="23517"/>
  </r>
  <r>
    <x v="3"/>
    <x v="112"/>
    <x v="101"/>
    <n v="21615"/>
  </r>
  <r>
    <x v="3"/>
    <x v="76"/>
    <x v="101"/>
    <n v="42997"/>
  </r>
  <r>
    <x v="5"/>
    <x v="108"/>
    <x v="101"/>
    <n v="29634"/>
  </r>
  <r>
    <x v="5"/>
    <x v="108"/>
    <x v="101"/>
    <n v="43358"/>
  </r>
  <r>
    <x v="5"/>
    <x v="94"/>
    <x v="101"/>
    <n v="32173"/>
  </r>
  <r>
    <x v="5"/>
    <x v="18"/>
    <x v="101"/>
    <n v="46184"/>
  </r>
  <r>
    <x v="5"/>
    <x v="8"/>
    <x v="101"/>
    <n v="43199"/>
  </r>
  <r>
    <x v="5"/>
    <x v="95"/>
    <x v="101"/>
    <n v="40324"/>
  </r>
  <r>
    <x v="5"/>
    <x v="160"/>
    <x v="101"/>
    <n v="33955"/>
  </r>
  <r>
    <x v="5"/>
    <x v="40"/>
    <x v="101"/>
    <n v="34289"/>
  </r>
  <r>
    <x v="12"/>
    <x v="158"/>
    <x v="102"/>
    <n v="14123"/>
  </r>
  <r>
    <x v="0"/>
    <x v="218"/>
    <x v="102"/>
    <n v="25151"/>
  </r>
  <r>
    <x v="0"/>
    <x v="210"/>
    <x v="102"/>
    <n v="31737"/>
  </r>
  <r>
    <x v="11"/>
    <x v="139"/>
    <x v="102"/>
    <n v="13987"/>
  </r>
  <r>
    <x v="17"/>
    <x v="209"/>
    <x v="102"/>
    <n v="10000"/>
  </r>
  <r>
    <x v="4"/>
    <x v="142"/>
    <x v="102"/>
    <n v="30891"/>
  </r>
  <r>
    <x v="4"/>
    <x v="133"/>
    <x v="102"/>
    <n v="24480"/>
  </r>
  <r>
    <x v="5"/>
    <x v="53"/>
    <x v="102"/>
    <n v="34099"/>
  </r>
  <r>
    <x v="5"/>
    <x v="108"/>
    <x v="102"/>
    <n v="34028"/>
  </r>
  <r>
    <x v="5"/>
    <x v="61"/>
    <x v="102"/>
    <n v="41578"/>
  </r>
  <r>
    <x v="5"/>
    <x v="151"/>
    <x v="102"/>
    <n v="46760"/>
  </r>
  <r>
    <x v="6"/>
    <x v="146"/>
    <x v="103"/>
    <n v="13805"/>
  </r>
  <r>
    <x v="3"/>
    <x v="104"/>
    <x v="103"/>
    <n v="15331"/>
  </r>
  <r>
    <x v="3"/>
    <x v="47"/>
    <x v="103"/>
    <n v="17374"/>
  </r>
  <r>
    <x v="7"/>
    <x v="15"/>
    <x v="103"/>
    <n v="23552"/>
  </r>
  <r>
    <x v="4"/>
    <x v="143"/>
    <x v="103"/>
    <n v="45457"/>
  </r>
  <r>
    <x v="4"/>
    <x v="188"/>
    <x v="103"/>
    <n v="32795"/>
  </r>
  <r>
    <x v="4"/>
    <x v="43"/>
    <x v="103"/>
    <n v="37674"/>
  </r>
  <r>
    <x v="4"/>
    <x v="107"/>
    <x v="103"/>
    <n v="31058"/>
  </r>
  <r>
    <x v="5"/>
    <x v="39"/>
    <x v="103"/>
    <n v="46326"/>
  </r>
  <r>
    <x v="5"/>
    <x v="25"/>
    <x v="103"/>
    <n v="47047"/>
  </r>
  <r>
    <x v="5"/>
    <x v="63"/>
    <x v="103"/>
    <n v="44349"/>
  </r>
  <r>
    <x v="18"/>
    <x v="233"/>
    <x v="104"/>
    <n v="13157"/>
  </r>
  <r>
    <x v="0"/>
    <x v="167"/>
    <x v="104"/>
    <n v="25511"/>
  </r>
  <r>
    <x v="0"/>
    <x v="171"/>
    <x v="104"/>
    <n v="7320"/>
  </r>
  <r>
    <x v="10"/>
    <x v="91"/>
    <x v="104"/>
    <n v="11829"/>
  </r>
  <r>
    <x v="2"/>
    <x v="3"/>
    <x v="104"/>
    <n v="15287"/>
  </r>
  <r>
    <x v="3"/>
    <x v="31"/>
    <x v="104"/>
    <n v="28668"/>
  </r>
  <r>
    <x v="3"/>
    <x v="119"/>
    <x v="104"/>
    <n v="5854"/>
  </r>
  <r>
    <x v="7"/>
    <x v="232"/>
    <x v="104"/>
    <n v="38227"/>
  </r>
  <r>
    <x v="4"/>
    <x v="60"/>
    <x v="104"/>
    <n v="18685"/>
  </r>
  <r>
    <x v="4"/>
    <x v="122"/>
    <x v="104"/>
    <n v="29962"/>
  </r>
  <r>
    <x v="5"/>
    <x v="183"/>
    <x v="104"/>
    <n v="40411"/>
  </r>
  <r>
    <x v="5"/>
    <x v="144"/>
    <x v="104"/>
    <n v="35245"/>
  </r>
  <r>
    <x v="5"/>
    <x v="144"/>
    <x v="104"/>
    <n v="39559"/>
  </r>
  <r>
    <x v="5"/>
    <x v="99"/>
    <x v="104"/>
    <n v="40637"/>
  </r>
  <r>
    <x v="5"/>
    <x v="80"/>
    <x v="104"/>
    <n v="40210"/>
  </r>
  <r>
    <x v="0"/>
    <x v="94"/>
    <x v="105"/>
    <n v="32283"/>
  </r>
  <r>
    <x v="0"/>
    <x v="16"/>
    <x v="105"/>
    <n v="37554"/>
  </r>
  <r>
    <x v="6"/>
    <x v="222"/>
    <x v="105"/>
    <n v="17366"/>
  </r>
  <r>
    <x v="2"/>
    <x v="111"/>
    <x v="105"/>
    <n v="23485"/>
  </r>
  <r>
    <x v="8"/>
    <x v="196"/>
    <x v="105"/>
    <n v="15017"/>
  </r>
  <r>
    <x v="4"/>
    <x v="164"/>
    <x v="105"/>
    <n v="31501"/>
  </r>
  <r>
    <x v="4"/>
    <x v="121"/>
    <x v="105"/>
    <n v="47845"/>
  </r>
  <r>
    <x v="5"/>
    <x v="63"/>
    <x v="105"/>
    <n v="30554"/>
  </r>
  <r>
    <x v="0"/>
    <x v="97"/>
    <x v="106"/>
    <n v="22496"/>
  </r>
  <r>
    <x v="6"/>
    <x v="56"/>
    <x v="106"/>
    <n v="14358"/>
  </r>
  <r>
    <x v="1"/>
    <x v="11"/>
    <x v="106"/>
    <n v="14990"/>
  </r>
  <r>
    <x v="2"/>
    <x v="174"/>
    <x v="106"/>
    <n v="5200"/>
  </r>
  <r>
    <x v="2"/>
    <x v="29"/>
    <x v="106"/>
    <n v="5200"/>
  </r>
  <r>
    <x v="2"/>
    <x v="179"/>
    <x v="106"/>
    <n v="17138"/>
  </r>
  <r>
    <x v="7"/>
    <x v="197"/>
    <x v="106"/>
    <n v="23804"/>
  </r>
  <r>
    <x v="4"/>
    <x v="216"/>
    <x v="106"/>
    <n v="44013"/>
  </r>
  <r>
    <x v="4"/>
    <x v="38"/>
    <x v="106"/>
    <n v="28695"/>
  </r>
  <r>
    <x v="4"/>
    <x v="235"/>
    <x v="106"/>
    <n v="31092"/>
  </r>
  <r>
    <x v="5"/>
    <x v="18"/>
    <x v="106"/>
    <n v="37741"/>
  </r>
  <r>
    <x v="5"/>
    <x v="24"/>
    <x v="106"/>
    <n v="51701"/>
  </r>
  <r>
    <x v="5"/>
    <x v="41"/>
    <x v="106"/>
    <n v="41559"/>
  </r>
  <r>
    <x v="0"/>
    <x v="136"/>
    <x v="107"/>
    <n v="42042"/>
  </r>
  <r>
    <x v="0"/>
    <x v="145"/>
    <x v="107"/>
    <n v="38060"/>
  </r>
  <r>
    <x v="1"/>
    <x v="71"/>
    <x v="107"/>
    <n v="11928"/>
  </r>
  <r>
    <x v="1"/>
    <x v="70"/>
    <x v="107"/>
    <n v="22349"/>
  </r>
  <r>
    <x v="13"/>
    <x v="85"/>
    <x v="107"/>
    <n v="5200"/>
  </r>
  <r>
    <x v="5"/>
    <x v="19"/>
    <x v="107"/>
    <n v="40375"/>
  </r>
  <r>
    <x v="12"/>
    <x v="81"/>
    <x v="108"/>
    <n v="14602"/>
  </r>
  <r>
    <x v="0"/>
    <x v="167"/>
    <x v="108"/>
    <n v="31962"/>
  </r>
  <r>
    <x v="0"/>
    <x v="154"/>
    <x v="108"/>
    <n v="35973"/>
  </r>
  <r>
    <x v="0"/>
    <x v="184"/>
    <x v="108"/>
    <n v="29288"/>
  </r>
  <r>
    <x v="6"/>
    <x v="10"/>
    <x v="108"/>
    <n v="16126"/>
  </r>
  <r>
    <x v="11"/>
    <x v="132"/>
    <x v="108"/>
    <n v="5200"/>
  </r>
  <r>
    <x v="7"/>
    <x v="34"/>
    <x v="108"/>
    <n v="23825"/>
  </r>
  <r>
    <x v="15"/>
    <x v="127"/>
    <x v="108"/>
    <n v="13079"/>
  </r>
  <r>
    <x v="4"/>
    <x v="86"/>
    <x v="108"/>
    <n v="42021"/>
  </r>
  <r>
    <x v="4"/>
    <x v="99"/>
    <x v="108"/>
    <n v="44037"/>
  </r>
  <r>
    <x v="4"/>
    <x v="160"/>
    <x v="108"/>
    <n v="34039"/>
  </r>
  <r>
    <x v="5"/>
    <x v="53"/>
    <x v="108"/>
    <n v="40656"/>
  </r>
  <r>
    <x v="5"/>
    <x v="150"/>
    <x v="108"/>
    <n v="22873"/>
  </r>
  <r>
    <x v="5"/>
    <x v="9"/>
    <x v="108"/>
    <n v="49867"/>
  </r>
  <r>
    <x v="5"/>
    <x v="151"/>
    <x v="108"/>
    <n v="44469"/>
  </r>
  <r>
    <x v="5"/>
    <x v="95"/>
    <x v="108"/>
    <n v="45461"/>
  </r>
  <r>
    <x v="5"/>
    <x v="24"/>
    <x v="108"/>
    <n v="47575"/>
  </r>
  <r>
    <x v="5"/>
    <x v="63"/>
    <x v="108"/>
    <n v="37177"/>
  </r>
  <r>
    <x v="12"/>
    <x v="170"/>
    <x v="109"/>
    <n v="15617"/>
  </r>
  <r>
    <x v="0"/>
    <x v="204"/>
    <x v="109"/>
    <n v="32409"/>
  </r>
  <r>
    <x v="0"/>
    <x v="221"/>
    <x v="109"/>
    <n v="16067"/>
  </r>
  <r>
    <x v="10"/>
    <x v="224"/>
    <x v="109"/>
    <n v="5200"/>
  </r>
  <r>
    <x v="13"/>
    <x v="147"/>
    <x v="109"/>
    <n v="14398"/>
  </r>
  <r>
    <x v="8"/>
    <x v="92"/>
    <x v="109"/>
    <n v="5200"/>
  </r>
  <r>
    <x v="7"/>
    <x v="33"/>
    <x v="109"/>
    <n v="17158"/>
  </r>
  <r>
    <x v="7"/>
    <x v="105"/>
    <x v="109"/>
    <n v="18523"/>
  </r>
  <r>
    <x v="4"/>
    <x v="22"/>
    <x v="109"/>
    <n v="35694"/>
  </r>
  <r>
    <x v="4"/>
    <x v="61"/>
    <x v="109"/>
    <n v="47516"/>
  </r>
  <r>
    <x v="4"/>
    <x v="107"/>
    <x v="109"/>
    <n v="29314"/>
  </r>
  <r>
    <x v="5"/>
    <x v="6"/>
    <x v="109"/>
    <n v="44587"/>
  </r>
  <r>
    <x v="5"/>
    <x v="62"/>
    <x v="109"/>
    <n v="38529"/>
  </r>
  <r>
    <x v="5"/>
    <x v="17"/>
    <x v="109"/>
    <n v="38842"/>
  </r>
  <r>
    <x v="5"/>
    <x v="130"/>
    <x v="109"/>
    <n v="38451"/>
  </r>
  <r>
    <x v="5"/>
    <x v="99"/>
    <x v="109"/>
    <n v="50260"/>
  </r>
  <r>
    <x v="5"/>
    <x v="24"/>
    <x v="109"/>
    <n v="34629"/>
  </r>
  <r>
    <x v="6"/>
    <x v="137"/>
    <x v="110"/>
    <n v="11878"/>
  </r>
  <r>
    <x v="4"/>
    <x v="5"/>
    <x v="110"/>
    <n v="15864"/>
  </r>
  <r>
    <x v="4"/>
    <x v="235"/>
    <x v="110"/>
    <n v="22781"/>
  </r>
  <r>
    <x v="5"/>
    <x v="79"/>
    <x v="110"/>
    <n v="33806"/>
  </r>
  <r>
    <x v="5"/>
    <x v="88"/>
    <x v="110"/>
    <n v="41494"/>
  </r>
  <r>
    <x v="5"/>
    <x v="130"/>
    <x v="110"/>
    <n v="48805"/>
  </r>
  <r>
    <x v="5"/>
    <x v="99"/>
    <x v="110"/>
    <n v="42782"/>
  </r>
  <r>
    <x v="5"/>
    <x v="99"/>
    <x v="110"/>
    <n v="39402"/>
  </r>
  <r>
    <x v="5"/>
    <x v="67"/>
    <x v="110"/>
    <n v="51997"/>
  </r>
  <r>
    <x v="5"/>
    <x v="68"/>
    <x v="110"/>
    <n v="32747"/>
  </r>
  <r>
    <x v="12"/>
    <x v="64"/>
    <x v="111"/>
    <n v="30721"/>
  </r>
  <r>
    <x v="0"/>
    <x v="26"/>
    <x v="111"/>
    <n v="38424"/>
  </r>
  <r>
    <x v="0"/>
    <x v="190"/>
    <x v="111"/>
    <n v="39993"/>
  </r>
  <r>
    <x v="13"/>
    <x v="208"/>
    <x v="111"/>
    <n v="12618"/>
  </r>
  <r>
    <x v="3"/>
    <x v="20"/>
    <x v="111"/>
    <n v="18579"/>
  </r>
  <r>
    <x v="7"/>
    <x v="13"/>
    <x v="111"/>
    <n v="45413"/>
  </r>
  <r>
    <x v="4"/>
    <x v="86"/>
    <x v="111"/>
    <n v="36843"/>
  </r>
  <r>
    <x v="5"/>
    <x v="7"/>
    <x v="111"/>
    <n v="40521"/>
  </r>
  <r>
    <x v="5"/>
    <x v="37"/>
    <x v="111"/>
    <n v="23044"/>
  </r>
  <r>
    <x v="5"/>
    <x v="8"/>
    <x v="111"/>
    <n v="43247"/>
  </r>
  <r>
    <x v="12"/>
    <x v="83"/>
    <x v="112"/>
    <n v="16461"/>
  </r>
  <r>
    <x v="12"/>
    <x v="162"/>
    <x v="112"/>
    <n v="14941"/>
  </r>
  <r>
    <x v="0"/>
    <x v="204"/>
    <x v="112"/>
    <n v="26371"/>
  </r>
  <r>
    <x v="10"/>
    <x v="227"/>
    <x v="112"/>
    <n v="8235"/>
  </r>
  <r>
    <x v="13"/>
    <x v="187"/>
    <x v="112"/>
    <n v="12729"/>
  </r>
  <r>
    <x v="8"/>
    <x v="32"/>
    <x v="112"/>
    <n v="10127"/>
  </r>
  <r>
    <x v="7"/>
    <x v="199"/>
    <x v="112"/>
    <n v="32703"/>
  </r>
  <r>
    <x v="5"/>
    <x v="90"/>
    <x v="112"/>
    <n v="45771"/>
  </r>
  <r>
    <x v="5"/>
    <x v="8"/>
    <x v="112"/>
    <n v="31737"/>
  </r>
  <r>
    <x v="5"/>
    <x v="152"/>
    <x v="112"/>
    <n v="33151"/>
  </r>
  <r>
    <x v="5"/>
    <x v="24"/>
    <x v="112"/>
    <n v="34938"/>
  </r>
  <r>
    <x v="5"/>
    <x v="63"/>
    <x v="112"/>
    <n v="37042"/>
  </r>
  <r>
    <x v="5"/>
    <x v="63"/>
    <x v="112"/>
    <n v="35556"/>
  </r>
  <r>
    <x v="12"/>
    <x v="54"/>
    <x v="113"/>
    <n v="10076"/>
  </r>
  <r>
    <x v="2"/>
    <x v="186"/>
    <x v="113"/>
    <n v="32099"/>
  </r>
  <r>
    <x v="7"/>
    <x v="106"/>
    <x v="113"/>
    <n v="27003"/>
  </r>
  <r>
    <x v="4"/>
    <x v="142"/>
    <x v="113"/>
    <n v="30331"/>
  </r>
  <r>
    <x v="4"/>
    <x v="169"/>
    <x v="113"/>
    <n v="32648"/>
  </r>
  <r>
    <x v="4"/>
    <x v="59"/>
    <x v="113"/>
    <n v="35830"/>
  </r>
  <r>
    <x v="4"/>
    <x v="16"/>
    <x v="113"/>
    <n v="26666"/>
  </r>
  <r>
    <x v="5"/>
    <x v="9"/>
    <x v="113"/>
    <n v="44279"/>
  </r>
  <r>
    <x v="5"/>
    <x v="7"/>
    <x v="113"/>
    <n v="40252"/>
  </r>
  <r>
    <x v="5"/>
    <x v="144"/>
    <x v="113"/>
    <n v="49212"/>
  </r>
  <r>
    <x v="5"/>
    <x v="63"/>
    <x v="113"/>
    <n v="43644"/>
  </r>
  <r>
    <x v="0"/>
    <x v="226"/>
    <x v="114"/>
    <n v="30293"/>
  </r>
  <r>
    <x v="0"/>
    <x v="82"/>
    <x v="114"/>
    <n v="12381"/>
  </r>
  <r>
    <x v="0"/>
    <x v="203"/>
    <x v="114"/>
    <n v="25977"/>
  </r>
  <r>
    <x v="7"/>
    <x v="215"/>
    <x v="114"/>
    <n v="20045"/>
  </r>
  <r>
    <x v="7"/>
    <x v="192"/>
    <x v="114"/>
    <n v="5200"/>
  </r>
  <r>
    <x v="7"/>
    <x v="35"/>
    <x v="114"/>
    <n v="36246"/>
  </r>
  <r>
    <x v="5"/>
    <x v="87"/>
    <x v="114"/>
    <n v="51912"/>
  </r>
  <r>
    <x v="5"/>
    <x v="183"/>
    <x v="114"/>
    <n v="43769"/>
  </r>
  <r>
    <x v="5"/>
    <x v="41"/>
    <x v="114"/>
    <n v="45311"/>
  </r>
  <r>
    <x v="5"/>
    <x v="63"/>
    <x v="114"/>
    <n v="45176"/>
  </r>
  <r>
    <x v="0"/>
    <x v="89"/>
    <x v="115"/>
    <n v="36427"/>
  </r>
  <r>
    <x v="0"/>
    <x v="135"/>
    <x v="115"/>
    <n v="42131"/>
  </r>
  <r>
    <x v="0"/>
    <x v="0"/>
    <x v="115"/>
    <n v="39123"/>
  </r>
  <r>
    <x v="2"/>
    <x v="180"/>
    <x v="115"/>
    <n v="15936"/>
  </r>
  <r>
    <x v="2"/>
    <x v="30"/>
    <x v="115"/>
    <n v="18194"/>
  </r>
  <r>
    <x v="7"/>
    <x v="114"/>
    <x v="115"/>
    <n v="19775"/>
  </r>
  <r>
    <x v="7"/>
    <x v="115"/>
    <x v="115"/>
    <n v="29144"/>
  </r>
  <r>
    <x v="4"/>
    <x v="136"/>
    <x v="115"/>
    <n v="32937"/>
  </r>
  <r>
    <x v="5"/>
    <x v="128"/>
    <x v="115"/>
    <n v="39819"/>
  </r>
  <r>
    <x v="12"/>
    <x v="202"/>
    <x v="116"/>
    <n v="9780"/>
  </r>
  <r>
    <x v="16"/>
    <x v="153"/>
    <x v="116"/>
    <n v="13419"/>
  </r>
  <r>
    <x v="9"/>
    <x v="27"/>
    <x v="116"/>
    <n v="13469"/>
  </r>
  <r>
    <x v="9"/>
    <x v="44"/>
    <x v="116"/>
    <n v="16502"/>
  </r>
  <r>
    <x v="10"/>
    <x v="207"/>
    <x v="116"/>
    <n v="8583"/>
  </r>
  <r>
    <x v="11"/>
    <x v="178"/>
    <x v="116"/>
    <n v="12434"/>
  </r>
  <r>
    <x v="3"/>
    <x v="125"/>
    <x v="116"/>
    <n v="18165"/>
  </r>
  <r>
    <x v="3"/>
    <x v="12"/>
    <x v="116"/>
    <n v="28104"/>
  </r>
  <r>
    <x v="7"/>
    <x v="149"/>
    <x v="116"/>
    <n v="30211"/>
  </r>
  <r>
    <x v="4"/>
    <x v="126"/>
    <x v="116"/>
    <n v="29425"/>
  </r>
  <r>
    <x v="5"/>
    <x v="62"/>
    <x v="116"/>
    <n v="44779"/>
  </r>
  <r>
    <x v="5"/>
    <x v="19"/>
    <x v="116"/>
    <n v="41118"/>
  </r>
  <r>
    <x v="5"/>
    <x v="24"/>
    <x v="116"/>
    <n v="44424"/>
  </r>
  <r>
    <x v="5"/>
    <x v="40"/>
    <x v="116"/>
    <n v="41820"/>
  </r>
  <r>
    <x v="5"/>
    <x v="41"/>
    <x v="116"/>
    <n v="56950"/>
  </r>
  <r>
    <x v="6"/>
    <x v="220"/>
    <x v="117"/>
    <n v="17953"/>
  </r>
  <r>
    <x v="6"/>
    <x v="161"/>
    <x v="117"/>
    <n v="15631"/>
  </r>
  <r>
    <x v="10"/>
    <x v="213"/>
    <x v="117"/>
    <n v="5977"/>
  </r>
  <r>
    <x v="11"/>
    <x v="45"/>
    <x v="117"/>
    <n v="5200"/>
  </r>
  <r>
    <x v="3"/>
    <x v="229"/>
    <x v="117"/>
    <n v="40779"/>
  </r>
  <r>
    <x v="7"/>
    <x v="231"/>
    <x v="117"/>
    <n v="22987"/>
  </r>
  <r>
    <x v="7"/>
    <x v="117"/>
    <x v="117"/>
    <n v="25105"/>
  </r>
  <r>
    <x v="4"/>
    <x v="157"/>
    <x v="117"/>
    <n v="42386"/>
  </r>
  <r>
    <x v="4"/>
    <x v="51"/>
    <x v="117"/>
    <n v="35776"/>
  </r>
  <r>
    <x v="4"/>
    <x v="78"/>
    <x v="117"/>
    <n v="36596"/>
  </r>
  <r>
    <x v="4"/>
    <x v="78"/>
    <x v="117"/>
    <n v="36333"/>
  </r>
  <r>
    <x v="4"/>
    <x v="236"/>
    <x v="117"/>
    <n v="60359"/>
  </r>
  <r>
    <x v="4"/>
    <x v="175"/>
    <x v="117"/>
    <n v="46690"/>
  </r>
  <r>
    <x v="5"/>
    <x v="176"/>
    <x v="117"/>
    <n v="57257"/>
  </r>
  <r>
    <x v="5"/>
    <x v="151"/>
    <x v="117"/>
    <n v="44084"/>
  </r>
  <r>
    <x v="5"/>
    <x v="144"/>
    <x v="117"/>
    <n v="30844"/>
  </r>
  <r>
    <x v="5"/>
    <x v="96"/>
    <x v="117"/>
    <n v="47207"/>
  </r>
  <r>
    <x v="5"/>
    <x v="80"/>
    <x v="117"/>
    <n v="36218"/>
  </r>
  <r>
    <x v="0"/>
    <x v="155"/>
    <x v="118"/>
    <n v="24346"/>
  </r>
  <r>
    <x v="6"/>
    <x v="225"/>
    <x v="118"/>
    <n v="23328"/>
  </r>
  <r>
    <x v="2"/>
    <x v="198"/>
    <x v="118"/>
    <n v="21652"/>
  </r>
  <r>
    <x v="8"/>
    <x v="21"/>
    <x v="118"/>
    <n v="15759"/>
  </r>
  <r>
    <x v="4"/>
    <x v="188"/>
    <x v="118"/>
    <n v="27853"/>
  </r>
  <r>
    <x v="5"/>
    <x v="6"/>
    <x v="118"/>
    <n v="36182"/>
  </r>
  <r>
    <x v="5"/>
    <x v="7"/>
    <x v="118"/>
    <n v="49001"/>
  </r>
  <r>
    <x v="5"/>
    <x v="88"/>
    <x v="118"/>
    <n v="43000"/>
  </r>
  <r>
    <x v="5"/>
    <x v="109"/>
    <x v="118"/>
    <n v="43486"/>
  </r>
  <r>
    <x v="5"/>
    <x v="25"/>
    <x v="118"/>
    <n v="52627"/>
  </r>
  <r>
    <x v="0"/>
    <x v="155"/>
    <x v="119"/>
    <n v="27389"/>
  </r>
  <r>
    <x v="0"/>
    <x v="177"/>
    <x v="119"/>
    <n v="34843"/>
  </r>
  <r>
    <x v="9"/>
    <x v="69"/>
    <x v="119"/>
    <n v="12727"/>
  </r>
  <r>
    <x v="10"/>
    <x v="103"/>
    <x v="119"/>
    <n v="14920"/>
  </r>
  <r>
    <x v="2"/>
    <x v="72"/>
    <x v="119"/>
    <n v="19243"/>
  </r>
  <r>
    <x v="8"/>
    <x v="48"/>
    <x v="119"/>
    <n v="28357"/>
  </r>
  <r>
    <x v="7"/>
    <x v="93"/>
    <x v="119"/>
    <n v="26046"/>
  </r>
  <r>
    <x v="4"/>
    <x v="182"/>
    <x v="119"/>
    <n v="28654"/>
  </r>
  <r>
    <x v="5"/>
    <x v="17"/>
    <x v="119"/>
    <n v="48699"/>
  </r>
  <r>
    <x v="5"/>
    <x v="17"/>
    <x v="119"/>
    <n v="43046"/>
  </r>
  <r>
    <x v="0"/>
    <x v="79"/>
    <x v="120"/>
    <n v="36637"/>
  </r>
  <r>
    <x v="0"/>
    <x v="82"/>
    <x v="120"/>
    <n v="21402"/>
  </r>
  <r>
    <x v="0"/>
    <x v="95"/>
    <x v="120"/>
    <n v="58020"/>
  </r>
  <r>
    <x v="3"/>
    <x v="76"/>
    <x v="120"/>
    <n v="28839"/>
  </r>
  <r>
    <x v="7"/>
    <x v="15"/>
    <x v="120"/>
    <n v="24156"/>
  </r>
  <r>
    <x v="4"/>
    <x v="22"/>
    <x v="120"/>
    <n v="38018"/>
  </r>
  <r>
    <x v="5"/>
    <x v="128"/>
    <x v="120"/>
    <n v="38135"/>
  </r>
  <r>
    <x v="5"/>
    <x v="18"/>
    <x v="120"/>
    <n v="47450"/>
  </r>
  <r>
    <x v="5"/>
    <x v="152"/>
    <x v="120"/>
    <n v="31173"/>
  </r>
  <r>
    <x v="5"/>
    <x v="67"/>
    <x v="120"/>
    <n v="29165"/>
  </r>
  <r>
    <x v="5"/>
    <x v="80"/>
    <x v="120"/>
    <n v="35128"/>
  </r>
  <r>
    <x v="0"/>
    <x v="167"/>
    <x v="121"/>
    <n v="17507"/>
  </r>
  <r>
    <x v="0"/>
    <x v="98"/>
    <x v="121"/>
    <n v="29232"/>
  </r>
  <r>
    <x v="0"/>
    <x v="116"/>
    <x v="121"/>
    <n v="31148"/>
  </r>
  <r>
    <x v="2"/>
    <x v="192"/>
    <x v="121"/>
    <n v="9630"/>
  </r>
  <r>
    <x v="2"/>
    <x v="30"/>
    <x v="121"/>
    <n v="18320"/>
  </r>
  <r>
    <x v="3"/>
    <x v="141"/>
    <x v="121"/>
    <n v="44982"/>
  </r>
  <r>
    <x v="4"/>
    <x v="182"/>
    <x v="121"/>
    <n v="57960"/>
  </r>
  <r>
    <x v="5"/>
    <x v="129"/>
    <x v="121"/>
    <n v="35920"/>
  </r>
  <r>
    <x v="5"/>
    <x v="19"/>
    <x v="121"/>
    <n v="45021"/>
  </r>
  <r>
    <x v="5"/>
    <x v="80"/>
    <x v="121"/>
    <n v="37239"/>
  </r>
  <r>
    <x v="18"/>
    <x v="201"/>
    <x v="122"/>
    <n v="12811"/>
  </r>
  <r>
    <x v="1"/>
    <x v="1"/>
    <x v="122"/>
    <n v="12204"/>
  </r>
  <r>
    <x v="11"/>
    <x v="178"/>
    <x v="122"/>
    <n v="12803"/>
  </r>
  <r>
    <x v="3"/>
    <x v="104"/>
    <x v="122"/>
    <n v="40184"/>
  </r>
  <r>
    <x v="3"/>
    <x v="112"/>
    <x v="122"/>
    <n v="21723"/>
  </r>
  <r>
    <x v="17"/>
    <x v="195"/>
    <x v="122"/>
    <n v="14070"/>
  </r>
  <r>
    <x v="5"/>
    <x v="53"/>
    <x v="122"/>
    <n v="36945"/>
  </r>
  <r>
    <x v="5"/>
    <x v="176"/>
    <x v="122"/>
    <n v="41973"/>
  </r>
  <r>
    <x v="5"/>
    <x v="99"/>
    <x v="122"/>
    <n v="42169"/>
  </r>
  <r>
    <x v="5"/>
    <x v="68"/>
    <x v="122"/>
    <n v="27341"/>
  </r>
  <r>
    <x v="3"/>
    <x v="118"/>
    <x v="123"/>
    <n v="20850"/>
  </r>
  <r>
    <x v="3"/>
    <x v="113"/>
    <x v="123"/>
    <n v="18748"/>
  </r>
  <r>
    <x v="8"/>
    <x v="21"/>
    <x v="123"/>
    <n v="15717"/>
  </r>
  <r>
    <x v="7"/>
    <x v="58"/>
    <x v="123"/>
    <n v="23718"/>
  </r>
  <r>
    <x v="4"/>
    <x v="142"/>
    <x v="123"/>
    <n v="41800"/>
  </r>
  <r>
    <x v="4"/>
    <x v="142"/>
    <x v="123"/>
    <n v="33758"/>
  </r>
  <r>
    <x v="4"/>
    <x v="77"/>
    <x v="123"/>
    <n v="20975"/>
  </r>
  <r>
    <x v="4"/>
    <x v="188"/>
    <x v="123"/>
    <n v="15875"/>
  </r>
  <r>
    <x v="4"/>
    <x v="107"/>
    <x v="123"/>
    <n v="58816"/>
  </r>
  <r>
    <x v="5"/>
    <x v="183"/>
    <x v="123"/>
    <n v="40142"/>
  </r>
  <r>
    <x v="5"/>
    <x v="23"/>
    <x v="123"/>
    <n v="34722"/>
  </r>
  <r>
    <x v="5"/>
    <x v="144"/>
    <x v="123"/>
    <n v="38073"/>
  </r>
  <r>
    <x v="5"/>
    <x v="99"/>
    <x v="123"/>
    <n v="34127"/>
  </r>
  <r>
    <x v="12"/>
    <x v="158"/>
    <x v="124"/>
    <n v="14334"/>
  </r>
  <r>
    <x v="0"/>
    <x v="97"/>
    <x v="124"/>
    <n v="24774"/>
  </r>
  <r>
    <x v="10"/>
    <x v="224"/>
    <x v="124"/>
    <n v="5226"/>
  </r>
  <r>
    <x v="10"/>
    <x v="162"/>
    <x v="124"/>
    <n v="14233"/>
  </r>
  <r>
    <x v="8"/>
    <x v="196"/>
    <x v="124"/>
    <n v="12570"/>
  </r>
  <r>
    <x v="4"/>
    <x v="38"/>
    <x v="124"/>
    <n v="31468"/>
  </r>
  <r>
    <x v="5"/>
    <x v="9"/>
    <x v="124"/>
    <n v="33885"/>
  </r>
  <r>
    <x v="5"/>
    <x v="165"/>
    <x v="124"/>
    <n v="51057"/>
  </r>
  <r>
    <x v="5"/>
    <x v="40"/>
    <x v="124"/>
    <n v="31480"/>
  </r>
  <r>
    <x v="0"/>
    <x v="184"/>
    <x v="125"/>
    <n v="31879"/>
  </r>
  <r>
    <x v="6"/>
    <x v="220"/>
    <x v="125"/>
    <n v="10589"/>
  </r>
  <r>
    <x v="13"/>
    <x v="85"/>
    <x v="125"/>
    <n v="5200"/>
  </r>
  <r>
    <x v="4"/>
    <x v="86"/>
    <x v="125"/>
    <n v="40213"/>
  </r>
  <r>
    <x v="4"/>
    <x v="126"/>
    <x v="125"/>
    <n v="53121"/>
  </r>
  <r>
    <x v="5"/>
    <x v="95"/>
    <x v="125"/>
    <n v="64167"/>
  </r>
  <r>
    <x v="5"/>
    <x v="99"/>
    <x v="125"/>
    <n v="45004"/>
  </r>
  <r>
    <x v="5"/>
    <x v="41"/>
    <x v="125"/>
    <n v="43388"/>
  </r>
  <r>
    <x v="5"/>
    <x v="68"/>
    <x v="125"/>
    <n v="33596"/>
  </r>
  <r>
    <x v="12"/>
    <x v="166"/>
    <x v="126"/>
    <n v="17540"/>
  </r>
  <r>
    <x v="0"/>
    <x v="205"/>
    <x v="126"/>
    <n v="31404"/>
  </r>
  <r>
    <x v="3"/>
    <x v="125"/>
    <x v="126"/>
    <n v="18943"/>
  </r>
  <r>
    <x v="15"/>
    <x v="127"/>
    <x v="126"/>
    <n v="13464"/>
  </r>
  <r>
    <x v="4"/>
    <x v="7"/>
    <x v="126"/>
    <n v="57556"/>
  </r>
  <r>
    <x v="4"/>
    <x v="143"/>
    <x v="126"/>
    <n v="35528"/>
  </r>
  <r>
    <x v="4"/>
    <x v="43"/>
    <x v="126"/>
    <n v="29396"/>
  </r>
  <r>
    <x v="5"/>
    <x v="150"/>
    <x v="126"/>
    <n v="43764"/>
  </r>
  <r>
    <x v="5"/>
    <x v="94"/>
    <x v="126"/>
    <n v="41416"/>
  </r>
  <r>
    <x v="5"/>
    <x v="39"/>
    <x v="126"/>
    <n v="42855"/>
  </r>
  <r>
    <x v="5"/>
    <x v="89"/>
    <x v="126"/>
    <n v="34634"/>
  </r>
  <r>
    <x v="5"/>
    <x v="236"/>
    <x v="126"/>
    <n v="29372"/>
  </r>
  <r>
    <x v="5"/>
    <x v="18"/>
    <x v="126"/>
    <n v="42982"/>
  </r>
  <r>
    <x v="5"/>
    <x v="130"/>
    <x v="126"/>
    <n v="43091"/>
  </r>
  <r>
    <x v="5"/>
    <x v="144"/>
    <x v="126"/>
    <n v="49683"/>
  </r>
  <r>
    <x v="12"/>
    <x v="54"/>
    <x v="127"/>
    <n v="10513"/>
  </r>
  <r>
    <x v="8"/>
    <x v="168"/>
    <x v="127"/>
    <n v="12341"/>
  </r>
  <r>
    <x v="8"/>
    <x v="92"/>
    <x v="127"/>
    <n v="5200"/>
  </r>
  <r>
    <x v="7"/>
    <x v="221"/>
    <x v="127"/>
    <n v="8120"/>
  </r>
  <r>
    <x v="4"/>
    <x v="50"/>
    <x v="127"/>
    <n v="37850"/>
  </r>
  <r>
    <x v="4"/>
    <x v="43"/>
    <x v="127"/>
    <n v="27017"/>
  </r>
  <r>
    <x v="5"/>
    <x v="6"/>
    <x v="127"/>
    <n v="46784"/>
  </r>
  <r>
    <x v="5"/>
    <x v="40"/>
    <x v="127"/>
    <n v="37256"/>
  </r>
  <r>
    <x v="0"/>
    <x v="136"/>
    <x v="128"/>
    <n v="30251"/>
  </r>
  <r>
    <x v="0"/>
    <x v="203"/>
    <x v="128"/>
    <n v="43517"/>
  </r>
  <r>
    <x v="2"/>
    <x v="65"/>
    <x v="128"/>
    <n v="17054"/>
  </r>
  <r>
    <x v="13"/>
    <x v="57"/>
    <x v="128"/>
    <n v="21567"/>
  </r>
  <r>
    <x v="3"/>
    <x v="148"/>
    <x v="128"/>
    <n v="19657"/>
  </r>
  <r>
    <x v="3"/>
    <x v="119"/>
    <x v="128"/>
    <n v="5200"/>
  </r>
  <r>
    <x v="7"/>
    <x v="114"/>
    <x v="128"/>
    <n v="18706"/>
  </r>
  <r>
    <x v="4"/>
    <x v="120"/>
    <x v="128"/>
    <n v="53213"/>
  </r>
  <r>
    <x v="4"/>
    <x v="216"/>
    <x v="128"/>
    <n v="46479"/>
  </r>
  <r>
    <x v="5"/>
    <x v="150"/>
    <x v="128"/>
    <n v="40590"/>
  </r>
  <r>
    <x v="5"/>
    <x v="23"/>
    <x v="128"/>
    <n v="27543"/>
  </r>
  <r>
    <x v="5"/>
    <x v="99"/>
    <x v="128"/>
    <n v="45011"/>
  </r>
  <r>
    <x v="12"/>
    <x v="123"/>
    <x v="129"/>
    <n v="8807"/>
  </r>
  <r>
    <x v="16"/>
    <x v="153"/>
    <x v="129"/>
    <n v="14060"/>
  </r>
  <r>
    <x v="0"/>
    <x v="171"/>
    <x v="129"/>
    <n v="27890"/>
  </r>
  <r>
    <x v="0"/>
    <x v="204"/>
    <x v="129"/>
    <n v="8671"/>
  </r>
  <r>
    <x v="0"/>
    <x v="0"/>
    <x v="129"/>
    <n v="40904"/>
  </r>
  <r>
    <x v="6"/>
    <x v="161"/>
    <x v="129"/>
    <n v="16105"/>
  </r>
  <r>
    <x v="10"/>
    <x v="83"/>
    <x v="129"/>
    <n v="16590"/>
  </r>
  <r>
    <x v="2"/>
    <x v="174"/>
    <x v="129"/>
    <n v="13363"/>
  </r>
  <r>
    <x v="2"/>
    <x v="180"/>
    <x v="129"/>
    <n v="16517"/>
  </r>
  <r>
    <x v="17"/>
    <x v="187"/>
    <x v="129"/>
    <n v="12091"/>
  </r>
  <r>
    <x v="7"/>
    <x v="181"/>
    <x v="129"/>
    <n v="21112"/>
  </r>
  <r>
    <x v="4"/>
    <x v="86"/>
    <x v="129"/>
    <n v="37485"/>
  </r>
  <r>
    <x v="4"/>
    <x v="133"/>
    <x v="129"/>
    <n v="32832"/>
  </r>
  <r>
    <x v="4"/>
    <x v="175"/>
    <x v="129"/>
    <n v="45921"/>
  </r>
  <r>
    <x v="5"/>
    <x v="217"/>
    <x v="129"/>
    <n v="41701"/>
  </r>
  <r>
    <x v="5"/>
    <x v="19"/>
    <x v="129"/>
    <n v="48986"/>
  </r>
  <r>
    <x v="12"/>
    <x v="110"/>
    <x v="130"/>
    <n v="13664"/>
  </r>
  <r>
    <x v="9"/>
    <x v="27"/>
    <x v="130"/>
    <n v="10419"/>
  </r>
  <r>
    <x v="1"/>
    <x v="211"/>
    <x v="130"/>
    <n v="15536"/>
  </r>
  <r>
    <x v="10"/>
    <x v="103"/>
    <x v="130"/>
    <n v="18047"/>
  </r>
  <r>
    <x v="11"/>
    <x v="139"/>
    <x v="130"/>
    <n v="14802"/>
  </r>
  <r>
    <x v="5"/>
    <x v="94"/>
    <x v="130"/>
    <n v="31404"/>
  </r>
  <r>
    <x v="5"/>
    <x v="130"/>
    <x v="130"/>
    <n v="43739"/>
  </r>
  <r>
    <x v="5"/>
    <x v="95"/>
    <x v="130"/>
    <n v="44022"/>
  </r>
  <r>
    <x v="5"/>
    <x v="63"/>
    <x v="130"/>
    <n v="40608"/>
  </r>
  <r>
    <x v="0"/>
    <x v="189"/>
    <x v="131"/>
    <n v="31684"/>
  </r>
  <r>
    <x v="7"/>
    <x v="215"/>
    <x v="131"/>
    <n v="11428"/>
  </r>
  <r>
    <x v="5"/>
    <x v="6"/>
    <x v="131"/>
    <n v="29517"/>
  </r>
  <r>
    <x v="5"/>
    <x v="39"/>
    <x v="131"/>
    <n v="33630"/>
  </r>
  <r>
    <x v="5"/>
    <x v="24"/>
    <x v="131"/>
    <n v="62138"/>
  </r>
  <r>
    <x v="5"/>
    <x v="67"/>
    <x v="131"/>
    <n v="33715"/>
  </r>
  <r>
    <x v="5"/>
    <x v="80"/>
    <x v="131"/>
    <n v="43627"/>
  </r>
  <r>
    <x v="18"/>
    <x v="233"/>
    <x v="132"/>
    <n v="9666"/>
  </r>
  <r>
    <x v="0"/>
    <x v="87"/>
    <x v="132"/>
    <n v="40738"/>
  </r>
  <r>
    <x v="0"/>
    <x v="145"/>
    <x v="132"/>
    <n v="37070"/>
  </r>
  <r>
    <x v="6"/>
    <x v="146"/>
    <x v="132"/>
    <n v="13582"/>
  </r>
  <r>
    <x v="3"/>
    <x v="47"/>
    <x v="132"/>
    <n v="20778"/>
  </r>
  <r>
    <x v="4"/>
    <x v="157"/>
    <x v="132"/>
    <n v="42760"/>
  </r>
  <r>
    <x v="4"/>
    <x v="52"/>
    <x v="132"/>
    <n v="47872"/>
  </r>
  <r>
    <x v="4"/>
    <x v="143"/>
    <x v="132"/>
    <n v="42939"/>
  </r>
  <r>
    <x v="4"/>
    <x v="117"/>
    <x v="132"/>
    <n v="43605"/>
  </r>
  <r>
    <x v="5"/>
    <x v="88"/>
    <x v="132"/>
    <n v="40449"/>
  </r>
  <r>
    <x v="5"/>
    <x v="62"/>
    <x v="132"/>
    <n v="29732"/>
  </r>
  <r>
    <x v="5"/>
    <x v="151"/>
    <x v="132"/>
    <n v="56469"/>
  </r>
  <r>
    <x v="5"/>
    <x v="8"/>
    <x v="132"/>
    <n v="35920"/>
  </r>
  <r>
    <x v="0"/>
    <x v="134"/>
    <x v="133"/>
    <n v="27983"/>
  </r>
  <r>
    <x v="0"/>
    <x v="177"/>
    <x v="133"/>
    <n v="37932"/>
  </r>
  <r>
    <x v="6"/>
    <x v="213"/>
    <x v="133"/>
    <n v="28008"/>
  </r>
  <r>
    <x v="11"/>
    <x v="45"/>
    <x v="133"/>
    <n v="22640"/>
  </r>
  <r>
    <x v="11"/>
    <x v="132"/>
    <x v="133"/>
    <n v="5200"/>
  </r>
  <r>
    <x v="2"/>
    <x v="2"/>
    <x v="133"/>
    <n v="20922"/>
  </r>
  <r>
    <x v="5"/>
    <x v="88"/>
    <x v="133"/>
    <n v="43778"/>
  </r>
  <r>
    <x v="5"/>
    <x v="219"/>
    <x v="133"/>
    <n v="37229"/>
  </r>
  <r>
    <x v="5"/>
    <x v="19"/>
    <x v="133"/>
    <n v="48292"/>
  </r>
  <r>
    <x v="5"/>
    <x v="144"/>
    <x v="133"/>
    <n v="33201"/>
  </r>
  <r>
    <x v="5"/>
    <x v="96"/>
    <x v="133"/>
    <n v="50543"/>
  </r>
  <r>
    <x v="5"/>
    <x v="96"/>
    <x v="133"/>
    <n v="50335"/>
  </r>
  <r>
    <x v="6"/>
    <x v="10"/>
    <x v="134"/>
    <n v="15449"/>
  </r>
  <r>
    <x v="3"/>
    <x v="230"/>
    <x v="134"/>
    <n v="19236"/>
  </r>
  <r>
    <x v="4"/>
    <x v="22"/>
    <x v="134"/>
    <n v="30492"/>
  </r>
  <r>
    <x v="5"/>
    <x v="165"/>
    <x v="134"/>
    <n v="42256"/>
  </r>
  <r>
    <x v="5"/>
    <x v="39"/>
    <x v="134"/>
    <n v="39448"/>
  </r>
  <r>
    <x v="5"/>
    <x v="183"/>
    <x v="134"/>
    <n v="40841"/>
  </r>
  <r>
    <x v="5"/>
    <x v="18"/>
    <x v="134"/>
    <n v="32040"/>
  </r>
  <r>
    <x v="5"/>
    <x v="90"/>
    <x v="134"/>
    <n v="40130"/>
  </r>
  <r>
    <x v="0"/>
    <x v="154"/>
    <x v="135"/>
    <n v="36477"/>
  </r>
  <r>
    <x v="0"/>
    <x v="210"/>
    <x v="135"/>
    <n v="33683"/>
  </r>
  <r>
    <x v="6"/>
    <x v="56"/>
    <x v="135"/>
    <n v="15120"/>
  </r>
  <r>
    <x v="1"/>
    <x v="71"/>
    <x v="135"/>
    <n v="12120"/>
  </r>
  <r>
    <x v="10"/>
    <x v="28"/>
    <x v="135"/>
    <n v="12820"/>
  </r>
  <r>
    <x v="11"/>
    <x v="185"/>
    <x v="135"/>
    <n v="12862"/>
  </r>
  <r>
    <x v="2"/>
    <x v="179"/>
    <x v="135"/>
    <n v="18277"/>
  </r>
  <r>
    <x v="13"/>
    <x v="208"/>
    <x v="135"/>
    <n v="12590"/>
  </r>
  <r>
    <x v="3"/>
    <x v="20"/>
    <x v="135"/>
    <n v="17705"/>
  </r>
  <r>
    <x v="7"/>
    <x v="199"/>
    <x v="135"/>
    <n v="35670"/>
  </r>
  <r>
    <x v="7"/>
    <x v="16"/>
    <x v="135"/>
    <n v="32697"/>
  </r>
  <r>
    <x v="4"/>
    <x v="165"/>
    <x v="135"/>
    <n v="39051"/>
  </r>
  <r>
    <x v="4"/>
    <x v="164"/>
    <x v="135"/>
    <n v="29642"/>
  </r>
  <r>
    <x v="5"/>
    <x v="129"/>
    <x v="135"/>
    <n v="34093"/>
  </r>
  <r>
    <x v="5"/>
    <x v="79"/>
    <x v="135"/>
    <n v="32813"/>
  </r>
  <r>
    <x v="5"/>
    <x v="17"/>
    <x v="135"/>
    <n v="45729"/>
  </r>
  <r>
    <x v="0"/>
    <x v="78"/>
    <x v="136"/>
    <n v="25412"/>
  </r>
  <r>
    <x v="0"/>
    <x v="36"/>
    <x v="136"/>
    <n v="29242"/>
  </r>
  <r>
    <x v="6"/>
    <x v="173"/>
    <x v="136"/>
    <n v="26838"/>
  </r>
  <r>
    <x v="2"/>
    <x v="84"/>
    <x v="136"/>
    <n v="34138"/>
  </r>
  <r>
    <x v="8"/>
    <x v="32"/>
    <x v="136"/>
    <n v="16982"/>
  </r>
  <r>
    <x v="7"/>
    <x v="149"/>
    <x v="136"/>
    <n v="28687"/>
  </r>
  <r>
    <x v="4"/>
    <x v="37"/>
    <x v="136"/>
    <n v="43373"/>
  </r>
  <r>
    <x v="5"/>
    <x v="150"/>
    <x v="136"/>
    <n v="41747"/>
  </r>
  <r>
    <x v="5"/>
    <x v="6"/>
    <x v="136"/>
    <n v="48358"/>
  </r>
  <r>
    <x v="5"/>
    <x v="79"/>
    <x v="136"/>
    <n v="39348"/>
  </r>
  <r>
    <x v="5"/>
    <x v="151"/>
    <x v="136"/>
    <n v="53658"/>
  </r>
  <r>
    <x v="5"/>
    <x v="68"/>
    <x v="136"/>
    <n v="35365"/>
  </r>
  <r>
    <x v="9"/>
    <x v="69"/>
    <x v="137"/>
    <n v="12640"/>
  </r>
  <r>
    <x v="19"/>
    <x v="223"/>
    <x v="137"/>
    <n v="5200"/>
  </r>
  <r>
    <x v="8"/>
    <x v="48"/>
    <x v="137"/>
    <n v="28489"/>
  </r>
  <r>
    <x v="7"/>
    <x v="172"/>
    <x v="137"/>
    <n v="17989"/>
  </r>
  <r>
    <x v="4"/>
    <x v="133"/>
    <x v="137"/>
    <n v="36887"/>
  </r>
  <r>
    <x v="5"/>
    <x v="128"/>
    <x v="137"/>
    <n v="43641"/>
  </r>
  <r>
    <x v="5"/>
    <x v="7"/>
    <x v="137"/>
    <n v="40049"/>
  </r>
  <r>
    <x v="5"/>
    <x v="8"/>
    <x v="137"/>
    <n v="38950"/>
  </r>
  <r>
    <x v="0"/>
    <x v="226"/>
    <x v="138"/>
    <n v="37694"/>
  </r>
  <r>
    <x v="10"/>
    <x v="138"/>
    <x v="138"/>
    <n v="14842"/>
  </r>
  <r>
    <x v="2"/>
    <x v="198"/>
    <x v="138"/>
    <n v="16306"/>
  </r>
  <r>
    <x v="7"/>
    <x v="33"/>
    <x v="138"/>
    <n v="26733"/>
  </r>
  <r>
    <x v="4"/>
    <x v="50"/>
    <x v="138"/>
    <n v="42251"/>
  </r>
  <r>
    <x v="5"/>
    <x v="108"/>
    <x v="138"/>
    <n v="38375"/>
  </r>
  <r>
    <x v="5"/>
    <x v="87"/>
    <x v="138"/>
    <n v="44229"/>
  </r>
  <r>
    <x v="5"/>
    <x v="18"/>
    <x v="138"/>
    <n v="39114"/>
  </r>
  <r>
    <x v="5"/>
    <x v="16"/>
    <x v="138"/>
    <n v="35058"/>
  </r>
  <r>
    <x v="0"/>
    <x v="155"/>
    <x v="139"/>
    <n v="31743"/>
  </r>
  <r>
    <x v="0"/>
    <x v="42"/>
    <x v="139"/>
    <n v="28350"/>
  </r>
  <r>
    <x v="9"/>
    <x v="100"/>
    <x v="139"/>
    <n v="9014"/>
  </r>
  <r>
    <x v="9"/>
    <x v="70"/>
    <x v="139"/>
    <n v="26415"/>
  </r>
  <r>
    <x v="6"/>
    <x v="222"/>
    <x v="139"/>
    <n v="17269"/>
  </r>
  <r>
    <x v="1"/>
    <x v="212"/>
    <x v="139"/>
    <n v="13600"/>
  </r>
  <r>
    <x v="10"/>
    <x v="207"/>
    <x v="139"/>
    <n v="5484"/>
  </r>
  <r>
    <x v="11"/>
    <x v="46"/>
    <x v="139"/>
    <n v="29412"/>
  </r>
  <r>
    <x v="14"/>
    <x v="66"/>
    <x v="139"/>
    <n v="11222"/>
  </r>
  <r>
    <x v="3"/>
    <x v="31"/>
    <x v="139"/>
    <n v="25695"/>
  </r>
  <r>
    <x v="7"/>
    <x v="115"/>
    <x v="139"/>
    <n v="29409"/>
  </r>
  <r>
    <x v="4"/>
    <x v="235"/>
    <x v="139"/>
    <n v="22119"/>
  </r>
  <r>
    <x v="5"/>
    <x v="8"/>
    <x v="139"/>
    <n v="41625"/>
  </r>
  <r>
    <x v="5"/>
    <x v="24"/>
    <x v="139"/>
    <n v="48579"/>
  </r>
  <r>
    <x v="0"/>
    <x v="135"/>
    <x v="140"/>
    <n v="34222"/>
  </r>
  <r>
    <x v="0"/>
    <x v="155"/>
    <x v="140"/>
    <n v="28780"/>
  </r>
  <r>
    <x v="6"/>
    <x v="206"/>
    <x v="140"/>
    <n v="22850"/>
  </r>
  <r>
    <x v="2"/>
    <x v="12"/>
    <x v="140"/>
    <n v="25988"/>
  </r>
  <r>
    <x v="13"/>
    <x v="209"/>
    <x v="140"/>
    <n v="13352"/>
  </r>
  <r>
    <x v="3"/>
    <x v="140"/>
    <x v="140"/>
    <n v="31750"/>
  </r>
  <r>
    <x v="7"/>
    <x v="34"/>
    <x v="140"/>
    <n v="25775"/>
  </r>
  <r>
    <x v="7"/>
    <x v="35"/>
    <x v="140"/>
    <n v="17462"/>
  </r>
  <r>
    <x v="7"/>
    <x v="163"/>
    <x v="140"/>
    <n v="24140"/>
  </r>
  <r>
    <x v="4"/>
    <x v="200"/>
    <x v="140"/>
    <n v="41657"/>
  </r>
  <r>
    <x v="5"/>
    <x v="150"/>
    <x v="140"/>
    <n v="29704"/>
  </r>
  <r>
    <x v="5"/>
    <x v="219"/>
    <x v="140"/>
    <n v="27336"/>
  </r>
  <r>
    <x v="5"/>
    <x v="80"/>
    <x v="140"/>
    <n v="33793"/>
  </r>
  <r>
    <x v="12"/>
    <x v="159"/>
    <x v="141"/>
    <n v="11269"/>
  </r>
  <r>
    <x v="12"/>
    <x v="170"/>
    <x v="141"/>
    <n v="14989"/>
  </r>
  <r>
    <x v="0"/>
    <x v="129"/>
    <x v="141"/>
    <n v="36587"/>
  </r>
  <r>
    <x v="6"/>
    <x v="101"/>
    <x v="141"/>
    <n v="16531"/>
  </r>
  <r>
    <x v="6"/>
    <x v="137"/>
    <x v="141"/>
    <n v="11730"/>
  </r>
  <r>
    <x v="2"/>
    <x v="102"/>
    <x v="141"/>
    <n v="15398"/>
  </r>
  <r>
    <x v="7"/>
    <x v="13"/>
    <x v="141"/>
    <n v="24188"/>
  </r>
  <r>
    <x v="4"/>
    <x v="38"/>
    <x v="141"/>
    <n v="29307"/>
  </r>
  <r>
    <x v="5"/>
    <x v="109"/>
    <x v="141"/>
    <n v="35722"/>
  </r>
  <r>
    <x v="5"/>
    <x v="90"/>
    <x v="141"/>
    <n v="40561"/>
  </r>
  <r>
    <x v="5"/>
    <x v="40"/>
    <x v="141"/>
    <n v="36748"/>
  </r>
  <r>
    <x v="0"/>
    <x v="26"/>
    <x v="142"/>
    <n v="21975"/>
  </r>
  <r>
    <x v="2"/>
    <x v="3"/>
    <x v="142"/>
    <n v="15568"/>
  </r>
  <r>
    <x v="2"/>
    <x v="72"/>
    <x v="142"/>
    <n v="14887"/>
  </r>
  <r>
    <x v="7"/>
    <x v="160"/>
    <x v="142"/>
    <n v="29734"/>
  </r>
  <r>
    <x v="4"/>
    <x v="93"/>
    <x v="142"/>
    <n v="27133"/>
  </r>
  <r>
    <x v="5"/>
    <x v="150"/>
    <x v="142"/>
    <n v="45290"/>
  </r>
  <r>
    <x v="5"/>
    <x v="9"/>
    <x v="142"/>
    <n v="51368"/>
  </r>
  <r>
    <x v="5"/>
    <x v="61"/>
    <x v="142"/>
    <n v="26819"/>
  </r>
  <r>
    <x v="5"/>
    <x v="17"/>
    <x v="142"/>
    <n v="52306"/>
  </r>
  <r>
    <x v="10"/>
    <x v="234"/>
    <x v="143"/>
    <n v="14877"/>
  </r>
  <r>
    <x v="3"/>
    <x v="229"/>
    <x v="143"/>
    <n v="13200"/>
  </r>
  <r>
    <x v="7"/>
    <x v="197"/>
    <x v="143"/>
    <n v="25324"/>
  </r>
  <r>
    <x v="7"/>
    <x v="106"/>
    <x v="143"/>
    <n v="28170"/>
  </r>
  <r>
    <x v="5"/>
    <x v="219"/>
    <x v="143"/>
    <n v="30486"/>
  </r>
  <r>
    <x v="5"/>
    <x v="24"/>
    <x v="143"/>
    <n v="47474"/>
  </r>
  <r>
    <x v="12"/>
    <x v="202"/>
    <x v="144"/>
    <n v="7899"/>
  </r>
  <r>
    <x v="9"/>
    <x v="44"/>
    <x v="144"/>
    <n v="13347"/>
  </r>
  <r>
    <x v="3"/>
    <x v="214"/>
    <x v="144"/>
    <n v="17559"/>
  </r>
  <r>
    <x v="7"/>
    <x v="231"/>
    <x v="144"/>
    <n v="24028"/>
  </r>
  <r>
    <x v="4"/>
    <x v="74"/>
    <x v="144"/>
    <n v="48284"/>
  </r>
  <r>
    <x v="4"/>
    <x v="200"/>
    <x v="144"/>
    <n v="36325"/>
  </r>
  <r>
    <x v="4"/>
    <x v="60"/>
    <x v="144"/>
    <n v="17251"/>
  </r>
  <r>
    <x v="4"/>
    <x v="164"/>
    <x v="144"/>
    <n v="30613"/>
  </r>
  <r>
    <x v="4"/>
    <x v="4"/>
    <x v="144"/>
    <n v="36195"/>
  </r>
  <r>
    <x v="4"/>
    <x v="122"/>
    <x v="144"/>
    <n v="15528"/>
  </r>
  <r>
    <x v="5"/>
    <x v="25"/>
    <x v="144"/>
    <n v="54068"/>
  </r>
  <r>
    <x v="5"/>
    <x v="80"/>
    <x v="144"/>
    <n v="35822"/>
  </r>
  <r>
    <x v="12"/>
    <x v="81"/>
    <x v="145"/>
    <n v="10074"/>
  </r>
  <r>
    <x v="2"/>
    <x v="29"/>
    <x v="145"/>
    <n v="25677"/>
  </r>
  <r>
    <x v="7"/>
    <x v="105"/>
    <x v="145"/>
    <n v="23544"/>
  </r>
  <r>
    <x v="7"/>
    <x v="14"/>
    <x v="145"/>
    <n v="36541"/>
  </r>
  <r>
    <x v="4"/>
    <x v="121"/>
    <x v="145"/>
    <n v="50318"/>
  </r>
  <r>
    <x v="4"/>
    <x v="24"/>
    <x v="145"/>
    <n v="51213"/>
  </r>
  <r>
    <x v="5"/>
    <x v="217"/>
    <x v="145"/>
    <n v="46789"/>
  </r>
  <r>
    <x v="5"/>
    <x v="108"/>
    <x v="145"/>
    <n v="32607"/>
  </r>
  <r>
    <x v="5"/>
    <x v="218"/>
    <x v="145"/>
    <n v="32150"/>
  </r>
  <r>
    <x v="5"/>
    <x v="89"/>
    <x v="145"/>
    <n v="49818"/>
  </r>
  <r>
    <x v="5"/>
    <x v="17"/>
    <x v="145"/>
    <n v="35701"/>
  </r>
  <r>
    <x v="5"/>
    <x v="99"/>
    <x v="145"/>
    <n v="38966"/>
  </r>
  <r>
    <x v="5"/>
    <x v="25"/>
    <x v="145"/>
    <n v="51954"/>
  </r>
  <r>
    <x v="5"/>
    <x v="25"/>
    <x v="145"/>
    <n v="44187"/>
  </r>
  <r>
    <x v="0"/>
    <x v="171"/>
    <x v="146"/>
    <n v="26693"/>
  </r>
  <r>
    <x v="0"/>
    <x v="190"/>
    <x v="146"/>
    <n v="40782"/>
  </r>
  <r>
    <x v="1"/>
    <x v="131"/>
    <x v="146"/>
    <n v="14876"/>
  </r>
  <r>
    <x v="13"/>
    <x v="147"/>
    <x v="146"/>
    <n v="14377"/>
  </r>
  <r>
    <x v="14"/>
    <x v="228"/>
    <x v="146"/>
    <n v="26742"/>
  </r>
  <r>
    <x v="8"/>
    <x v="75"/>
    <x v="146"/>
    <n v="25784"/>
  </r>
  <r>
    <x v="4"/>
    <x v="59"/>
    <x v="146"/>
    <n v="43929"/>
  </r>
  <r>
    <x v="4"/>
    <x v="160"/>
    <x v="146"/>
    <n v="35056"/>
  </r>
  <r>
    <x v="5"/>
    <x v="128"/>
    <x v="146"/>
    <n v="34705"/>
  </r>
  <r>
    <x v="5"/>
    <x v="53"/>
    <x v="146"/>
    <n v="37705"/>
  </r>
  <r>
    <x v="5"/>
    <x v="88"/>
    <x v="146"/>
    <n v="37674"/>
  </r>
  <r>
    <x v="5"/>
    <x v="109"/>
    <x v="146"/>
    <n v="44920"/>
  </r>
  <r>
    <x v="5"/>
    <x v="109"/>
    <x v="146"/>
    <n v="35397"/>
  </r>
  <r>
    <x v="5"/>
    <x v="219"/>
    <x v="146"/>
    <n v="31546"/>
  </r>
  <r>
    <x v="5"/>
    <x v="24"/>
    <x v="146"/>
    <n v="43448"/>
  </r>
  <r>
    <x v="5"/>
    <x v="41"/>
    <x v="146"/>
    <n v="46950"/>
  </r>
  <r>
    <x v="12"/>
    <x v="64"/>
    <x v="147"/>
    <n v="11140"/>
  </r>
  <r>
    <x v="11"/>
    <x v="124"/>
    <x v="147"/>
    <n v="16116"/>
  </r>
  <r>
    <x v="2"/>
    <x v="111"/>
    <x v="147"/>
    <n v="13472"/>
  </r>
  <r>
    <x v="7"/>
    <x v="156"/>
    <x v="147"/>
    <n v="20983"/>
  </r>
  <r>
    <x v="5"/>
    <x v="9"/>
    <x v="147"/>
    <n v="49057"/>
  </r>
  <r>
    <x v="5"/>
    <x v="108"/>
    <x v="147"/>
    <n v="28116"/>
  </r>
  <r>
    <x v="0"/>
    <x v="194"/>
    <x v="148"/>
    <n v="18848"/>
  </r>
  <r>
    <x v="0"/>
    <x v="144"/>
    <x v="148"/>
    <n v="34343"/>
  </r>
  <r>
    <x v="6"/>
    <x v="227"/>
    <x v="148"/>
    <n v="8339"/>
  </r>
  <r>
    <x v="2"/>
    <x v="193"/>
    <x v="148"/>
    <n v="15904"/>
  </r>
  <r>
    <x v="8"/>
    <x v="73"/>
    <x v="148"/>
    <n v="19110"/>
  </r>
  <r>
    <x v="4"/>
    <x v="89"/>
    <x v="148"/>
    <n v="42446"/>
  </r>
  <r>
    <x v="4"/>
    <x v="5"/>
    <x v="148"/>
    <n v="47849"/>
  </r>
  <r>
    <x v="5"/>
    <x v="218"/>
    <x v="148"/>
    <n v="39268"/>
  </r>
  <r>
    <x v="5"/>
    <x v="7"/>
    <x v="148"/>
    <n v="35673"/>
  </r>
  <r>
    <x v="5"/>
    <x v="23"/>
    <x v="148"/>
    <n v="33915"/>
  </r>
  <r>
    <x v="5"/>
    <x v="24"/>
    <x v="148"/>
    <n v="46765"/>
  </r>
  <r>
    <x v="0"/>
    <x v="97"/>
    <x v="149"/>
    <n v="31903"/>
  </r>
  <r>
    <x v="10"/>
    <x v="191"/>
    <x v="149"/>
    <n v="14556"/>
  </r>
  <r>
    <x v="7"/>
    <x v="232"/>
    <x v="149"/>
    <n v="8711"/>
  </r>
  <r>
    <x v="4"/>
    <x v="169"/>
    <x v="149"/>
    <n v="54746"/>
  </r>
  <r>
    <x v="5"/>
    <x v="53"/>
    <x v="149"/>
    <n v="32821"/>
  </r>
  <r>
    <x v="5"/>
    <x v="39"/>
    <x v="149"/>
    <n v="33382"/>
  </r>
  <r>
    <x v="5"/>
    <x v="130"/>
    <x v="149"/>
    <n v="39184"/>
  </r>
  <r>
    <x v="0"/>
    <x v="49"/>
    <x v="150"/>
    <n v="39292"/>
  </r>
  <r>
    <x v="0"/>
    <x v="55"/>
    <x v="150"/>
    <n v="34249"/>
  </r>
  <r>
    <x v="1"/>
    <x v="11"/>
    <x v="150"/>
    <n v="15137"/>
  </r>
  <r>
    <x v="10"/>
    <x v="91"/>
    <x v="150"/>
    <n v="12251"/>
  </r>
  <r>
    <x v="2"/>
    <x v="186"/>
    <x v="150"/>
    <n v="7053"/>
  </r>
  <r>
    <x v="3"/>
    <x v="225"/>
    <x v="150"/>
    <n v="19084"/>
  </r>
  <r>
    <x v="7"/>
    <x v="33"/>
    <x v="150"/>
    <n v="21390"/>
  </r>
  <r>
    <x v="4"/>
    <x v="51"/>
    <x v="150"/>
    <n v="47763"/>
  </r>
  <r>
    <x v="5"/>
    <x v="87"/>
    <x v="150"/>
    <n v="34552"/>
  </r>
  <r>
    <x v="5"/>
    <x v="130"/>
    <x v="150"/>
    <n v="37818"/>
  </r>
  <r>
    <x v="5"/>
    <x v="151"/>
    <x v="150"/>
    <n v="46066"/>
  </r>
  <r>
    <x v="5"/>
    <x v="24"/>
    <x v="150"/>
    <n v="42838"/>
  </r>
  <r>
    <x v="12"/>
    <x v="206"/>
    <x v="151"/>
    <n v="11065"/>
  </r>
  <r>
    <x v="0"/>
    <x v="22"/>
    <x v="151"/>
    <n v="32859"/>
  </r>
  <r>
    <x v="0"/>
    <x v="98"/>
    <x v="151"/>
    <n v="27539"/>
  </r>
  <r>
    <x v="3"/>
    <x v="140"/>
    <x v="151"/>
    <n v="8052"/>
  </r>
  <r>
    <x v="3"/>
    <x v="76"/>
    <x v="151"/>
    <n v="42807"/>
  </r>
  <r>
    <x v="7"/>
    <x v="36"/>
    <x v="151"/>
    <n v="18872"/>
  </r>
  <r>
    <x v="15"/>
    <x v="127"/>
    <x v="151"/>
    <n v="13708"/>
  </r>
  <r>
    <x v="4"/>
    <x v="59"/>
    <x v="151"/>
    <n v="43823"/>
  </r>
  <r>
    <x v="4"/>
    <x v="37"/>
    <x v="151"/>
    <n v="21046"/>
  </r>
  <r>
    <x v="5"/>
    <x v="53"/>
    <x v="151"/>
    <n v="41004"/>
  </r>
  <r>
    <x v="5"/>
    <x v="7"/>
    <x v="151"/>
    <n v="46651"/>
  </r>
  <r>
    <x v="5"/>
    <x v="88"/>
    <x v="151"/>
    <n v="48752"/>
  </r>
  <r>
    <x v="5"/>
    <x v="90"/>
    <x v="151"/>
    <n v="39904"/>
  </r>
  <r>
    <x v="5"/>
    <x v="63"/>
    <x v="151"/>
    <n v="36594"/>
  </r>
  <r>
    <x v="17"/>
    <x v="209"/>
    <x v="152"/>
    <n v="14865"/>
  </r>
  <r>
    <x v="8"/>
    <x v="48"/>
    <x v="152"/>
    <n v="25393"/>
  </r>
  <r>
    <x v="4"/>
    <x v="216"/>
    <x v="152"/>
    <n v="46378"/>
  </r>
  <r>
    <x v="4"/>
    <x v="200"/>
    <x v="152"/>
    <n v="37897"/>
  </r>
  <r>
    <x v="4"/>
    <x v="52"/>
    <x v="152"/>
    <n v="46090"/>
  </r>
  <r>
    <x v="5"/>
    <x v="18"/>
    <x v="152"/>
    <n v="47653"/>
  </r>
  <r>
    <x v="5"/>
    <x v="41"/>
    <x v="152"/>
    <n v="35703"/>
  </r>
  <r>
    <x v="5"/>
    <x v="68"/>
    <x v="152"/>
    <n v="41769"/>
  </r>
  <r>
    <x v="18"/>
    <x v="201"/>
    <x v="153"/>
    <n v="8721"/>
  </r>
  <r>
    <x v="0"/>
    <x v="26"/>
    <x v="153"/>
    <n v="37653"/>
  </r>
  <r>
    <x v="9"/>
    <x v="69"/>
    <x v="153"/>
    <n v="13472"/>
  </r>
  <r>
    <x v="6"/>
    <x v="222"/>
    <x v="153"/>
    <n v="17171"/>
  </r>
  <r>
    <x v="6"/>
    <x v="159"/>
    <x v="153"/>
    <n v="5200"/>
  </r>
  <r>
    <x v="6"/>
    <x v="227"/>
    <x v="153"/>
    <n v="25426"/>
  </r>
  <r>
    <x v="1"/>
    <x v="1"/>
    <x v="153"/>
    <n v="12194"/>
  </r>
  <r>
    <x v="2"/>
    <x v="29"/>
    <x v="153"/>
    <n v="5200"/>
  </r>
  <r>
    <x v="3"/>
    <x v="230"/>
    <x v="153"/>
    <n v="19584"/>
  </r>
  <r>
    <x v="7"/>
    <x v="34"/>
    <x v="153"/>
    <n v="25278"/>
  </r>
  <r>
    <x v="7"/>
    <x v="163"/>
    <x v="153"/>
    <n v="24068"/>
  </r>
  <r>
    <x v="5"/>
    <x v="133"/>
    <x v="153"/>
    <n v="31779"/>
  </r>
  <r>
    <x v="5"/>
    <x v="89"/>
    <x v="153"/>
    <n v="41323"/>
  </r>
  <r>
    <x v="5"/>
    <x v="17"/>
    <x v="153"/>
    <n v="35146"/>
  </r>
  <r>
    <x v="5"/>
    <x v="18"/>
    <x v="153"/>
    <n v="44365"/>
  </r>
  <r>
    <x v="5"/>
    <x v="99"/>
    <x v="153"/>
    <n v="46106"/>
  </r>
  <r>
    <x v="5"/>
    <x v="41"/>
    <x v="153"/>
    <n v="40994"/>
  </r>
  <r>
    <x v="5"/>
    <x v="63"/>
    <x v="153"/>
    <n v="37740"/>
  </r>
  <r>
    <x v="0"/>
    <x v="116"/>
    <x v="154"/>
    <n v="32698"/>
  </r>
  <r>
    <x v="0"/>
    <x v="145"/>
    <x v="154"/>
    <n v="38294"/>
  </r>
  <r>
    <x v="1"/>
    <x v="158"/>
    <x v="154"/>
    <n v="13572"/>
  </r>
  <r>
    <x v="11"/>
    <x v="45"/>
    <x v="154"/>
    <n v="18845"/>
  </r>
  <r>
    <x v="3"/>
    <x v="42"/>
    <x v="154"/>
    <n v="28018"/>
  </r>
  <r>
    <x v="7"/>
    <x v="33"/>
    <x v="154"/>
    <n v="19575"/>
  </r>
  <r>
    <x v="7"/>
    <x v="149"/>
    <x v="154"/>
    <n v="29269"/>
  </r>
  <r>
    <x v="4"/>
    <x v="51"/>
    <x v="154"/>
    <n v="25287"/>
  </r>
  <r>
    <x v="4"/>
    <x v="4"/>
    <x v="154"/>
    <n v="44949"/>
  </r>
  <r>
    <x v="5"/>
    <x v="79"/>
    <x v="154"/>
    <n v="26947"/>
  </r>
  <r>
    <x v="5"/>
    <x v="39"/>
    <x v="154"/>
    <n v="34894"/>
  </r>
  <r>
    <x v="5"/>
    <x v="109"/>
    <x v="154"/>
    <n v="51548"/>
  </r>
  <r>
    <x v="5"/>
    <x v="95"/>
    <x v="154"/>
    <n v="40986"/>
  </r>
  <r>
    <x v="5"/>
    <x v="144"/>
    <x v="154"/>
    <n v="40600"/>
  </r>
  <r>
    <x v="0"/>
    <x v="134"/>
    <x v="155"/>
    <n v="28347"/>
  </r>
  <r>
    <x v="10"/>
    <x v="138"/>
    <x v="155"/>
    <n v="13686"/>
  </r>
  <r>
    <x v="13"/>
    <x v="57"/>
    <x v="155"/>
    <n v="8373"/>
  </r>
  <r>
    <x v="3"/>
    <x v="47"/>
    <x v="155"/>
    <n v="16133"/>
  </r>
  <r>
    <x v="7"/>
    <x v="105"/>
    <x v="155"/>
    <n v="28845"/>
  </r>
  <r>
    <x v="7"/>
    <x v="199"/>
    <x v="155"/>
    <n v="23908"/>
  </r>
  <r>
    <x v="4"/>
    <x v="175"/>
    <x v="155"/>
    <n v="45609"/>
  </r>
  <r>
    <x v="4"/>
    <x v="188"/>
    <x v="155"/>
    <n v="38953"/>
  </r>
  <r>
    <x v="4"/>
    <x v="5"/>
    <x v="155"/>
    <n v="23837"/>
  </r>
  <r>
    <x v="5"/>
    <x v="144"/>
    <x v="155"/>
    <n v="31602"/>
  </r>
  <r>
    <x v="5"/>
    <x v="63"/>
    <x v="155"/>
    <n v="40809"/>
  </r>
  <r>
    <x v="0"/>
    <x v="62"/>
    <x v="156"/>
    <n v="54311"/>
  </r>
  <r>
    <x v="0"/>
    <x v="155"/>
    <x v="156"/>
    <n v="35712"/>
  </r>
  <r>
    <x v="9"/>
    <x v="44"/>
    <x v="156"/>
    <n v="14457"/>
  </r>
  <r>
    <x v="3"/>
    <x v="113"/>
    <x v="156"/>
    <n v="18665"/>
  </r>
  <r>
    <x v="3"/>
    <x v="119"/>
    <x v="156"/>
    <n v="17701"/>
  </r>
  <r>
    <x v="4"/>
    <x v="37"/>
    <x v="156"/>
    <n v="23173"/>
  </r>
  <r>
    <x v="5"/>
    <x v="176"/>
    <x v="156"/>
    <n v="33340"/>
  </r>
  <r>
    <x v="5"/>
    <x v="217"/>
    <x v="156"/>
    <n v="34291"/>
  </r>
  <r>
    <x v="5"/>
    <x v="9"/>
    <x v="156"/>
    <n v="56825"/>
  </r>
  <r>
    <x v="5"/>
    <x v="79"/>
    <x v="156"/>
    <n v="40067"/>
  </r>
  <r>
    <x v="5"/>
    <x v="130"/>
    <x v="156"/>
    <n v="40451"/>
  </r>
  <r>
    <x v="5"/>
    <x v="8"/>
    <x v="156"/>
    <n v="36603"/>
  </r>
  <r>
    <x v="5"/>
    <x v="40"/>
    <x v="156"/>
    <n v="34175"/>
  </r>
  <r>
    <x v="0"/>
    <x v="221"/>
    <x v="157"/>
    <n v="10729"/>
  </r>
  <r>
    <x v="2"/>
    <x v="2"/>
    <x v="157"/>
    <n v="18780"/>
  </r>
  <r>
    <x v="4"/>
    <x v="24"/>
    <x v="157"/>
    <n v="45393"/>
  </r>
  <r>
    <x v="5"/>
    <x v="53"/>
    <x v="157"/>
    <n v="32392"/>
  </r>
  <r>
    <x v="5"/>
    <x v="17"/>
    <x v="157"/>
    <n v="43980"/>
  </r>
  <r>
    <x v="5"/>
    <x v="18"/>
    <x v="157"/>
    <n v="42899"/>
  </r>
  <r>
    <x v="12"/>
    <x v="166"/>
    <x v="158"/>
    <n v="15625"/>
  </r>
  <r>
    <x v="0"/>
    <x v="226"/>
    <x v="158"/>
    <n v="37587"/>
  </r>
  <r>
    <x v="0"/>
    <x v="194"/>
    <x v="158"/>
    <n v="21202"/>
  </r>
  <r>
    <x v="0"/>
    <x v="203"/>
    <x v="158"/>
    <n v="19984"/>
  </r>
  <r>
    <x v="0"/>
    <x v="210"/>
    <x v="158"/>
    <n v="33502"/>
  </r>
  <r>
    <x v="8"/>
    <x v="196"/>
    <x v="158"/>
    <n v="18209"/>
  </r>
  <r>
    <x v="4"/>
    <x v="143"/>
    <x v="158"/>
    <n v="35320"/>
  </r>
  <r>
    <x v="5"/>
    <x v="150"/>
    <x v="158"/>
    <n v="39153"/>
  </r>
  <r>
    <x v="5"/>
    <x v="9"/>
    <x v="158"/>
    <n v="59605"/>
  </r>
  <r>
    <x v="5"/>
    <x v="79"/>
    <x v="158"/>
    <n v="35169"/>
  </r>
  <r>
    <x v="5"/>
    <x v="109"/>
    <x v="158"/>
    <n v="36188"/>
  </r>
  <r>
    <x v="5"/>
    <x v="25"/>
    <x v="158"/>
    <n v="57845"/>
  </r>
  <r>
    <x v="4"/>
    <x v="143"/>
    <x v="159"/>
    <n v="41682"/>
  </r>
  <r>
    <x v="4"/>
    <x v="38"/>
    <x v="159"/>
    <n v="56194"/>
  </r>
  <r>
    <x v="5"/>
    <x v="6"/>
    <x v="159"/>
    <n v="36404"/>
  </r>
  <r>
    <x v="5"/>
    <x v="183"/>
    <x v="159"/>
    <n v="32913"/>
  </r>
  <r>
    <x v="19"/>
    <x v="223"/>
    <x v="160"/>
    <n v="5200"/>
  </r>
  <r>
    <x v="11"/>
    <x v="46"/>
    <x v="160"/>
    <n v="5200"/>
  </r>
  <r>
    <x v="7"/>
    <x v="197"/>
    <x v="160"/>
    <n v="25429"/>
  </r>
  <r>
    <x v="7"/>
    <x v="93"/>
    <x v="160"/>
    <n v="25603"/>
  </r>
  <r>
    <x v="4"/>
    <x v="142"/>
    <x v="160"/>
    <n v="30503"/>
  </r>
  <r>
    <x v="4"/>
    <x v="77"/>
    <x v="160"/>
    <n v="42209"/>
  </r>
  <r>
    <x v="4"/>
    <x v="4"/>
    <x v="160"/>
    <n v="41155"/>
  </r>
  <r>
    <x v="4"/>
    <x v="117"/>
    <x v="160"/>
    <n v="29135"/>
  </r>
  <r>
    <x v="5"/>
    <x v="165"/>
    <x v="160"/>
    <n v="61384"/>
  </r>
  <r>
    <x v="5"/>
    <x v="87"/>
    <x v="160"/>
    <n v="37537"/>
  </r>
  <r>
    <x v="5"/>
    <x v="39"/>
    <x v="160"/>
    <n v="34253"/>
  </r>
  <r>
    <x v="5"/>
    <x v="17"/>
    <x v="160"/>
    <n v="38695"/>
  </r>
  <r>
    <x v="5"/>
    <x v="80"/>
    <x v="160"/>
    <n v="45894"/>
  </r>
  <r>
    <x v="12"/>
    <x v="170"/>
    <x v="161"/>
    <n v="14964"/>
  </r>
  <r>
    <x v="12"/>
    <x v="123"/>
    <x v="161"/>
    <n v="5344"/>
  </r>
  <r>
    <x v="0"/>
    <x v="9"/>
    <x v="161"/>
    <n v="58729"/>
  </r>
  <r>
    <x v="0"/>
    <x v="194"/>
    <x v="161"/>
    <n v="34124"/>
  </r>
  <r>
    <x v="0"/>
    <x v="203"/>
    <x v="161"/>
    <n v="27522"/>
  </r>
  <r>
    <x v="1"/>
    <x v="211"/>
    <x v="161"/>
    <n v="14636"/>
  </r>
  <r>
    <x v="2"/>
    <x v="174"/>
    <x v="161"/>
    <n v="16044"/>
  </r>
  <r>
    <x v="2"/>
    <x v="111"/>
    <x v="161"/>
    <n v="20797"/>
  </r>
  <r>
    <x v="7"/>
    <x v="14"/>
    <x v="161"/>
    <n v="9231"/>
  </r>
  <r>
    <x v="4"/>
    <x v="50"/>
    <x v="161"/>
    <n v="41700"/>
  </r>
  <r>
    <x v="5"/>
    <x v="128"/>
    <x v="161"/>
    <n v="42015"/>
  </r>
  <r>
    <x v="5"/>
    <x v="108"/>
    <x v="161"/>
    <n v="31687"/>
  </r>
  <r>
    <x v="12"/>
    <x v="202"/>
    <x v="162"/>
    <n v="21444"/>
  </r>
  <r>
    <x v="0"/>
    <x v="61"/>
    <x v="162"/>
    <n v="31342"/>
  </r>
  <r>
    <x v="13"/>
    <x v="208"/>
    <x v="162"/>
    <n v="12008"/>
  </r>
  <r>
    <x v="4"/>
    <x v="120"/>
    <x v="162"/>
    <n v="54797"/>
  </r>
  <r>
    <x v="4"/>
    <x v="121"/>
    <x v="162"/>
    <n v="49280"/>
  </r>
  <r>
    <x v="4"/>
    <x v="160"/>
    <x v="162"/>
    <n v="31491"/>
  </r>
  <r>
    <x v="5"/>
    <x v="200"/>
    <x v="162"/>
    <n v="36698"/>
  </r>
  <r>
    <x v="5"/>
    <x v="136"/>
    <x v="162"/>
    <n v="25514"/>
  </r>
  <r>
    <x v="5"/>
    <x v="130"/>
    <x v="162"/>
    <n v="47939"/>
  </r>
  <r>
    <x v="5"/>
    <x v="130"/>
    <x v="162"/>
    <n v="35463"/>
  </r>
  <r>
    <x v="5"/>
    <x v="67"/>
    <x v="162"/>
    <n v="44981"/>
  </r>
  <r>
    <x v="5"/>
    <x v="68"/>
    <x v="162"/>
    <n v="34380"/>
  </r>
  <r>
    <x v="5"/>
    <x v="63"/>
    <x v="162"/>
    <n v="48746"/>
  </r>
  <r>
    <x v="0"/>
    <x v="184"/>
    <x v="163"/>
    <n v="35531"/>
  </r>
  <r>
    <x v="6"/>
    <x v="173"/>
    <x v="163"/>
    <n v="6994"/>
  </r>
  <r>
    <x v="2"/>
    <x v="179"/>
    <x v="163"/>
    <n v="17179"/>
  </r>
  <r>
    <x v="3"/>
    <x v="225"/>
    <x v="163"/>
    <n v="22890"/>
  </r>
  <r>
    <x v="3"/>
    <x v="112"/>
    <x v="163"/>
    <n v="21289"/>
  </r>
  <r>
    <x v="7"/>
    <x v="15"/>
    <x v="163"/>
    <n v="22534"/>
  </r>
  <r>
    <x v="4"/>
    <x v="50"/>
    <x v="163"/>
    <n v="46050"/>
  </r>
  <r>
    <x v="4"/>
    <x v="126"/>
    <x v="163"/>
    <n v="30301"/>
  </r>
  <r>
    <x v="5"/>
    <x v="176"/>
    <x v="163"/>
    <n v="46444"/>
  </r>
  <r>
    <x v="5"/>
    <x v="94"/>
    <x v="163"/>
    <n v="45992"/>
  </r>
  <r>
    <x v="5"/>
    <x v="62"/>
    <x v="163"/>
    <n v="50704"/>
  </r>
  <r>
    <x v="5"/>
    <x v="80"/>
    <x v="163"/>
    <n v="31344"/>
  </r>
  <r>
    <x v="12"/>
    <x v="64"/>
    <x v="164"/>
    <n v="25368"/>
  </r>
  <r>
    <x v="0"/>
    <x v="190"/>
    <x v="164"/>
    <n v="41422"/>
  </r>
  <r>
    <x v="0"/>
    <x v="155"/>
    <x v="164"/>
    <n v="32080"/>
  </r>
  <r>
    <x v="0"/>
    <x v="0"/>
    <x v="164"/>
    <n v="39701"/>
  </r>
  <r>
    <x v="6"/>
    <x v="56"/>
    <x v="164"/>
    <n v="15066"/>
  </r>
  <r>
    <x v="11"/>
    <x v="132"/>
    <x v="164"/>
    <n v="19420"/>
  </r>
  <r>
    <x v="2"/>
    <x v="193"/>
    <x v="164"/>
    <n v="14016"/>
  </r>
  <r>
    <x v="17"/>
    <x v="195"/>
    <x v="164"/>
    <n v="14276"/>
  </r>
  <r>
    <x v="8"/>
    <x v="73"/>
    <x v="164"/>
    <n v="12895"/>
  </r>
  <r>
    <x v="8"/>
    <x v="75"/>
    <x v="164"/>
    <n v="20112"/>
  </r>
  <r>
    <x v="4"/>
    <x v="157"/>
    <x v="164"/>
    <n v="41659"/>
  </r>
  <r>
    <x v="4"/>
    <x v="13"/>
    <x v="164"/>
    <n v="23433"/>
  </r>
  <r>
    <x v="4"/>
    <x v="4"/>
    <x v="164"/>
    <n v="38997"/>
  </r>
  <r>
    <x v="5"/>
    <x v="9"/>
    <x v="164"/>
    <n v="49931"/>
  </r>
  <r>
    <x v="5"/>
    <x v="90"/>
    <x v="164"/>
    <n v="38020"/>
  </r>
  <r>
    <x v="5"/>
    <x v="99"/>
    <x v="164"/>
    <n v="37754"/>
  </r>
  <r>
    <x v="5"/>
    <x v="41"/>
    <x v="164"/>
    <n v="40207"/>
  </r>
  <r>
    <x v="0"/>
    <x v="97"/>
    <x v="165"/>
    <n v="25629"/>
  </r>
  <r>
    <x v="0"/>
    <x v="82"/>
    <x v="165"/>
    <n v="30669"/>
  </r>
  <r>
    <x v="9"/>
    <x v="70"/>
    <x v="165"/>
    <n v="5200"/>
  </r>
  <r>
    <x v="10"/>
    <x v="234"/>
    <x v="165"/>
    <n v="15817"/>
  </r>
  <r>
    <x v="11"/>
    <x v="139"/>
    <x v="165"/>
    <n v="14436"/>
  </r>
  <r>
    <x v="2"/>
    <x v="192"/>
    <x v="165"/>
    <n v="12088"/>
  </r>
  <r>
    <x v="2"/>
    <x v="10"/>
    <x v="165"/>
    <n v="15325"/>
  </r>
  <r>
    <x v="2"/>
    <x v="65"/>
    <x v="165"/>
    <n v="21677"/>
  </r>
  <r>
    <x v="3"/>
    <x v="31"/>
    <x v="165"/>
    <n v="25815"/>
  </r>
  <r>
    <x v="3"/>
    <x v="118"/>
    <x v="165"/>
    <n v="19879"/>
  </r>
  <r>
    <x v="4"/>
    <x v="122"/>
    <x v="165"/>
    <n v="43661"/>
  </r>
  <r>
    <x v="4"/>
    <x v="24"/>
    <x v="165"/>
    <n v="45013"/>
  </r>
  <r>
    <x v="4"/>
    <x v="126"/>
    <x v="165"/>
    <n v="30003"/>
  </r>
  <r>
    <x v="5"/>
    <x v="128"/>
    <x v="165"/>
    <n v="40405"/>
  </r>
  <r>
    <x v="5"/>
    <x v="150"/>
    <x v="165"/>
    <n v="41655"/>
  </r>
  <r>
    <x v="5"/>
    <x v="25"/>
    <x v="165"/>
    <n v="60615"/>
  </r>
  <r>
    <x v="0"/>
    <x v="61"/>
    <x v="166"/>
    <n v="34720"/>
  </r>
  <r>
    <x v="9"/>
    <x v="27"/>
    <x v="166"/>
    <n v="12876"/>
  </r>
  <r>
    <x v="1"/>
    <x v="71"/>
    <x v="166"/>
    <n v="12576"/>
  </r>
  <r>
    <x v="1"/>
    <x v="11"/>
    <x v="166"/>
    <n v="14519"/>
  </r>
  <r>
    <x v="7"/>
    <x v="181"/>
    <x v="166"/>
    <n v="22620"/>
  </r>
  <r>
    <x v="4"/>
    <x v="164"/>
    <x v="166"/>
    <n v="28350"/>
  </r>
  <r>
    <x v="4"/>
    <x v="235"/>
    <x v="166"/>
    <n v="30739"/>
  </r>
  <r>
    <x v="5"/>
    <x v="62"/>
    <x v="166"/>
    <n v="37793"/>
  </r>
  <r>
    <x v="5"/>
    <x v="144"/>
    <x v="166"/>
    <n v="39064"/>
  </r>
  <r>
    <x v="5"/>
    <x v="24"/>
    <x v="166"/>
    <n v="43016"/>
  </r>
  <r>
    <x v="5"/>
    <x v="24"/>
    <x v="166"/>
    <n v="37612"/>
  </r>
  <r>
    <x v="5"/>
    <x v="63"/>
    <x v="166"/>
    <n v="31875"/>
  </r>
  <r>
    <x v="0"/>
    <x v="63"/>
    <x v="167"/>
    <n v="38152"/>
  </r>
  <r>
    <x v="6"/>
    <x v="137"/>
    <x v="167"/>
    <n v="11492"/>
  </r>
  <r>
    <x v="6"/>
    <x v="102"/>
    <x v="167"/>
    <n v="15013"/>
  </r>
  <r>
    <x v="1"/>
    <x v="131"/>
    <x v="167"/>
    <n v="14743"/>
  </r>
  <r>
    <x v="10"/>
    <x v="83"/>
    <x v="167"/>
    <n v="16858"/>
  </r>
  <r>
    <x v="8"/>
    <x v="21"/>
    <x v="167"/>
    <n v="15336"/>
  </r>
  <r>
    <x v="5"/>
    <x v="150"/>
    <x v="167"/>
    <n v="36055"/>
  </r>
  <r>
    <x v="5"/>
    <x v="151"/>
    <x v="167"/>
    <n v="50937"/>
  </r>
  <r>
    <x v="5"/>
    <x v="152"/>
    <x v="167"/>
    <n v="54224"/>
  </r>
  <r>
    <x v="5"/>
    <x v="67"/>
    <x v="167"/>
    <n v="43225"/>
  </r>
  <r>
    <x v="0"/>
    <x v="49"/>
    <x v="168"/>
    <n v="39644"/>
  </r>
  <r>
    <x v="3"/>
    <x v="229"/>
    <x v="168"/>
    <n v="17728"/>
  </r>
  <r>
    <x v="8"/>
    <x v="168"/>
    <x v="168"/>
    <n v="13050"/>
  </r>
  <r>
    <x v="4"/>
    <x v="107"/>
    <x v="168"/>
    <n v="59027"/>
  </r>
  <r>
    <x v="5"/>
    <x v="53"/>
    <x v="168"/>
    <n v="32866"/>
  </r>
  <r>
    <x v="5"/>
    <x v="9"/>
    <x v="168"/>
    <n v="51369"/>
  </r>
  <r>
    <x v="5"/>
    <x v="88"/>
    <x v="168"/>
    <n v="41802"/>
  </r>
  <r>
    <x v="5"/>
    <x v="18"/>
    <x v="168"/>
    <n v="41583"/>
  </r>
  <r>
    <x v="5"/>
    <x v="95"/>
    <x v="168"/>
    <n v="47600"/>
  </r>
  <r>
    <x v="5"/>
    <x v="24"/>
    <x v="168"/>
    <n v="54620"/>
  </r>
  <r>
    <x v="5"/>
    <x v="68"/>
    <x v="168"/>
    <n v="36537"/>
  </r>
  <r>
    <x v="5"/>
    <x v="80"/>
    <x v="168"/>
    <n v="34324"/>
  </r>
  <r>
    <x v="5"/>
    <x v="80"/>
    <x v="168"/>
    <n v="31439"/>
  </r>
  <r>
    <x v="0"/>
    <x v="97"/>
    <x v="169"/>
    <n v="26821"/>
  </r>
  <r>
    <x v="0"/>
    <x v="135"/>
    <x v="169"/>
    <n v="38919"/>
  </r>
  <r>
    <x v="11"/>
    <x v="185"/>
    <x v="169"/>
    <n v="12879"/>
  </r>
  <r>
    <x v="14"/>
    <x v="228"/>
    <x v="169"/>
    <n v="28521"/>
  </r>
  <r>
    <x v="3"/>
    <x v="12"/>
    <x v="169"/>
    <n v="21340"/>
  </r>
  <r>
    <x v="7"/>
    <x v="35"/>
    <x v="169"/>
    <n v="12878"/>
  </r>
  <r>
    <x v="4"/>
    <x v="86"/>
    <x v="169"/>
    <n v="36272"/>
  </r>
  <r>
    <x v="4"/>
    <x v="43"/>
    <x v="169"/>
    <n v="42135"/>
  </r>
  <r>
    <x v="5"/>
    <x v="108"/>
    <x v="169"/>
    <n v="41633"/>
  </r>
  <r>
    <x v="5"/>
    <x v="88"/>
    <x v="169"/>
    <n v="37076"/>
  </r>
  <r>
    <x v="5"/>
    <x v="40"/>
    <x v="169"/>
    <n v="53081"/>
  </r>
  <r>
    <x v="12"/>
    <x v="81"/>
    <x v="170"/>
    <n v="16371"/>
  </r>
  <r>
    <x v="0"/>
    <x v="167"/>
    <x v="170"/>
    <n v="48940"/>
  </r>
  <r>
    <x v="0"/>
    <x v="87"/>
    <x v="170"/>
    <n v="51954"/>
  </r>
  <r>
    <x v="0"/>
    <x v="171"/>
    <x v="170"/>
    <n v="9274"/>
  </r>
  <r>
    <x v="10"/>
    <x v="101"/>
    <x v="170"/>
    <n v="15253"/>
  </r>
  <r>
    <x v="3"/>
    <x v="214"/>
    <x v="170"/>
    <n v="18359"/>
  </r>
  <r>
    <x v="3"/>
    <x v="125"/>
    <x v="170"/>
    <n v="17900"/>
  </r>
  <r>
    <x v="7"/>
    <x v="33"/>
    <x v="170"/>
    <n v="20972"/>
  </r>
  <r>
    <x v="4"/>
    <x v="182"/>
    <x v="170"/>
    <n v="42841"/>
  </r>
  <r>
    <x v="4"/>
    <x v="235"/>
    <x v="170"/>
    <n v="32493"/>
  </r>
  <r>
    <x v="5"/>
    <x v="8"/>
    <x v="170"/>
    <n v="35858"/>
  </r>
  <r>
    <x v="5"/>
    <x v="24"/>
    <x v="170"/>
    <n v="36610"/>
  </r>
  <r>
    <x v="12"/>
    <x v="110"/>
    <x v="171"/>
    <n v="13323"/>
  </r>
  <r>
    <x v="0"/>
    <x v="189"/>
    <x v="171"/>
    <n v="26976"/>
  </r>
  <r>
    <x v="6"/>
    <x v="220"/>
    <x v="171"/>
    <n v="14031"/>
  </r>
  <r>
    <x v="1"/>
    <x v="212"/>
    <x v="171"/>
    <n v="16201"/>
  </r>
  <r>
    <x v="10"/>
    <x v="162"/>
    <x v="171"/>
    <n v="15138"/>
  </r>
  <r>
    <x v="3"/>
    <x v="141"/>
    <x v="171"/>
    <n v="12601"/>
  </r>
  <r>
    <x v="7"/>
    <x v="148"/>
    <x v="171"/>
    <n v="19889"/>
  </r>
  <r>
    <x v="7"/>
    <x v="51"/>
    <x v="171"/>
    <n v="35382"/>
  </r>
  <r>
    <x v="7"/>
    <x v="180"/>
    <x v="171"/>
    <n v="15602"/>
  </r>
  <r>
    <x v="4"/>
    <x v="150"/>
    <x v="171"/>
    <n v="43014"/>
  </r>
  <r>
    <x v="4"/>
    <x v="142"/>
    <x v="171"/>
    <n v="26305"/>
  </r>
  <r>
    <x v="4"/>
    <x v="117"/>
    <x v="171"/>
    <n v="28211"/>
  </r>
  <r>
    <x v="4"/>
    <x v="16"/>
    <x v="171"/>
    <n v="32741"/>
  </r>
  <r>
    <x v="5"/>
    <x v="95"/>
    <x v="171"/>
    <n v="43295"/>
  </r>
  <r>
    <x v="5"/>
    <x v="19"/>
    <x v="171"/>
    <n v="42470"/>
  </r>
  <r>
    <x v="0"/>
    <x v="106"/>
    <x v="172"/>
    <n v="26287"/>
  </r>
  <r>
    <x v="2"/>
    <x v="72"/>
    <x v="172"/>
    <n v="15790"/>
  </r>
  <r>
    <x v="2"/>
    <x v="186"/>
    <x v="172"/>
    <n v="6673"/>
  </r>
  <r>
    <x v="7"/>
    <x v="215"/>
    <x v="172"/>
    <n v="7620"/>
  </r>
  <r>
    <x v="7"/>
    <x v="232"/>
    <x v="172"/>
    <n v="18751"/>
  </r>
  <r>
    <x v="4"/>
    <x v="43"/>
    <x v="172"/>
    <n v="35583"/>
  </r>
  <r>
    <x v="5"/>
    <x v="6"/>
    <x v="172"/>
    <n v="47486"/>
  </r>
  <r>
    <x v="5"/>
    <x v="87"/>
    <x v="172"/>
    <n v="49961"/>
  </r>
  <r>
    <x v="5"/>
    <x v="62"/>
    <x v="172"/>
    <n v="44692"/>
  </r>
  <r>
    <x v="5"/>
    <x v="17"/>
    <x v="172"/>
    <n v="30160"/>
  </r>
  <r>
    <x v="5"/>
    <x v="23"/>
    <x v="172"/>
    <n v="34697"/>
  </r>
  <r>
    <x v="5"/>
    <x v="23"/>
    <x v="172"/>
    <n v="33654"/>
  </r>
  <r>
    <x v="12"/>
    <x v="54"/>
    <x v="173"/>
    <n v="10374"/>
  </r>
  <r>
    <x v="0"/>
    <x v="55"/>
    <x v="173"/>
    <n v="33509"/>
  </r>
  <r>
    <x v="0"/>
    <x v="99"/>
    <x v="173"/>
    <n v="39834"/>
  </r>
  <r>
    <x v="10"/>
    <x v="103"/>
    <x v="173"/>
    <n v="19849"/>
  </r>
  <r>
    <x v="10"/>
    <x v="91"/>
    <x v="173"/>
    <n v="14356"/>
  </r>
  <r>
    <x v="7"/>
    <x v="156"/>
    <x v="173"/>
    <n v="19841"/>
  </r>
  <r>
    <x v="4"/>
    <x v="78"/>
    <x v="173"/>
    <n v="12447"/>
  </r>
  <r>
    <x v="4"/>
    <x v="235"/>
    <x v="173"/>
    <n v="34508"/>
  </r>
  <r>
    <x v="5"/>
    <x v="7"/>
    <x v="173"/>
    <n v="35655"/>
  </r>
  <r>
    <x v="5"/>
    <x v="89"/>
    <x v="173"/>
    <n v="38707"/>
  </r>
  <r>
    <x v="5"/>
    <x v="130"/>
    <x v="173"/>
    <n v="31075"/>
  </r>
  <r>
    <x v="5"/>
    <x v="219"/>
    <x v="173"/>
    <n v="21602"/>
  </r>
  <r>
    <x v="5"/>
    <x v="99"/>
    <x v="173"/>
    <n v="42877"/>
  </r>
  <r>
    <x v="0"/>
    <x v="6"/>
    <x v="174"/>
    <n v="48158"/>
  </r>
  <r>
    <x v="2"/>
    <x v="3"/>
    <x v="174"/>
    <n v="16200"/>
  </r>
  <r>
    <x v="4"/>
    <x v="74"/>
    <x v="174"/>
    <n v="46760"/>
  </r>
  <r>
    <x v="4"/>
    <x v="122"/>
    <x v="174"/>
    <n v="34860"/>
  </r>
  <r>
    <x v="4"/>
    <x v="16"/>
    <x v="174"/>
    <n v="31926"/>
  </r>
  <r>
    <x v="5"/>
    <x v="89"/>
    <x v="174"/>
    <n v="37835"/>
  </r>
  <r>
    <x v="5"/>
    <x v="183"/>
    <x v="174"/>
    <n v="48254"/>
  </r>
  <r>
    <x v="5"/>
    <x v="151"/>
    <x v="174"/>
    <n v="55131"/>
  </r>
  <r>
    <x v="5"/>
    <x v="144"/>
    <x v="174"/>
    <n v="39752"/>
  </r>
  <r>
    <x v="5"/>
    <x v="24"/>
    <x v="174"/>
    <n v="40444"/>
  </r>
  <r>
    <x v="16"/>
    <x v="153"/>
    <x v="175"/>
    <n v="14160"/>
  </r>
  <r>
    <x v="0"/>
    <x v="154"/>
    <x v="175"/>
    <n v="34562"/>
  </r>
  <r>
    <x v="0"/>
    <x v="133"/>
    <x v="175"/>
    <n v="29146"/>
  </r>
  <r>
    <x v="9"/>
    <x v="187"/>
    <x v="175"/>
    <n v="12518"/>
  </r>
  <r>
    <x v="10"/>
    <x v="191"/>
    <x v="175"/>
    <n v="14800"/>
  </r>
  <r>
    <x v="10"/>
    <x v="28"/>
    <x v="175"/>
    <n v="13439"/>
  </r>
  <r>
    <x v="13"/>
    <x v="147"/>
    <x v="175"/>
    <n v="13526"/>
  </r>
  <r>
    <x v="3"/>
    <x v="20"/>
    <x v="175"/>
    <n v="18453"/>
  </r>
  <r>
    <x v="7"/>
    <x v="231"/>
    <x v="175"/>
    <n v="24193"/>
  </r>
  <r>
    <x v="7"/>
    <x v="114"/>
    <x v="175"/>
    <n v="17419"/>
  </r>
  <r>
    <x v="7"/>
    <x v="172"/>
    <x v="175"/>
    <n v="19979"/>
  </r>
  <r>
    <x v="5"/>
    <x v="24"/>
    <x v="175"/>
    <n v="53321"/>
  </r>
  <r>
    <x v="18"/>
    <x v="233"/>
    <x v="176"/>
    <n v="13235"/>
  </r>
  <r>
    <x v="0"/>
    <x v="177"/>
    <x v="176"/>
    <n v="34218"/>
  </r>
  <r>
    <x v="3"/>
    <x v="104"/>
    <x v="176"/>
    <n v="9414"/>
  </r>
  <r>
    <x v="7"/>
    <x v="115"/>
    <x v="176"/>
    <n v="32028"/>
  </r>
  <r>
    <x v="4"/>
    <x v="169"/>
    <x v="176"/>
    <n v="50102"/>
  </r>
  <r>
    <x v="4"/>
    <x v="8"/>
    <x v="176"/>
    <n v="42322"/>
  </r>
  <r>
    <x v="5"/>
    <x v="108"/>
    <x v="176"/>
    <n v="28556"/>
  </r>
  <r>
    <x v="5"/>
    <x v="218"/>
    <x v="176"/>
    <n v="58862"/>
  </r>
  <r>
    <x v="5"/>
    <x v="129"/>
    <x v="176"/>
    <n v="18952"/>
  </r>
  <r>
    <x v="5"/>
    <x v="109"/>
    <x v="176"/>
    <n v="36333"/>
  </r>
  <r>
    <x v="5"/>
    <x v="23"/>
    <x v="176"/>
    <n v="26687"/>
  </r>
  <r>
    <x v="5"/>
    <x v="19"/>
    <x v="176"/>
    <n v="52286"/>
  </r>
  <r>
    <x v="5"/>
    <x v="25"/>
    <x v="176"/>
    <n v="37795"/>
  </r>
  <r>
    <x v="0"/>
    <x v="82"/>
    <x v="177"/>
    <n v="42054"/>
  </r>
  <r>
    <x v="0"/>
    <x v="204"/>
    <x v="177"/>
    <n v="7820"/>
  </r>
  <r>
    <x v="1"/>
    <x v="124"/>
    <x v="177"/>
    <n v="10863"/>
  </r>
  <r>
    <x v="10"/>
    <x v="213"/>
    <x v="177"/>
    <n v="9197"/>
  </r>
  <r>
    <x v="10"/>
    <x v="224"/>
    <x v="177"/>
    <n v="5200"/>
  </r>
  <r>
    <x v="2"/>
    <x v="30"/>
    <x v="177"/>
    <n v="18073"/>
  </r>
  <r>
    <x v="17"/>
    <x v="66"/>
    <x v="177"/>
    <n v="28776"/>
  </r>
  <r>
    <x v="7"/>
    <x v="58"/>
    <x v="177"/>
    <n v="22389"/>
  </r>
  <r>
    <x v="5"/>
    <x v="150"/>
    <x v="177"/>
    <n v="35015"/>
  </r>
  <r>
    <x v="5"/>
    <x v="94"/>
    <x v="177"/>
    <n v="44055"/>
  </r>
  <r>
    <x v="5"/>
    <x v="7"/>
    <x v="177"/>
    <n v="47056"/>
  </r>
  <r>
    <x v="5"/>
    <x v="219"/>
    <x v="177"/>
    <n v="33664"/>
  </r>
  <r>
    <x v="5"/>
    <x v="41"/>
    <x v="177"/>
    <n v="45589"/>
  </r>
  <r>
    <x v="5"/>
    <x v="63"/>
    <x v="177"/>
    <n v="46774"/>
  </r>
  <r>
    <x v="0"/>
    <x v="205"/>
    <x v="178"/>
    <n v="31199"/>
  </r>
  <r>
    <x v="9"/>
    <x v="100"/>
    <x v="178"/>
    <n v="10723"/>
  </r>
  <r>
    <x v="10"/>
    <x v="207"/>
    <x v="178"/>
    <n v="28466"/>
  </r>
  <r>
    <x v="2"/>
    <x v="84"/>
    <x v="178"/>
    <n v="5200"/>
  </r>
  <r>
    <x v="4"/>
    <x v="22"/>
    <x v="178"/>
    <n v="33309"/>
  </r>
  <r>
    <x v="4"/>
    <x v="86"/>
    <x v="178"/>
    <n v="42480"/>
  </r>
  <r>
    <x v="4"/>
    <x v="39"/>
    <x v="178"/>
    <n v="43853"/>
  </r>
  <r>
    <x v="4"/>
    <x v="164"/>
    <x v="178"/>
    <n v="28307"/>
  </r>
  <r>
    <x v="4"/>
    <x v="160"/>
    <x v="178"/>
    <n v="34852"/>
  </r>
  <r>
    <x v="5"/>
    <x v="95"/>
    <x v="178"/>
    <n v="44482"/>
  </r>
  <r>
    <x v="5"/>
    <x v="99"/>
    <x v="178"/>
    <n v="46598"/>
  </r>
  <r>
    <x v="5"/>
    <x v="41"/>
    <x v="178"/>
    <n v="48036"/>
  </r>
  <r>
    <x v="5"/>
    <x v="63"/>
    <x v="178"/>
    <n v="41655"/>
  </r>
  <r>
    <x v="5"/>
    <x v="96"/>
    <x v="178"/>
    <n v="29472"/>
  </r>
  <r>
    <x v="2"/>
    <x v="198"/>
    <x v="179"/>
    <n v="18078"/>
  </r>
  <r>
    <x v="4"/>
    <x v="60"/>
    <x v="179"/>
    <n v="33409"/>
  </r>
  <r>
    <x v="5"/>
    <x v="128"/>
    <x v="179"/>
    <n v="40614"/>
  </r>
  <r>
    <x v="5"/>
    <x v="39"/>
    <x v="179"/>
    <n v="40552"/>
  </r>
  <r>
    <x v="5"/>
    <x v="62"/>
    <x v="179"/>
    <n v="50843"/>
  </r>
  <r>
    <x v="5"/>
    <x v="236"/>
    <x v="179"/>
    <n v="65431"/>
  </r>
  <r>
    <x v="0"/>
    <x v="136"/>
    <x v="180"/>
    <n v="31555"/>
  </r>
  <r>
    <x v="6"/>
    <x v="146"/>
    <x v="180"/>
    <n v="10527"/>
  </r>
  <r>
    <x v="6"/>
    <x v="161"/>
    <x v="180"/>
    <n v="15320"/>
  </r>
  <r>
    <x v="11"/>
    <x v="178"/>
    <x v="180"/>
    <n v="11976"/>
  </r>
  <r>
    <x v="13"/>
    <x v="85"/>
    <x v="180"/>
    <n v="22325"/>
  </r>
  <r>
    <x v="8"/>
    <x v="32"/>
    <x v="180"/>
    <n v="13670"/>
  </r>
  <r>
    <x v="8"/>
    <x v="92"/>
    <x v="180"/>
    <n v="23284"/>
  </r>
  <r>
    <x v="5"/>
    <x v="217"/>
    <x v="180"/>
    <n v="49269"/>
  </r>
  <r>
    <x v="5"/>
    <x v="9"/>
    <x v="180"/>
    <n v="52421"/>
  </r>
  <r>
    <x v="5"/>
    <x v="151"/>
    <x v="180"/>
    <n v="46023"/>
  </r>
  <r>
    <x v="5"/>
    <x v="41"/>
    <x v="180"/>
    <n v="36484"/>
  </r>
  <r>
    <x v="12"/>
    <x v="110"/>
    <x v="181"/>
    <n v="13886"/>
  </r>
  <r>
    <x v="1"/>
    <x v="211"/>
    <x v="181"/>
    <n v="11635"/>
  </r>
  <r>
    <x v="7"/>
    <x v="105"/>
    <x v="181"/>
    <n v="26381"/>
  </r>
  <r>
    <x v="4"/>
    <x v="33"/>
    <x v="181"/>
    <n v="28383"/>
  </r>
  <r>
    <x v="5"/>
    <x v="176"/>
    <x v="181"/>
    <n v="34865"/>
  </r>
  <r>
    <x v="0"/>
    <x v="194"/>
    <x v="182"/>
    <n v="28262"/>
  </r>
  <r>
    <x v="0"/>
    <x v="184"/>
    <x v="182"/>
    <n v="35142"/>
  </r>
  <r>
    <x v="2"/>
    <x v="192"/>
    <x v="182"/>
    <n v="5200"/>
  </r>
  <r>
    <x v="2"/>
    <x v="72"/>
    <x v="182"/>
    <n v="15857"/>
  </r>
  <r>
    <x v="3"/>
    <x v="20"/>
    <x v="182"/>
    <n v="18878"/>
  </r>
  <r>
    <x v="8"/>
    <x v="21"/>
    <x v="182"/>
    <n v="14913"/>
  </r>
  <r>
    <x v="7"/>
    <x v="122"/>
    <x v="182"/>
    <n v="31954"/>
  </r>
  <r>
    <x v="7"/>
    <x v="114"/>
    <x v="182"/>
    <n v="16469"/>
  </r>
  <r>
    <x v="4"/>
    <x v="142"/>
    <x v="182"/>
    <n v="41925"/>
  </r>
  <r>
    <x v="4"/>
    <x v="164"/>
    <x v="182"/>
    <n v="26657"/>
  </r>
  <r>
    <x v="4"/>
    <x v="37"/>
    <x v="182"/>
    <n v="19745"/>
  </r>
  <r>
    <x v="5"/>
    <x v="183"/>
    <x v="182"/>
    <n v="34011"/>
  </r>
  <r>
    <x v="5"/>
    <x v="236"/>
    <x v="182"/>
    <n v="32376"/>
  </r>
  <r>
    <x v="5"/>
    <x v="18"/>
    <x v="182"/>
    <n v="36753"/>
  </r>
  <r>
    <x v="5"/>
    <x v="23"/>
    <x v="182"/>
    <n v="27012"/>
  </r>
  <r>
    <x v="5"/>
    <x v="23"/>
    <x v="182"/>
    <n v="29889"/>
  </r>
  <r>
    <x v="5"/>
    <x v="41"/>
    <x v="182"/>
    <n v="51357"/>
  </r>
  <r>
    <x v="12"/>
    <x v="123"/>
    <x v="183"/>
    <n v="12460"/>
  </r>
  <r>
    <x v="0"/>
    <x v="204"/>
    <x v="183"/>
    <n v="30108"/>
  </r>
  <r>
    <x v="6"/>
    <x v="161"/>
    <x v="183"/>
    <n v="15817"/>
  </r>
  <r>
    <x v="11"/>
    <x v="178"/>
    <x v="183"/>
    <n v="12655"/>
  </r>
  <r>
    <x v="2"/>
    <x v="125"/>
    <x v="183"/>
    <n v="19463"/>
  </r>
  <r>
    <x v="8"/>
    <x v="196"/>
    <x v="183"/>
    <n v="18154"/>
  </r>
  <r>
    <x v="5"/>
    <x v="108"/>
    <x v="183"/>
    <n v="39007"/>
  </r>
  <r>
    <x v="5"/>
    <x v="63"/>
    <x v="183"/>
    <n v="33857"/>
  </r>
  <r>
    <x v="0"/>
    <x v="82"/>
    <x v="184"/>
    <n v="28329"/>
  </r>
  <r>
    <x v="6"/>
    <x v="91"/>
    <x v="184"/>
    <n v="13544"/>
  </r>
  <r>
    <x v="19"/>
    <x v="223"/>
    <x v="184"/>
    <n v="18969"/>
  </r>
  <r>
    <x v="5"/>
    <x v="9"/>
    <x v="184"/>
    <n v="52666"/>
  </r>
  <r>
    <x v="5"/>
    <x v="108"/>
    <x v="184"/>
    <n v="30553"/>
  </r>
  <r>
    <x v="5"/>
    <x v="183"/>
    <x v="184"/>
    <n v="46689"/>
  </r>
  <r>
    <x v="5"/>
    <x v="152"/>
    <x v="184"/>
    <n v="45622"/>
  </r>
  <r>
    <x v="5"/>
    <x v="144"/>
    <x v="184"/>
    <n v="42100"/>
  </r>
  <r>
    <x v="10"/>
    <x v="162"/>
    <x v="185"/>
    <n v="14438"/>
  </r>
  <r>
    <x v="2"/>
    <x v="193"/>
    <x v="185"/>
    <n v="19459"/>
  </r>
  <r>
    <x v="7"/>
    <x v="34"/>
    <x v="185"/>
    <n v="24074"/>
  </r>
  <r>
    <x v="7"/>
    <x v="232"/>
    <x v="185"/>
    <n v="15052"/>
  </r>
  <r>
    <x v="4"/>
    <x v="142"/>
    <x v="185"/>
    <n v="42592"/>
  </r>
  <r>
    <x v="4"/>
    <x v="188"/>
    <x v="185"/>
    <n v="46081"/>
  </r>
  <r>
    <x v="4"/>
    <x v="43"/>
    <x v="185"/>
    <n v="54313"/>
  </r>
  <r>
    <x v="5"/>
    <x v="9"/>
    <x v="185"/>
    <n v="63970"/>
  </r>
  <r>
    <x v="5"/>
    <x v="94"/>
    <x v="185"/>
    <n v="32632"/>
  </r>
  <r>
    <x v="5"/>
    <x v="87"/>
    <x v="185"/>
    <n v="42701"/>
  </r>
  <r>
    <x v="5"/>
    <x v="79"/>
    <x v="185"/>
    <n v="44168"/>
  </r>
  <r>
    <x v="5"/>
    <x v="88"/>
    <x v="185"/>
    <n v="36873"/>
  </r>
  <r>
    <x v="5"/>
    <x v="109"/>
    <x v="185"/>
    <n v="42894"/>
  </r>
  <r>
    <x v="5"/>
    <x v="95"/>
    <x v="185"/>
    <n v="36279"/>
  </r>
  <r>
    <x v="5"/>
    <x v="40"/>
    <x v="185"/>
    <n v="31524"/>
  </r>
  <r>
    <x v="0"/>
    <x v="49"/>
    <x v="186"/>
    <n v="42900"/>
  </r>
  <r>
    <x v="0"/>
    <x v="145"/>
    <x v="186"/>
    <n v="38066"/>
  </r>
  <r>
    <x v="0"/>
    <x v="155"/>
    <x v="186"/>
    <n v="32029"/>
  </r>
  <r>
    <x v="10"/>
    <x v="224"/>
    <x v="186"/>
    <n v="5200"/>
  </r>
  <r>
    <x v="8"/>
    <x v="92"/>
    <x v="186"/>
    <n v="11490"/>
  </r>
  <r>
    <x v="15"/>
    <x v="127"/>
    <x v="186"/>
    <n v="13867"/>
  </r>
  <r>
    <x v="4"/>
    <x v="50"/>
    <x v="186"/>
    <n v="31045"/>
  </r>
  <r>
    <x v="5"/>
    <x v="150"/>
    <x v="186"/>
    <n v="39469"/>
  </r>
  <r>
    <x v="0"/>
    <x v="236"/>
    <x v="187"/>
    <n v="42562"/>
  </r>
  <r>
    <x v="9"/>
    <x v="69"/>
    <x v="187"/>
    <n v="13223"/>
  </r>
  <r>
    <x v="6"/>
    <x v="220"/>
    <x v="187"/>
    <n v="10480"/>
  </r>
  <r>
    <x v="10"/>
    <x v="213"/>
    <x v="187"/>
    <n v="24900"/>
  </r>
  <r>
    <x v="11"/>
    <x v="46"/>
    <x v="187"/>
    <n v="26535"/>
  </r>
  <r>
    <x v="3"/>
    <x v="141"/>
    <x v="187"/>
    <n v="5278"/>
  </r>
  <r>
    <x v="7"/>
    <x v="115"/>
    <x v="187"/>
    <n v="29276"/>
  </r>
  <r>
    <x v="4"/>
    <x v="200"/>
    <x v="187"/>
    <n v="33805"/>
  </r>
  <r>
    <x v="5"/>
    <x v="89"/>
    <x v="187"/>
    <n v="45626"/>
  </r>
  <r>
    <x v="5"/>
    <x v="61"/>
    <x v="187"/>
    <n v="36561"/>
  </r>
  <r>
    <x v="5"/>
    <x v="151"/>
    <x v="187"/>
    <n v="50063"/>
  </r>
  <r>
    <x v="5"/>
    <x v="24"/>
    <x v="187"/>
    <n v="36248"/>
  </r>
  <r>
    <x v="0"/>
    <x v="218"/>
    <x v="188"/>
    <n v="33148"/>
  </r>
  <r>
    <x v="0"/>
    <x v="116"/>
    <x v="188"/>
    <n v="31715"/>
  </r>
  <r>
    <x v="6"/>
    <x v="102"/>
    <x v="188"/>
    <n v="15433"/>
  </r>
  <r>
    <x v="10"/>
    <x v="103"/>
    <x v="188"/>
    <n v="20019"/>
  </r>
  <r>
    <x v="7"/>
    <x v="163"/>
    <x v="188"/>
    <n v="23415"/>
  </r>
  <r>
    <x v="4"/>
    <x v="86"/>
    <x v="188"/>
    <n v="45789"/>
  </r>
  <r>
    <x v="4"/>
    <x v="38"/>
    <x v="188"/>
    <n v="32209"/>
  </r>
  <r>
    <x v="4"/>
    <x v="235"/>
    <x v="188"/>
    <n v="11516"/>
  </r>
  <r>
    <x v="5"/>
    <x v="39"/>
    <x v="188"/>
    <n v="27490"/>
  </r>
  <r>
    <x v="5"/>
    <x v="236"/>
    <x v="188"/>
    <n v="50689"/>
  </r>
  <r>
    <x v="5"/>
    <x v="130"/>
    <x v="188"/>
    <n v="40595"/>
  </r>
  <r>
    <x v="5"/>
    <x v="130"/>
    <x v="188"/>
    <n v="35267"/>
  </r>
  <r>
    <x v="5"/>
    <x v="151"/>
    <x v="188"/>
    <n v="43559"/>
  </r>
  <r>
    <x v="5"/>
    <x v="8"/>
    <x v="188"/>
    <n v="34626"/>
  </r>
  <r>
    <x v="2"/>
    <x v="111"/>
    <x v="189"/>
    <n v="12922"/>
  </r>
  <r>
    <x v="2"/>
    <x v="186"/>
    <x v="189"/>
    <n v="5200"/>
  </r>
  <r>
    <x v="3"/>
    <x v="214"/>
    <x v="189"/>
    <n v="18402"/>
  </r>
  <r>
    <x v="3"/>
    <x v="230"/>
    <x v="189"/>
    <n v="19361"/>
  </r>
  <r>
    <x v="4"/>
    <x v="78"/>
    <x v="189"/>
    <n v="52411"/>
  </r>
  <r>
    <x v="5"/>
    <x v="128"/>
    <x v="189"/>
    <n v="38839"/>
  </r>
  <r>
    <x v="5"/>
    <x v="95"/>
    <x v="189"/>
    <n v="54376"/>
  </r>
  <r>
    <x v="5"/>
    <x v="19"/>
    <x v="189"/>
    <n v="33578"/>
  </r>
  <r>
    <x v="5"/>
    <x v="99"/>
    <x v="189"/>
    <n v="44504"/>
  </r>
  <r>
    <x v="0"/>
    <x v="9"/>
    <x v="190"/>
    <n v="70469"/>
  </r>
  <r>
    <x v="0"/>
    <x v="221"/>
    <x v="190"/>
    <n v="50714"/>
  </r>
  <r>
    <x v="7"/>
    <x v="33"/>
    <x v="190"/>
    <n v="21470"/>
  </r>
  <r>
    <x v="4"/>
    <x v="169"/>
    <x v="190"/>
    <n v="30438"/>
  </r>
  <r>
    <x v="4"/>
    <x v="60"/>
    <x v="190"/>
    <n v="37636"/>
  </r>
  <r>
    <x v="5"/>
    <x v="150"/>
    <x v="190"/>
    <n v="34328"/>
  </r>
  <r>
    <x v="5"/>
    <x v="129"/>
    <x v="190"/>
    <n v="46206"/>
  </r>
  <r>
    <x v="5"/>
    <x v="151"/>
    <x v="190"/>
    <n v="47750"/>
  </r>
  <r>
    <x v="16"/>
    <x v="153"/>
    <x v="191"/>
    <n v="14258"/>
  </r>
  <r>
    <x v="0"/>
    <x v="0"/>
    <x v="191"/>
    <n v="40315"/>
  </r>
  <r>
    <x v="9"/>
    <x v="11"/>
    <x v="191"/>
    <n v="14570"/>
  </r>
  <r>
    <x v="1"/>
    <x v="1"/>
    <x v="191"/>
    <n v="12322"/>
  </r>
  <r>
    <x v="3"/>
    <x v="148"/>
    <x v="191"/>
    <n v="19930"/>
  </r>
  <r>
    <x v="7"/>
    <x v="29"/>
    <x v="191"/>
    <n v="14394"/>
  </r>
  <r>
    <x v="7"/>
    <x v="58"/>
    <x v="191"/>
    <n v="24003"/>
  </r>
  <r>
    <x v="4"/>
    <x v="133"/>
    <x v="191"/>
    <n v="25539"/>
  </r>
  <r>
    <x v="4"/>
    <x v="77"/>
    <x v="191"/>
    <n v="38725"/>
  </r>
  <r>
    <x v="4"/>
    <x v="37"/>
    <x v="191"/>
    <n v="24795"/>
  </r>
  <r>
    <x v="4"/>
    <x v="121"/>
    <x v="191"/>
    <n v="47967"/>
  </r>
  <r>
    <x v="4"/>
    <x v="160"/>
    <x v="191"/>
    <n v="32113"/>
  </r>
  <r>
    <x v="4"/>
    <x v="5"/>
    <x v="191"/>
    <n v="37144"/>
  </r>
  <r>
    <x v="5"/>
    <x v="217"/>
    <x v="191"/>
    <n v="42810"/>
  </r>
  <r>
    <x v="5"/>
    <x v="7"/>
    <x v="191"/>
    <n v="51642"/>
  </r>
  <r>
    <x v="5"/>
    <x v="90"/>
    <x v="191"/>
    <n v="34952"/>
  </r>
  <r>
    <x v="12"/>
    <x v="170"/>
    <x v="192"/>
    <n v="15424"/>
  </r>
  <r>
    <x v="0"/>
    <x v="26"/>
    <x v="192"/>
    <n v="25198"/>
  </r>
  <r>
    <x v="3"/>
    <x v="140"/>
    <x v="192"/>
    <n v="17301"/>
  </r>
  <r>
    <x v="3"/>
    <x v="118"/>
    <x v="192"/>
    <n v="19899"/>
  </r>
  <r>
    <x v="7"/>
    <x v="106"/>
    <x v="192"/>
    <n v="26342"/>
  </r>
  <r>
    <x v="4"/>
    <x v="52"/>
    <x v="192"/>
    <n v="47807"/>
  </r>
  <r>
    <x v="5"/>
    <x v="39"/>
    <x v="192"/>
    <n v="32744"/>
  </r>
  <r>
    <x v="5"/>
    <x v="67"/>
    <x v="192"/>
    <n v="30595"/>
  </r>
  <r>
    <x v="9"/>
    <x v="100"/>
    <x v="193"/>
    <n v="14807"/>
  </r>
  <r>
    <x v="6"/>
    <x v="56"/>
    <x v="193"/>
    <n v="15052"/>
  </r>
  <r>
    <x v="2"/>
    <x v="179"/>
    <x v="193"/>
    <n v="17316"/>
  </r>
  <r>
    <x v="5"/>
    <x v="39"/>
    <x v="193"/>
    <n v="34895"/>
  </r>
  <r>
    <x v="5"/>
    <x v="62"/>
    <x v="193"/>
    <n v="35674"/>
  </r>
  <r>
    <x v="0"/>
    <x v="154"/>
    <x v="194"/>
    <n v="34298"/>
  </r>
  <r>
    <x v="19"/>
    <x v="201"/>
    <x v="194"/>
    <n v="14432"/>
  </r>
  <r>
    <x v="10"/>
    <x v="191"/>
    <x v="194"/>
    <n v="15633"/>
  </r>
  <r>
    <x v="4"/>
    <x v="169"/>
    <x v="194"/>
    <n v="30184"/>
  </r>
  <r>
    <x v="4"/>
    <x v="107"/>
    <x v="194"/>
    <n v="32357"/>
  </r>
  <r>
    <x v="5"/>
    <x v="94"/>
    <x v="194"/>
    <n v="40121"/>
  </r>
  <r>
    <x v="5"/>
    <x v="89"/>
    <x v="194"/>
    <n v="43708"/>
  </r>
  <r>
    <x v="5"/>
    <x v="62"/>
    <x v="194"/>
    <n v="48076"/>
  </r>
  <r>
    <x v="5"/>
    <x v="130"/>
    <x v="194"/>
    <n v="41533"/>
  </r>
  <r>
    <x v="5"/>
    <x v="24"/>
    <x v="194"/>
    <n v="44615"/>
  </r>
  <r>
    <x v="5"/>
    <x v="68"/>
    <x v="194"/>
    <n v="37413"/>
  </r>
  <r>
    <x v="0"/>
    <x v="167"/>
    <x v="195"/>
    <n v="11473"/>
  </r>
  <r>
    <x v="6"/>
    <x v="173"/>
    <x v="195"/>
    <n v="5200"/>
  </r>
  <r>
    <x v="13"/>
    <x v="147"/>
    <x v="195"/>
    <n v="13898"/>
  </r>
  <r>
    <x v="4"/>
    <x v="120"/>
    <x v="195"/>
    <n v="51985"/>
  </r>
  <r>
    <x v="5"/>
    <x v="39"/>
    <x v="195"/>
    <n v="43866"/>
  </r>
  <r>
    <x v="5"/>
    <x v="67"/>
    <x v="195"/>
    <n v="32439"/>
  </r>
  <r>
    <x v="5"/>
    <x v="63"/>
    <x v="195"/>
    <n v="54657"/>
  </r>
  <r>
    <x v="0"/>
    <x v="97"/>
    <x v="196"/>
    <n v="32118"/>
  </r>
  <r>
    <x v="0"/>
    <x v="177"/>
    <x v="196"/>
    <n v="26472"/>
  </r>
  <r>
    <x v="6"/>
    <x v="159"/>
    <x v="196"/>
    <n v="13622"/>
  </r>
  <r>
    <x v="10"/>
    <x v="28"/>
    <x v="196"/>
    <n v="15583"/>
  </r>
  <r>
    <x v="7"/>
    <x v="229"/>
    <x v="196"/>
    <n v="31561"/>
  </r>
  <r>
    <x v="7"/>
    <x v="156"/>
    <x v="196"/>
    <n v="19749"/>
  </r>
  <r>
    <x v="4"/>
    <x v="74"/>
    <x v="196"/>
    <n v="46163"/>
  </r>
  <r>
    <x v="4"/>
    <x v="60"/>
    <x v="196"/>
    <n v="37499"/>
  </r>
  <r>
    <x v="4"/>
    <x v="51"/>
    <x v="196"/>
    <n v="47552"/>
  </r>
  <r>
    <x v="4"/>
    <x v="122"/>
    <x v="196"/>
    <n v="35105"/>
  </r>
  <r>
    <x v="5"/>
    <x v="217"/>
    <x v="196"/>
    <n v="41954"/>
  </r>
  <r>
    <x v="5"/>
    <x v="17"/>
    <x v="196"/>
    <n v="37217"/>
  </r>
  <r>
    <x v="5"/>
    <x v="99"/>
    <x v="196"/>
    <n v="33316"/>
  </r>
  <r>
    <x v="18"/>
    <x v="233"/>
    <x v="197"/>
    <n v="11128"/>
  </r>
  <r>
    <x v="0"/>
    <x v="171"/>
    <x v="197"/>
    <n v="22771"/>
  </r>
  <r>
    <x v="3"/>
    <x v="112"/>
    <x v="197"/>
    <n v="20956"/>
  </r>
  <r>
    <x v="17"/>
    <x v="195"/>
    <x v="197"/>
    <n v="13514"/>
  </r>
  <r>
    <x v="8"/>
    <x v="32"/>
    <x v="197"/>
    <n v="15407"/>
  </r>
  <r>
    <x v="7"/>
    <x v="172"/>
    <x v="197"/>
    <n v="30987"/>
  </r>
  <r>
    <x v="5"/>
    <x v="23"/>
    <x v="197"/>
    <n v="37875"/>
  </r>
  <r>
    <x v="0"/>
    <x v="190"/>
    <x v="198"/>
    <n v="39701"/>
  </r>
  <r>
    <x v="0"/>
    <x v="205"/>
    <x v="198"/>
    <n v="30431"/>
  </r>
  <r>
    <x v="10"/>
    <x v="138"/>
    <x v="198"/>
    <n v="14146"/>
  </r>
  <r>
    <x v="14"/>
    <x v="228"/>
    <x v="198"/>
    <n v="5200"/>
  </r>
  <r>
    <x v="7"/>
    <x v="35"/>
    <x v="198"/>
    <n v="18808"/>
  </r>
  <r>
    <x v="7"/>
    <x v="13"/>
    <x v="198"/>
    <n v="7593"/>
  </r>
  <r>
    <x v="4"/>
    <x v="128"/>
    <x v="198"/>
    <n v="36654"/>
  </r>
  <r>
    <x v="4"/>
    <x v="107"/>
    <x v="198"/>
    <n v="27963"/>
  </r>
  <r>
    <x v="5"/>
    <x v="6"/>
    <x v="198"/>
    <n v="54398"/>
  </r>
  <r>
    <x v="5"/>
    <x v="219"/>
    <x v="198"/>
    <n v="32236"/>
  </r>
  <r>
    <x v="5"/>
    <x v="144"/>
    <x v="198"/>
    <n v="36013"/>
  </r>
  <r>
    <x v="6"/>
    <x v="137"/>
    <x v="199"/>
    <n v="14828"/>
  </r>
  <r>
    <x v="6"/>
    <x v="10"/>
    <x v="199"/>
    <n v="15338"/>
  </r>
  <r>
    <x v="8"/>
    <x v="168"/>
    <x v="199"/>
    <n v="12522"/>
  </r>
  <r>
    <x v="7"/>
    <x v="14"/>
    <x v="199"/>
    <n v="37546"/>
  </r>
  <r>
    <x v="7"/>
    <x v="36"/>
    <x v="199"/>
    <n v="23730"/>
  </r>
  <r>
    <x v="4"/>
    <x v="22"/>
    <x v="199"/>
    <n v="30163"/>
  </r>
  <r>
    <x v="4"/>
    <x v="59"/>
    <x v="199"/>
    <n v="28598"/>
  </r>
  <r>
    <x v="4"/>
    <x v="188"/>
    <x v="199"/>
    <n v="43859"/>
  </r>
  <r>
    <x v="4"/>
    <x v="126"/>
    <x v="199"/>
    <n v="44518"/>
  </r>
  <r>
    <x v="5"/>
    <x v="150"/>
    <x v="199"/>
    <n v="38470"/>
  </r>
  <r>
    <x v="5"/>
    <x v="218"/>
    <x v="199"/>
    <n v="49319"/>
  </r>
  <r>
    <x v="5"/>
    <x v="152"/>
    <x v="199"/>
    <n v="41808"/>
  </r>
  <r>
    <x v="5"/>
    <x v="25"/>
    <x v="199"/>
    <n v="42110"/>
  </r>
  <r>
    <x v="5"/>
    <x v="63"/>
    <x v="199"/>
    <n v="44246"/>
  </r>
  <r>
    <x v="0"/>
    <x v="136"/>
    <x v="200"/>
    <n v="25639"/>
  </r>
  <r>
    <x v="0"/>
    <x v="210"/>
    <x v="200"/>
    <n v="33474"/>
  </r>
  <r>
    <x v="9"/>
    <x v="212"/>
    <x v="200"/>
    <n v="13634"/>
  </r>
  <r>
    <x v="6"/>
    <x v="206"/>
    <x v="200"/>
    <n v="10433"/>
  </r>
  <r>
    <x v="6"/>
    <x v="146"/>
    <x v="200"/>
    <n v="13044"/>
  </r>
  <r>
    <x v="1"/>
    <x v="131"/>
    <x v="200"/>
    <n v="14149"/>
  </r>
  <r>
    <x v="2"/>
    <x v="65"/>
    <x v="200"/>
    <n v="20537"/>
  </r>
  <r>
    <x v="13"/>
    <x v="208"/>
    <x v="200"/>
    <n v="12029"/>
  </r>
  <r>
    <x v="3"/>
    <x v="198"/>
    <x v="200"/>
    <n v="21153"/>
  </r>
  <r>
    <x v="17"/>
    <x v="209"/>
    <x v="200"/>
    <n v="9033"/>
  </r>
  <r>
    <x v="7"/>
    <x v="199"/>
    <x v="200"/>
    <n v="34820"/>
  </r>
  <r>
    <x v="4"/>
    <x v="50"/>
    <x v="200"/>
    <n v="33390"/>
  </r>
  <r>
    <x v="4"/>
    <x v="175"/>
    <x v="200"/>
    <n v="44985"/>
  </r>
  <r>
    <x v="4"/>
    <x v="16"/>
    <x v="200"/>
    <n v="35367"/>
  </r>
  <r>
    <x v="5"/>
    <x v="89"/>
    <x v="200"/>
    <n v="52545"/>
  </r>
  <r>
    <x v="5"/>
    <x v="17"/>
    <x v="200"/>
    <n v="35446"/>
  </r>
  <r>
    <x v="5"/>
    <x v="95"/>
    <x v="200"/>
    <n v="32718"/>
  </r>
  <r>
    <x v="0"/>
    <x v="203"/>
    <x v="201"/>
    <n v="21317"/>
  </r>
  <r>
    <x v="11"/>
    <x v="45"/>
    <x v="201"/>
    <n v="22309"/>
  </r>
  <r>
    <x v="11"/>
    <x v="139"/>
    <x v="201"/>
    <n v="14996"/>
  </r>
  <r>
    <x v="13"/>
    <x v="57"/>
    <x v="201"/>
    <n v="18752"/>
  </r>
  <r>
    <x v="7"/>
    <x v="38"/>
    <x v="201"/>
    <n v="26704"/>
  </r>
  <r>
    <x v="4"/>
    <x v="22"/>
    <x v="201"/>
    <n v="36329"/>
  </r>
  <r>
    <x v="4"/>
    <x v="216"/>
    <x v="201"/>
    <n v="43467"/>
  </r>
  <r>
    <x v="4"/>
    <x v="4"/>
    <x v="201"/>
    <n v="16261"/>
  </r>
  <r>
    <x v="5"/>
    <x v="128"/>
    <x v="201"/>
    <n v="39119"/>
  </r>
  <r>
    <x v="5"/>
    <x v="9"/>
    <x v="201"/>
    <n v="47056"/>
  </r>
  <r>
    <x v="5"/>
    <x v="62"/>
    <x v="201"/>
    <n v="56954"/>
  </r>
  <r>
    <x v="12"/>
    <x v="54"/>
    <x v="202"/>
    <n v="13917"/>
  </r>
  <r>
    <x v="0"/>
    <x v="42"/>
    <x v="202"/>
    <n v="26504"/>
  </r>
  <r>
    <x v="9"/>
    <x v="70"/>
    <x v="202"/>
    <n v="25439"/>
  </r>
  <r>
    <x v="13"/>
    <x v="85"/>
    <x v="202"/>
    <n v="23986"/>
  </r>
  <r>
    <x v="3"/>
    <x v="104"/>
    <x v="202"/>
    <n v="33987"/>
  </r>
  <r>
    <x v="4"/>
    <x v="5"/>
    <x v="202"/>
    <n v="48027"/>
  </r>
  <r>
    <x v="5"/>
    <x v="6"/>
    <x v="202"/>
    <n v="35638"/>
  </r>
  <r>
    <x v="5"/>
    <x v="109"/>
    <x v="202"/>
    <n v="40216"/>
  </r>
  <r>
    <x v="5"/>
    <x v="19"/>
    <x v="202"/>
    <n v="46329"/>
  </r>
  <r>
    <x v="5"/>
    <x v="144"/>
    <x v="202"/>
    <n v="35246"/>
  </r>
  <r>
    <x v="5"/>
    <x v="24"/>
    <x v="202"/>
    <n v="53249"/>
  </r>
  <r>
    <x v="5"/>
    <x v="24"/>
    <x v="202"/>
    <n v="45564"/>
  </r>
  <r>
    <x v="5"/>
    <x v="80"/>
    <x v="202"/>
    <n v="54169"/>
  </r>
  <r>
    <x v="1"/>
    <x v="71"/>
    <x v="203"/>
    <n v="12034"/>
  </r>
  <r>
    <x v="3"/>
    <x v="113"/>
    <x v="203"/>
    <n v="18657"/>
  </r>
  <r>
    <x v="4"/>
    <x v="143"/>
    <x v="203"/>
    <n v="57473"/>
  </r>
  <r>
    <x v="4"/>
    <x v="16"/>
    <x v="203"/>
    <n v="33775"/>
  </r>
  <r>
    <x v="5"/>
    <x v="87"/>
    <x v="203"/>
    <n v="41644"/>
  </r>
  <r>
    <x v="5"/>
    <x v="88"/>
    <x v="203"/>
    <n v="39796"/>
  </r>
  <r>
    <x v="5"/>
    <x v="39"/>
    <x v="203"/>
    <n v="41464"/>
  </r>
  <r>
    <x v="5"/>
    <x v="236"/>
    <x v="203"/>
    <n v="40185"/>
  </r>
  <r>
    <x v="5"/>
    <x v="18"/>
    <x v="203"/>
    <n v="31220"/>
  </r>
  <r>
    <x v="10"/>
    <x v="234"/>
    <x v="204"/>
    <n v="15268"/>
  </r>
  <r>
    <x v="10"/>
    <x v="207"/>
    <x v="204"/>
    <n v="7789"/>
  </r>
  <r>
    <x v="2"/>
    <x v="174"/>
    <x v="204"/>
    <n v="39531"/>
  </r>
  <r>
    <x v="3"/>
    <x v="76"/>
    <x v="204"/>
    <n v="7447"/>
  </r>
  <r>
    <x v="17"/>
    <x v="187"/>
    <x v="204"/>
    <n v="11957"/>
  </r>
  <r>
    <x v="4"/>
    <x v="182"/>
    <x v="204"/>
    <n v="46788"/>
  </r>
  <r>
    <x v="5"/>
    <x v="53"/>
    <x v="204"/>
    <n v="38211"/>
  </r>
  <r>
    <x v="5"/>
    <x v="7"/>
    <x v="204"/>
    <n v="34280"/>
  </r>
  <r>
    <x v="5"/>
    <x v="17"/>
    <x v="204"/>
    <n v="36121"/>
  </r>
  <r>
    <x v="5"/>
    <x v="8"/>
    <x v="204"/>
    <n v="45130"/>
  </r>
  <r>
    <x v="5"/>
    <x v="152"/>
    <x v="204"/>
    <n v="34863"/>
  </r>
  <r>
    <x v="5"/>
    <x v="144"/>
    <x v="204"/>
    <n v="37891"/>
  </r>
  <r>
    <x v="5"/>
    <x v="24"/>
    <x v="204"/>
    <n v="49365"/>
  </r>
  <r>
    <x v="5"/>
    <x v="68"/>
    <x v="204"/>
    <n v="29699"/>
  </r>
  <r>
    <x v="5"/>
    <x v="63"/>
    <x v="204"/>
    <n v="35248"/>
  </r>
  <r>
    <x v="0"/>
    <x v="53"/>
    <x v="205"/>
    <n v="34705"/>
  </r>
  <r>
    <x v="0"/>
    <x v="88"/>
    <x v="205"/>
    <n v="49979"/>
  </r>
  <r>
    <x v="0"/>
    <x v="98"/>
    <x v="205"/>
    <n v="27634"/>
  </r>
  <r>
    <x v="6"/>
    <x v="222"/>
    <x v="205"/>
    <n v="16768"/>
  </r>
  <r>
    <x v="11"/>
    <x v="132"/>
    <x v="205"/>
    <n v="9785"/>
  </r>
  <r>
    <x v="3"/>
    <x v="12"/>
    <x v="205"/>
    <n v="27265"/>
  </r>
  <r>
    <x v="8"/>
    <x v="73"/>
    <x v="205"/>
    <n v="14458"/>
  </r>
  <r>
    <x v="7"/>
    <x v="93"/>
    <x v="205"/>
    <n v="26432"/>
  </r>
  <r>
    <x v="5"/>
    <x v="18"/>
    <x v="205"/>
    <n v="43242"/>
  </r>
  <r>
    <x v="5"/>
    <x v="63"/>
    <x v="205"/>
    <n v="39902"/>
  </r>
  <r>
    <x v="12"/>
    <x v="158"/>
    <x v="206"/>
    <n v="14539"/>
  </r>
  <r>
    <x v="12"/>
    <x v="202"/>
    <x v="206"/>
    <n v="22367"/>
  </r>
  <r>
    <x v="0"/>
    <x v="9"/>
    <x v="206"/>
    <n v="45877"/>
  </r>
  <r>
    <x v="0"/>
    <x v="24"/>
    <x v="206"/>
    <n v="53156"/>
  </r>
  <r>
    <x v="9"/>
    <x v="44"/>
    <x v="206"/>
    <n v="14756"/>
  </r>
  <r>
    <x v="11"/>
    <x v="185"/>
    <x v="206"/>
    <n v="13649"/>
  </r>
  <r>
    <x v="2"/>
    <x v="2"/>
    <x v="206"/>
    <n v="18275"/>
  </r>
  <r>
    <x v="8"/>
    <x v="48"/>
    <x v="206"/>
    <n v="8340"/>
  </r>
  <r>
    <x v="7"/>
    <x v="197"/>
    <x v="206"/>
    <n v="24628"/>
  </r>
  <r>
    <x v="7"/>
    <x v="181"/>
    <x v="206"/>
    <n v="30843"/>
  </r>
  <r>
    <x v="7"/>
    <x v="15"/>
    <x v="206"/>
    <n v="23594"/>
  </r>
  <r>
    <x v="4"/>
    <x v="200"/>
    <x v="206"/>
    <n v="44589"/>
  </r>
  <r>
    <x v="4"/>
    <x v="160"/>
    <x v="206"/>
    <n v="30950"/>
  </r>
  <r>
    <x v="5"/>
    <x v="150"/>
    <x v="206"/>
    <n v="38657"/>
  </r>
  <r>
    <x v="5"/>
    <x v="62"/>
    <x v="206"/>
    <n v="38607"/>
  </r>
  <r>
    <x v="5"/>
    <x v="130"/>
    <x v="206"/>
    <n v="38644"/>
  </r>
  <r>
    <x v="5"/>
    <x v="99"/>
    <x v="206"/>
    <n v="46904"/>
  </r>
  <r>
    <x v="5"/>
    <x v="80"/>
    <x v="206"/>
    <n v="36699"/>
  </r>
  <r>
    <x v="12"/>
    <x v="81"/>
    <x v="207"/>
    <n v="10047"/>
  </r>
  <r>
    <x v="0"/>
    <x v="189"/>
    <x v="207"/>
    <n v="31518"/>
  </r>
  <r>
    <x v="6"/>
    <x v="101"/>
    <x v="207"/>
    <n v="15695"/>
  </r>
  <r>
    <x v="2"/>
    <x v="30"/>
    <x v="207"/>
    <n v="18123"/>
  </r>
  <r>
    <x v="7"/>
    <x v="149"/>
    <x v="207"/>
    <n v="29691"/>
  </r>
  <r>
    <x v="4"/>
    <x v="164"/>
    <x v="207"/>
    <n v="29833"/>
  </r>
  <r>
    <x v="5"/>
    <x v="108"/>
    <x v="207"/>
    <n v="35693"/>
  </r>
  <r>
    <x v="5"/>
    <x v="6"/>
    <x v="207"/>
    <n v="40559"/>
  </r>
  <r>
    <x v="5"/>
    <x v="79"/>
    <x v="207"/>
    <n v="43174"/>
  </r>
  <r>
    <x v="5"/>
    <x v="90"/>
    <x v="207"/>
    <n v="47672"/>
  </r>
  <r>
    <x v="5"/>
    <x v="41"/>
    <x v="207"/>
    <n v="45207"/>
  </r>
  <r>
    <x v="5"/>
    <x v="25"/>
    <x v="207"/>
    <n v="53095"/>
  </r>
  <r>
    <x v="0"/>
    <x v="134"/>
    <x v="208"/>
    <n v="29166"/>
  </r>
  <r>
    <x v="6"/>
    <x v="31"/>
    <x v="208"/>
    <n v="23995"/>
  </r>
  <r>
    <x v="6"/>
    <x v="227"/>
    <x v="208"/>
    <n v="13477"/>
  </r>
  <r>
    <x v="3"/>
    <x v="119"/>
    <x v="208"/>
    <n v="17437"/>
  </r>
  <r>
    <x v="4"/>
    <x v="86"/>
    <x v="208"/>
    <n v="35766"/>
  </r>
  <r>
    <x v="4"/>
    <x v="109"/>
    <x v="208"/>
    <n v="40255"/>
  </r>
  <r>
    <x v="5"/>
    <x v="53"/>
    <x v="208"/>
    <n v="35440"/>
  </r>
  <r>
    <x v="5"/>
    <x v="165"/>
    <x v="208"/>
    <n v="31641"/>
  </r>
  <r>
    <x v="5"/>
    <x v="219"/>
    <x v="208"/>
    <n v="26987"/>
  </r>
  <r>
    <x v="5"/>
    <x v="19"/>
    <x v="208"/>
    <n v="34433"/>
  </r>
  <r>
    <x v="5"/>
    <x v="25"/>
    <x v="208"/>
    <n v="50032"/>
  </r>
  <r>
    <x v="5"/>
    <x v="80"/>
    <x v="208"/>
    <n v="50043"/>
  </r>
  <r>
    <x v="12"/>
    <x v="166"/>
    <x v="209"/>
    <n v="14689"/>
  </r>
  <r>
    <x v="9"/>
    <x v="27"/>
    <x v="209"/>
    <n v="13307"/>
  </r>
  <r>
    <x v="10"/>
    <x v="83"/>
    <x v="209"/>
    <n v="16763"/>
  </r>
  <r>
    <x v="2"/>
    <x v="84"/>
    <x v="209"/>
    <n v="40058"/>
  </r>
  <r>
    <x v="2"/>
    <x v="180"/>
    <x v="209"/>
    <n v="16349"/>
  </r>
  <r>
    <x v="7"/>
    <x v="231"/>
    <x v="209"/>
    <n v="24201"/>
  </r>
  <r>
    <x v="5"/>
    <x v="7"/>
    <x v="209"/>
    <n v="50326"/>
  </r>
  <r>
    <x v="5"/>
    <x v="40"/>
    <x v="209"/>
    <n v="44231"/>
  </r>
  <r>
    <x v="5"/>
    <x v="63"/>
    <x v="209"/>
    <n v="48858"/>
  </r>
  <r>
    <x v="0"/>
    <x v="226"/>
    <x v="210"/>
    <n v="30446"/>
  </r>
  <r>
    <x v="0"/>
    <x v="225"/>
    <x v="210"/>
    <n v="25571"/>
  </r>
  <r>
    <x v="0"/>
    <x v="204"/>
    <x v="210"/>
    <n v="47206"/>
  </r>
  <r>
    <x v="1"/>
    <x v="124"/>
    <x v="210"/>
    <n v="17754"/>
  </r>
  <r>
    <x v="3"/>
    <x v="47"/>
    <x v="210"/>
    <n v="15134"/>
  </r>
  <r>
    <x v="8"/>
    <x v="75"/>
    <x v="210"/>
    <n v="5747"/>
  </r>
  <r>
    <x v="7"/>
    <x v="215"/>
    <x v="210"/>
    <n v="7305"/>
  </r>
  <r>
    <x v="4"/>
    <x v="157"/>
    <x v="210"/>
    <n v="41668"/>
  </r>
  <r>
    <x v="4"/>
    <x v="117"/>
    <x v="210"/>
    <n v="42342"/>
  </r>
  <r>
    <x v="5"/>
    <x v="62"/>
    <x v="210"/>
    <n v="57455"/>
  </r>
  <r>
    <x v="5"/>
    <x v="95"/>
    <x v="210"/>
    <n v="51786"/>
  </r>
  <r>
    <x v="5"/>
    <x v="152"/>
    <x v="210"/>
    <n v="48375"/>
  </r>
  <r>
    <x v="5"/>
    <x v="96"/>
    <x v="210"/>
    <n v="38117"/>
  </r>
  <r>
    <x v="12"/>
    <x v="64"/>
    <x v="211"/>
    <n v="7971"/>
  </r>
  <r>
    <x v="0"/>
    <x v="55"/>
    <x v="211"/>
    <n v="34009"/>
  </r>
  <r>
    <x v="0"/>
    <x v="135"/>
    <x v="211"/>
    <n v="25008"/>
  </r>
  <r>
    <x v="2"/>
    <x v="3"/>
    <x v="211"/>
    <n v="16340"/>
  </r>
  <r>
    <x v="14"/>
    <x v="66"/>
    <x v="211"/>
    <n v="5200"/>
  </r>
  <r>
    <x v="4"/>
    <x v="133"/>
    <x v="211"/>
    <n v="23320"/>
  </r>
  <r>
    <x v="5"/>
    <x v="150"/>
    <x v="211"/>
    <n v="37114"/>
  </r>
  <r>
    <x v="5"/>
    <x v="165"/>
    <x v="211"/>
    <n v="37589"/>
  </r>
  <r>
    <x v="5"/>
    <x v="218"/>
    <x v="211"/>
    <n v="37148"/>
  </r>
  <r>
    <x v="5"/>
    <x v="151"/>
    <x v="211"/>
    <n v="47344"/>
  </r>
  <r>
    <x v="5"/>
    <x v="8"/>
    <x v="211"/>
    <n v="32395"/>
  </r>
  <r>
    <x v="5"/>
    <x v="99"/>
    <x v="211"/>
    <n v="44119"/>
  </r>
  <r>
    <x v="5"/>
    <x v="96"/>
    <x v="211"/>
    <n v="53460"/>
  </r>
  <r>
    <x v="0"/>
    <x v="177"/>
    <x v="212"/>
    <n v="24319"/>
  </r>
  <r>
    <x v="17"/>
    <x v="187"/>
    <x v="212"/>
    <n v="12649"/>
  </r>
  <r>
    <x v="8"/>
    <x v="46"/>
    <x v="212"/>
    <n v="5200"/>
  </r>
  <r>
    <x v="4"/>
    <x v="78"/>
    <x v="212"/>
    <n v="42155"/>
  </r>
  <r>
    <x v="5"/>
    <x v="53"/>
    <x v="212"/>
    <n v="37650"/>
  </r>
  <r>
    <x v="5"/>
    <x v="176"/>
    <x v="212"/>
    <n v="37929"/>
  </r>
  <r>
    <x v="5"/>
    <x v="108"/>
    <x v="212"/>
    <n v="25589"/>
  </r>
  <r>
    <x v="5"/>
    <x v="7"/>
    <x v="212"/>
    <n v="39790"/>
  </r>
  <r>
    <x v="5"/>
    <x v="88"/>
    <x v="212"/>
    <n v="28328"/>
  </r>
  <r>
    <x v="5"/>
    <x v="18"/>
    <x v="212"/>
    <n v="50686"/>
  </r>
  <r>
    <x v="5"/>
    <x v="18"/>
    <x v="212"/>
    <n v="38377"/>
  </r>
  <r>
    <x v="5"/>
    <x v="151"/>
    <x v="212"/>
    <n v="50542"/>
  </r>
  <r>
    <x v="16"/>
    <x v="153"/>
    <x v="213"/>
    <n v="13661"/>
  </r>
  <r>
    <x v="0"/>
    <x v="189"/>
    <x v="213"/>
    <n v="24442"/>
  </r>
  <r>
    <x v="1"/>
    <x v="131"/>
    <x v="213"/>
    <n v="13810"/>
  </r>
  <r>
    <x v="10"/>
    <x v="138"/>
    <x v="213"/>
    <n v="14197"/>
  </r>
  <r>
    <x v="2"/>
    <x v="192"/>
    <x v="213"/>
    <n v="13696"/>
  </r>
  <r>
    <x v="3"/>
    <x v="31"/>
    <x v="213"/>
    <n v="16483"/>
  </r>
  <r>
    <x v="7"/>
    <x v="34"/>
    <x v="213"/>
    <n v="24104"/>
  </r>
  <r>
    <x v="7"/>
    <x v="231"/>
    <x v="213"/>
    <n v="24211"/>
  </r>
  <r>
    <x v="7"/>
    <x v="163"/>
    <x v="213"/>
    <n v="22528"/>
  </r>
  <r>
    <x v="4"/>
    <x v="50"/>
    <x v="213"/>
    <n v="15004"/>
  </r>
  <r>
    <x v="4"/>
    <x v="133"/>
    <x v="213"/>
    <n v="21949"/>
  </r>
  <r>
    <x v="4"/>
    <x v="164"/>
    <x v="213"/>
    <n v="25139"/>
  </r>
  <r>
    <x v="5"/>
    <x v="236"/>
    <x v="213"/>
    <n v="41806"/>
  </r>
  <r>
    <x v="5"/>
    <x v="130"/>
    <x v="213"/>
    <n v="35539"/>
  </r>
  <r>
    <x v="0"/>
    <x v="204"/>
    <x v="214"/>
    <n v="28452"/>
  </r>
  <r>
    <x v="3"/>
    <x v="118"/>
    <x v="214"/>
    <n v="20563"/>
  </r>
  <r>
    <x v="4"/>
    <x v="41"/>
    <x v="214"/>
    <n v="31855"/>
  </r>
  <r>
    <x v="5"/>
    <x v="109"/>
    <x v="214"/>
    <n v="38903"/>
  </r>
  <r>
    <x v="5"/>
    <x v="19"/>
    <x v="214"/>
    <n v="39621"/>
  </r>
  <r>
    <x v="5"/>
    <x v="41"/>
    <x v="214"/>
    <n v="34821"/>
  </r>
  <r>
    <x v="5"/>
    <x v="63"/>
    <x v="214"/>
    <n v="50999"/>
  </r>
  <r>
    <x v="0"/>
    <x v="0"/>
    <x v="215"/>
    <n v="41813"/>
  </r>
  <r>
    <x v="6"/>
    <x v="206"/>
    <x v="215"/>
    <n v="10274"/>
  </r>
  <r>
    <x v="1"/>
    <x v="11"/>
    <x v="215"/>
    <n v="14968"/>
  </r>
  <r>
    <x v="3"/>
    <x v="194"/>
    <x v="215"/>
    <n v="49051"/>
  </r>
  <r>
    <x v="4"/>
    <x v="200"/>
    <x v="215"/>
    <n v="33000"/>
  </r>
  <r>
    <x v="4"/>
    <x v="37"/>
    <x v="215"/>
    <n v="21324"/>
  </r>
  <r>
    <x v="5"/>
    <x v="183"/>
    <x v="215"/>
    <n v="36818"/>
  </r>
  <r>
    <x v="5"/>
    <x v="62"/>
    <x v="215"/>
    <n v="42921"/>
  </r>
  <r>
    <x v="5"/>
    <x v="219"/>
    <x v="215"/>
    <n v="22526"/>
  </r>
  <r>
    <x v="5"/>
    <x v="80"/>
    <x v="215"/>
    <n v="46489"/>
  </r>
  <r>
    <x v="12"/>
    <x v="123"/>
    <x v="216"/>
    <n v="5200"/>
  </r>
  <r>
    <x v="9"/>
    <x v="100"/>
    <x v="216"/>
    <n v="13872"/>
  </r>
  <r>
    <x v="2"/>
    <x v="186"/>
    <x v="216"/>
    <n v="30937"/>
  </r>
  <r>
    <x v="3"/>
    <x v="76"/>
    <x v="216"/>
    <n v="41302"/>
  </r>
  <r>
    <x v="5"/>
    <x v="165"/>
    <x v="216"/>
    <n v="46503"/>
  </r>
  <r>
    <x v="5"/>
    <x v="89"/>
    <x v="216"/>
    <n v="43329"/>
  </r>
  <r>
    <x v="5"/>
    <x v="109"/>
    <x v="216"/>
    <n v="37883"/>
  </r>
  <r>
    <x v="5"/>
    <x v="152"/>
    <x v="216"/>
    <n v="31716"/>
  </r>
  <r>
    <x v="0"/>
    <x v="136"/>
    <x v="217"/>
    <n v="19902"/>
  </r>
  <r>
    <x v="0"/>
    <x v="116"/>
    <x v="217"/>
    <n v="32097"/>
  </r>
  <r>
    <x v="10"/>
    <x v="191"/>
    <x v="217"/>
    <n v="14963"/>
  </r>
  <r>
    <x v="11"/>
    <x v="124"/>
    <x v="217"/>
    <n v="14871"/>
  </r>
  <r>
    <x v="3"/>
    <x v="125"/>
    <x v="217"/>
    <n v="18445"/>
  </r>
  <r>
    <x v="4"/>
    <x v="16"/>
    <x v="217"/>
    <n v="35966"/>
  </r>
  <r>
    <x v="5"/>
    <x v="53"/>
    <x v="217"/>
    <n v="27394"/>
  </r>
  <r>
    <x v="5"/>
    <x v="9"/>
    <x v="217"/>
    <n v="57931"/>
  </r>
  <r>
    <x v="5"/>
    <x v="79"/>
    <x v="217"/>
    <n v="48980"/>
  </r>
  <r>
    <x v="18"/>
    <x v="233"/>
    <x v="218"/>
    <n v="13310"/>
  </r>
  <r>
    <x v="0"/>
    <x v="49"/>
    <x v="218"/>
    <n v="39793"/>
  </r>
  <r>
    <x v="0"/>
    <x v="18"/>
    <x v="218"/>
    <n v="34885"/>
  </r>
  <r>
    <x v="2"/>
    <x v="180"/>
    <x v="218"/>
    <n v="16126"/>
  </r>
  <r>
    <x v="3"/>
    <x v="104"/>
    <x v="218"/>
    <n v="32548"/>
  </r>
  <r>
    <x v="3"/>
    <x v="112"/>
    <x v="218"/>
    <n v="21872"/>
  </r>
  <r>
    <x v="7"/>
    <x v="33"/>
    <x v="218"/>
    <n v="22092"/>
  </r>
  <r>
    <x v="7"/>
    <x v="172"/>
    <x v="218"/>
    <n v="22873"/>
  </r>
  <r>
    <x v="4"/>
    <x v="107"/>
    <x v="218"/>
    <n v="34047"/>
  </r>
  <r>
    <x v="5"/>
    <x v="217"/>
    <x v="218"/>
    <n v="36517"/>
  </r>
  <r>
    <x v="5"/>
    <x v="17"/>
    <x v="218"/>
    <n v="51372"/>
  </r>
  <r>
    <x v="5"/>
    <x v="151"/>
    <x v="218"/>
    <n v="44366"/>
  </r>
  <r>
    <x v="5"/>
    <x v="99"/>
    <x v="218"/>
    <n v="41346"/>
  </r>
  <r>
    <x v="5"/>
    <x v="24"/>
    <x v="218"/>
    <n v="47173"/>
  </r>
  <r>
    <x v="5"/>
    <x v="41"/>
    <x v="218"/>
    <n v="43577"/>
  </r>
  <r>
    <x v="12"/>
    <x v="166"/>
    <x v="219"/>
    <n v="12455"/>
  </r>
  <r>
    <x v="12"/>
    <x v="110"/>
    <x v="219"/>
    <n v="14370"/>
  </r>
  <r>
    <x v="0"/>
    <x v="145"/>
    <x v="219"/>
    <n v="36966"/>
  </r>
  <r>
    <x v="2"/>
    <x v="65"/>
    <x v="219"/>
    <n v="22107"/>
  </r>
  <r>
    <x v="3"/>
    <x v="230"/>
    <x v="219"/>
    <n v="18910"/>
  </r>
  <r>
    <x v="7"/>
    <x v="58"/>
    <x v="219"/>
    <n v="22534"/>
  </r>
  <r>
    <x v="7"/>
    <x v="232"/>
    <x v="219"/>
    <n v="7647"/>
  </r>
  <r>
    <x v="4"/>
    <x v="200"/>
    <x v="219"/>
    <n v="41811"/>
  </r>
  <r>
    <x v="5"/>
    <x v="176"/>
    <x v="219"/>
    <n v="46331"/>
  </r>
  <r>
    <x v="5"/>
    <x v="176"/>
    <x v="219"/>
    <n v="49365"/>
  </r>
  <r>
    <x v="5"/>
    <x v="218"/>
    <x v="219"/>
    <n v="15935"/>
  </r>
  <r>
    <x v="5"/>
    <x v="39"/>
    <x v="219"/>
    <n v="43141"/>
  </r>
  <r>
    <x v="5"/>
    <x v="89"/>
    <x v="219"/>
    <n v="54268"/>
  </r>
  <r>
    <x v="5"/>
    <x v="61"/>
    <x v="219"/>
    <n v="42032"/>
  </r>
  <r>
    <x v="5"/>
    <x v="67"/>
    <x v="219"/>
    <n v="36773"/>
  </r>
  <r>
    <x v="10"/>
    <x v="161"/>
    <x v="220"/>
    <n v="15231"/>
  </r>
  <r>
    <x v="8"/>
    <x v="32"/>
    <x v="220"/>
    <n v="12301"/>
  </r>
  <r>
    <x v="4"/>
    <x v="22"/>
    <x v="220"/>
    <n v="35493"/>
  </r>
  <r>
    <x v="4"/>
    <x v="182"/>
    <x v="220"/>
    <n v="36753"/>
  </r>
  <r>
    <x v="5"/>
    <x v="176"/>
    <x v="220"/>
    <n v="40841"/>
  </r>
  <r>
    <x v="5"/>
    <x v="236"/>
    <x v="220"/>
    <n v="50777"/>
  </r>
  <r>
    <x v="5"/>
    <x v="151"/>
    <x v="220"/>
    <n v="47669"/>
  </r>
  <r>
    <x v="5"/>
    <x v="152"/>
    <x v="220"/>
    <n v="42006"/>
  </r>
  <r>
    <x v="0"/>
    <x v="97"/>
    <x v="221"/>
    <n v="31140"/>
  </r>
  <r>
    <x v="0"/>
    <x v="98"/>
    <x v="221"/>
    <n v="28025"/>
  </r>
  <r>
    <x v="6"/>
    <x v="56"/>
    <x v="221"/>
    <n v="14873"/>
  </r>
  <r>
    <x v="7"/>
    <x v="33"/>
    <x v="221"/>
    <n v="22485"/>
  </r>
  <r>
    <x v="4"/>
    <x v="160"/>
    <x v="221"/>
    <n v="32886"/>
  </r>
  <r>
    <x v="4"/>
    <x v="160"/>
    <x v="221"/>
    <n v="30039"/>
  </r>
  <r>
    <x v="5"/>
    <x v="23"/>
    <x v="221"/>
    <n v="36232"/>
  </r>
  <r>
    <x v="5"/>
    <x v="130"/>
    <x v="221"/>
    <n v="41768"/>
  </r>
  <r>
    <x v="5"/>
    <x v="8"/>
    <x v="221"/>
    <n v="38991"/>
  </r>
  <r>
    <x v="5"/>
    <x v="99"/>
    <x v="221"/>
    <n v="30135"/>
  </r>
  <r>
    <x v="0"/>
    <x v="154"/>
    <x v="222"/>
    <n v="34099"/>
  </r>
  <r>
    <x v="2"/>
    <x v="2"/>
    <x v="222"/>
    <n v="17094"/>
  </r>
  <r>
    <x v="13"/>
    <x v="208"/>
    <x v="222"/>
    <n v="12552"/>
  </r>
  <r>
    <x v="7"/>
    <x v="106"/>
    <x v="222"/>
    <n v="25557"/>
  </r>
  <r>
    <x v="4"/>
    <x v="126"/>
    <x v="222"/>
    <n v="39343"/>
  </r>
  <r>
    <x v="5"/>
    <x v="6"/>
    <x v="222"/>
    <n v="35894"/>
  </r>
  <r>
    <x v="5"/>
    <x v="88"/>
    <x v="222"/>
    <n v="28385"/>
  </r>
  <r>
    <x v="5"/>
    <x v="39"/>
    <x v="222"/>
    <n v="37353"/>
  </r>
  <r>
    <x v="5"/>
    <x v="152"/>
    <x v="222"/>
    <n v="49754"/>
  </r>
  <r>
    <x v="5"/>
    <x v="68"/>
    <x v="222"/>
    <n v="36555"/>
  </r>
  <r>
    <x v="0"/>
    <x v="226"/>
    <x v="223"/>
    <n v="26058"/>
  </r>
  <r>
    <x v="0"/>
    <x v="55"/>
    <x v="223"/>
    <n v="34052"/>
  </r>
  <r>
    <x v="0"/>
    <x v="171"/>
    <x v="223"/>
    <n v="34430"/>
  </r>
  <r>
    <x v="0"/>
    <x v="95"/>
    <x v="223"/>
    <n v="37151"/>
  </r>
  <r>
    <x v="9"/>
    <x v="69"/>
    <x v="223"/>
    <n v="12830"/>
  </r>
  <r>
    <x v="6"/>
    <x v="102"/>
    <x v="223"/>
    <n v="14726"/>
  </r>
  <r>
    <x v="19"/>
    <x v="223"/>
    <x v="223"/>
    <n v="16527"/>
  </r>
  <r>
    <x v="3"/>
    <x v="229"/>
    <x v="223"/>
    <n v="31619"/>
  </r>
  <r>
    <x v="4"/>
    <x v="52"/>
    <x v="223"/>
    <n v="49128"/>
  </r>
  <r>
    <x v="5"/>
    <x v="217"/>
    <x v="223"/>
    <n v="45438"/>
  </r>
  <r>
    <x v="5"/>
    <x v="7"/>
    <x v="223"/>
    <n v="45562"/>
  </r>
  <r>
    <x v="5"/>
    <x v="129"/>
    <x v="223"/>
    <n v="22103"/>
  </r>
  <r>
    <x v="5"/>
    <x v="99"/>
    <x v="223"/>
    <n v="38497"/>
  </r>
  <r>
    <x v="5"/>
    <x v="24"/>
    <x v="223"/>
    <n v="51736"/>
  </r>
  <r>
    <x v="0"/>
    <x v="82"/>
    <x v="224"/>
    <n v="12737"/>
  </r>
  <r>
    <x v="0"/>
    <x v="95"/>
    <x v="224"/>
    <n v="47422"/>
  </r>
  <r>
    <x v="10"/>
    <x v="162"/>
    <x v="224"/>
    <n v="15116"/>
  </r>
  <r>
    <x v="13"/>
    <x v="147"/>
    <x v="224"/>
    <n v="14253"/>
  </r>
  <r>
    <x v="3"/>
    <x v="42"/>
    <x v="224"/>
    <n v="26619"/>
  </r>
  <r>
    <x v="4"/>
    <x v="182"/>
    <x v="224"/>
    <n v="32850"/>
  </r>
  <r>
    <x v="4"/>
    <x v="90"/>
    <x v="224"/>
    <n v="46202"/>
  </r>
  <r>
    <x v="4"/>
    <x v="122"/>
    <x v="224"/>
    <n v="25992"/>
  </r>
  <r>
    <x v="4"/>
    <x v="38"/>
    <x v="224"/>
    <n v="32721"/>
  </r>
  <r>
    <x v="5"/>
    <x v="6"/>
    <x v="224"/>
    <n v="47808"/>
  </r>
  <r>
    <x v="5"/>
    <x v="79"/>
    <x v="224"/>
    <n v="35902"/>
  </r>
  <r>
    <x v="5"/>
    <x v="24"/>
    <x v="224"/>
    <n v="56387"/>
  </r>
  <r>
    <x v="0"/>
    <x v="184"/>
    <x v="225"/>
    <n v="23405"/>
  </r>
  <r>
    <x v="0"/>
    <x v="80"/>
    <x v="225"/>
    <n v="45291"/>
  </r>
  <r>
    <x v="10"/>
    <x v="83"/>
    <x v="225"/>
    <n v="16151"/>
  </r>
  <r>
    <x v="10"/>
    <x v="213"/>
    <x v="225"/>
    <n v="9697"/>
  </r>
  <r>
    <x v="10"/>
    <x v="224"/>
    <x v="225"/>
    <n v="28441"/>
  </r>
  <r>
    <x v="4"/>
    <x v="157"/>
    <x v="225"/>
    <n v="42309"/>
  </r>
  <r>
    <x v="4"/>
    <x v="143"/>
    <x v="225"/>
    <n v="25988"/>
  </r>
  <r>
    <x v="5"/>
    <x v="39"/>
    <x v="225"/>
    <n v="37466"/>
  </r>
  <r>
    <x v="5"/>
    <x v="68"/>
    <x v="225"/>
    <n v="38563"/>
  </r>
  <r>
    <x v="5"/>
    <x v="68"/>
    <x v="225"/>
    <n v="40400"/>
  </r>
  <r>
    <x v="0"/>
    <x v="210"/>
    <x v="226"/>
    <n v="31357"/>
  </r>
  <r>
    <x v="6"/>
    <x v="159"/>
    <x v="226"/>
    <n v="26809"/>
  </r>
  <r>
    <x v="11"/>
    <x v="185"/>
    <x v="226"/>
    <n v="13850"/>
  </r>
  <r>
    <x v="2"/>
    <x v="29"/>
    <x v="226"/>
    <n v="5200"/>
  </r>
  <r>
    <x v="14"/>
    <x v="201"/>
    <x v="226"/>
    <n v="10710"/>
  </r>
  <r>
    <x v="8"/>
    <x v="168"/>
    <x v="226"/>
    <n v="12339"/>
  </r>
  <r>
    <x v="7"/>
    <x v="35"/>
    <x v="226"/>
    <n v="49971"/>
  </r>
  <r>
    <x v="4"/>
    <x v="86"/>
    <x v="226"/>
    <n v="46981"/>
  </r>
  <r>
    <x v="5"/>
    <x v="165"/>
    <x v="226"/>
    <n v="41091"/>
  </r>
  <r>
    <x v="5"/>
    <x v="108"/>
    <x v="226"/>
    <n v="39602"/>
  </r>
  <r>
    <x v="5"/>
    <x v="17"/>
    <x v="226"/>
    <n v="35532"/>
  </r>
  <r>
    <x v="5"/>
    <x v="19"/>
    <x v="226"/>
    <n v="42248"/>
  </r>
  <r>
    <x v="5"/>
    <x v="41"/>
    <x v="226"/>
    <n v="44796"/>
  </r>
  <r>
    <x v="5"/>
    <x v="25"/>
    <x v="226"/>
    <n v="42017"/>
  </r>
  <r>
    <x v="0"/>
    <x v="171"/>
    <x v="227"/>
    <n v="30856"/>
  </r>
  <r>
    <x v="2"/>
    <x v="198"/>
    <x v="227"/>
    <n v="14765"/>
  </r>
  <r>
    <x v="13"/>
    <x v="57"/>
    <x v="227"/>
    <n v="27165"/>
  </r>
  <r>
    <x v="3"/>
    <x v="20"/>
    <x v="227"/>
    <n v="17883"/>
  </r>
  <r>
    <x v="3"/>
    <x v="225"/>
    <x v="227"/>
    <n v="17212"/>
  </r>
  <r>
    <x v="8"/>
    <x v="48"/>
    <x v="227"/>
    <n v="5370"/>
  </r>
  <r>
    <x v="4"/>
    <x v="216"/>
    <x v="227"/>
    <n v="46371"/>
  </r>
  <r>
    <x v="4"/>
    <x v="74"/>
    <x v="227"/>
    <n v="45955"/>
  </r>
  <r>
    <x v="5"/>
    <x v="9"/>
    <x v="227"/>
    <n v="57951"/>
  </r>
  <r>
    <x v="5"/>
    <x v="6"/>
    <x v="227"/>
    <n v="39882"/>
  </r>
  <r>
    <x v="5"/>
    <x v="152"/>
    <x v="227"/>
    <n v="48724"/>
  </r>
  <r>
    <x v="5"/>
    <x v="80"/>
    <x v="227"/>
    <n v="41137"/>
  </r>
  <r>
    <x v="12"/>
    <x v="170"/>
    <x v="228"/>
    <n v="15747"/>
  </r>
  <r>
    <x v="6"/>
    <x v="101"/>
    <x v="228"/>
    <n v="15294"/>
  </r>
  <r>
    <x v="6"/>
    <x v="10"/>
    <x v="228"/>
    <n v="16508"/>
  </r>
  <r>
    <x v="1"/>
    <x v="71"/>
    <x v="228"/>
    <n v="11956"/>
  </r>
  <r>
    <x v="10"/>
    <x v="234"/>
    <x v="228"/>
    <n v="15088"/>
  </r>
  <r>
    <x v="14"/>
    <x v="66"/>
    <x v="228"/>
    <n v="8480"/>
  </r>
  <r>
    <x v="3"/>
    <x v="140"/>
    <x v="228"/>
    <n v="15387"/>
  </r>
  <r>
    <x v="3"/>
    <x v="12"/>
    <x v="228"/>
    <n v="24224"/>
  </r>
  <r>
    <x v="7"/>
    <x v="14"/>
    <x v="228"/>
    <n v="19721"/>
  </r>
  <r>
    <x v="4"/>
    <x v="235"/>
    <x v="228"/>
    <n v="15192"/>
  </r>
  <r>
    <x v="4"/>
    <x v="107"/>
    <x v="228"/>
    <n v="25801"/>
  </r>
  <r>
    <x v="5"/>
    <x v="8"/>
    <x v="228"/>
    <n v="36446"/>
  </r>
  <r>
    <x v="5"/>
    <x v="144"/>
    <x v="228"/>
    <n v="39358"/>
  </r>
  <r>
    <x v="5"/>
    <x v="99"/>
    <x v="228"/>
    <n v="42401"/>
  </r>
  <r>
    <x v="0"/>
    <x v="26"/>
    <x v="229"/>
    <n v="37895"/>
  </r>
  <r>
    <x v="9"/>
    <x v="1"/>
    <x v="229"/>
    <n v="12946"/>
  </r>
  <r>
    <x v="6"/>
    <x v="222"/>
    <x v="229"/>
    <n v="17391"/>
  </r>
  <r>
    <x v="2"/>
    <x v="193"/>
    <x v="229"/>
    <n v="17960"/>
  </r>
  <r>
    <x v="3"/>
    <x v="47"/>
    <x v="229"/>
    <n v="17848"/>
  </r>
  <r>
    <x v="8"/>
    <x v="92"/>
    <x v="229"/>
    <n v="9123"/>
  </r>
  <r>
    <x v="7"/>
    <x v="120"/>
    <x v="229"/>
    <n v="53238"/>
  </r>
  <r>
    <x v="7"/>
    <x v="105"/>
    <x v="229"/>
    <n v="21683"/>
  </r>
  <r>
    <x v="4"/>
    <x v="130"/>
    <x v="229"/>
    <n v="40566"/>
  </r>
  <r>
    <x v="4"/>
    <x v="38"/>
    <x v="229"/>
    <n v="25948"/>
  </r>
  <r>
    <x v="5"/>
    <x v="9"/>
    <x v="229"/>
    <n v="59457"/>
  </r>
  <r>
    <x v="5"/>
    <x v="236"/>
    <x v="229"/>
    <n v="45011"/>
  </r>
  <r>
    <x v="5"/>
    <x v="90"/>
    <x v="229"/>
    <n v="37694"/>
  </r>
  <r>
    <x v="5"/>
    <x v="24"/>
    <x v="229"/>
    <n v="54803"/>
  </r>
  <r>
    <x v="12"/>
    <x v="64"/>
    <x v="230"/>
    <n v="28916"/>
  </r>
  <r>
    <x v="0"/>
    <x v="155"/>
    <x v="230"/>
    <n v="13961"/>
  </r>
  <r>
    <x v="0"/>
    <x v="221"/>
    <x v="230"/>
    <n v="41765"/>
  </r>
  <r>
    <x v="6"/>
    <x v="146"/>
    <x v="230"/>
    <n v="13480"/>
  </r>
  <r>
    <x v="10"/>
    <x v="103"/>
    <x v="230"/>
    <n v="19991"/>
  </r>
  <r>
    <x v="2"/>
    <x v="72"/>
    <x v="230"/>
    <n v="21287"/>
  </r>
  <r>
    <x v="13"/>
    <x v="85"/>
    <x v="230"/>
    <n v="10256"/>
  </r>
  <r>
    <x v="17"/>
    <x v="209"/>
    <x v="230"/>
    <n v="8946"/>
  </r>
  <r>
    <x v="7"/>
    <x v="15"/>
    <x v="230"/>
    <n v="23429"/>
  </r>
  <r>
    <x v="4"/>
    <x v="77"/>
    <x v="230"/>
    <n v="11028"/>
  </r>
  <r>
    <x v="4"/>
    <x v="43"/>
    <x v="230"/>
    <n v="55957"/>
  </r>
  <r>
    <x v="5"/>
    <x v="128"/>
    <x v="230"/>
    <n v="42280"/>
  </r>
  <r>
    <x v="5"/>
    <x v="87"/>
    <x v="230"/>
    <n v="43314"/>
  </r>
  <r>
    <x v="5"/>
    <x v="236"/>
    <x v="230"/>
    <n v="35648"/>
  </r>
  <r>
    <x v="5"/>
    <x v="24"/>
    <x v="230"/>
    <n v="52737"/>
  </r>
  <r>
    <x v="5"/>
    <x v="80"/>
    <x v="230"/>
    <n v="46903"/>
  </r>
  <r>
    <x v="1"/>
    <x v="212"/>
    <x v="231"/>
    <n v="9620"/>
  </r>
  <r>
    <x v="2"/>
    <x v="3"/>
    <x v="231"/>
    <n v="15364"/>
  </r>
  <r>
    <x v="3"/>
    <x v="227"/>
    <x v="231"/>
    <n v="12241"/>
  </r>
  <r>
    <x v="3"/>
    <x v="113"/>
    <x v="231"/>
    <n v="19329"/>
  </r>
  <r>
    <x v="8"/>
    <x v="196"/>
    <x v="231"/>
    <n v="15679"/>
  </r>
  <r>
    <x v="8"/>
    <x v="21"/>
    <x v="231"/>
    <n v="14596"/>
  </r>
  <r>
    <x v="7"/>
    <x v="197"/>
    <x v="231"/>
    <n v="25113"/>
  </r>
  <r>
    <x v="7"/>
    <x v="93"/>
    <x v="231"/>
    <n v="26465"/>
  </r>
  <r>
    <x v="15"/>
    <x v="127"/>
    <x v="231"/>
    <n v="13086"/>
  </r>
  <r>
    <x v="5"/>
    <x v="109"/>
    <x v="231"/>
    <n v="47343"/>
  </r>
  <r>
    <x v="5"/>
    <x v="18"/>
    <x v="231"/>
    <n v="36071"/>
  </r>
  <r>
    <x v="5"/>
    <x v="122"/>
    <x v="231"/>
    <n v="31323"/>
  </r>
  <r>
    <x v="5"/>
    <x v="40"/>
    <x v="231"/>
    <n v="43872"/>
  </r>
  <r>
    <x v="0"/>
    <x v="167"/>
    <x v="232"/>
    <n v="8803"/>
  </r>
  <r>
    <x v="2"/>
    <x v="30"/>
    <x v="232"/>
    <n v="17833"/>
  </r>
  <r>
    <x v="4"/>
    <x v="22"/>
    <x v="232"/>
    <n v="31261"/>
  </r>
  <r>
    <x v="4"/>
    <x v="164"/>
    <x v="232"/>
    <n v="35359"/>
  </r>
  <r>
    <x v="4"/>
    <x v="175"/>
    <x v="232"/>
    <n v="47116"/>
  </r>
  <r>
    <x v="4"/>
    <x v="16"/>
    <x v="232"/>
    <n v="32962"/>
  </r>
  <r>
    <x v="5"/>
    <x v="128"/>
    <x v="232"/>
    <n v="39490"/>
  </r>
  <r>
    <x v="5"/>
    <x v="176"/>
    <x v="232"/>
    <n v="40249"/>
  </r>
  <r>
    <x v="5"/>
    <x v="151"/>
    <x v="232"/>
    <n v="60299"/>
  </r>
  <r>
    <x v="5"/>
    <x v="144"/>
    <x v="232"/>
    <n v="34186"/>
  </r>
  <r>
    <x v="5"/>
    <x v="24"/>
    <x v="232"/>
    <n v="44926"/>
  </r>
  <r>
    <x v="5"/>
    <x v="40"/>
    <x v="232"/>
    <n v="32033"/>
  </r>
  <r>
    <x v="5"/>
    <x v="96"/>
    <x v="232"/>
    <n v="48843"/>
  </r>
  <r>
    <x v="12"/>
    <x v="158"/>
    <x v="233"/>
    <n v="14606"/>
  </r>
  <r>
    <x v="9"/>
    <x v="70"/>
    <x v="233"/>
    <n v="8023"/>
  </r>
  <r>
    <x v="9"/>
    <x v="44"/>
    <x v="233"/>
    <n v="16134"/>
  </r>
  <r>
    <x v="1"/>
    <x v="211"/>
    <x v="233"/>
    <n v="10050"/>
  </r>
  <r>
    <x v="2"/>
    <x v="111"/>
    <x v="233"/>
    <n v="17603"/>
  </r>
  <r>
    <x v="4"/>
    <x v="142"/>
    <x v="233"/>
    <n v="35028"/>
  </r>
  <r>
    <x v="4"/>
    <x v="133"/>
    <x v="233"/>
    <n v="31477"/>
  </r>
  <r>
    <x v="4"/>
    <x v="121"/>
    <x v="233"/>
    <n v="48300"/>
  </r>
  <r>
    <x v="4"/>
    <x v="188"/>
    <x v="233"/>
    <n v="41242"/>
  </r>
  <r>
    <x v="5"/>
    <x v="9"/>
    <x v="233"/>
    <n v="40210"/>
  </r>
  <r>
    <x v="5"/>
    <x v="88"/>
    <x v="233"/>
    <n v="39831"/>
  </r>
  <r>
    <x v="5"/>
    <x v="25"/>
    <x v="233"/>
    <n v="58056"/>
  </r>
  <r>
    <x v="12"/>
    <x v="81"/>
    <x v="234"/>
    <n v="11869"/>
  </r>
  <r>
    <x v="0"/>
    <x v="203"/>
    <x v="234"/>
    <n v="9561"/>
  </r>
  <r>
    <x v="10"/>
    <x v="91"/>
    <x v="234"/>
    <n v="20312"/>
  </r>
  <r>
    <x v="2"/>
    <x v="179"/>
    <x v="234"/>
    <n v="18326"/>
  </r>
  <r>
    <x v="4"/>
    <x v="59"/>
    <x v="234"/>
    <n v="44302"/>
  </r>
  <r>
    <x v="4"/>
    <x v="5"/>
    <x v="234"/>
    <n v="20329"/>
  </r>
  <r>
    <x v="5"/>
    <x v="94"/>
    <x v="234"/>
    <n v="59702"/>
  </r>
  <r>
    <x v="5"/>
    <x v="67"/>
    <x v="234"/>
    <n v="28617"/>
  </r>
  <r>
    <x v="4"/>
    <x v="60"/>
    <x v="235"/>
    <n v="28225"/>
  </r>
  <r>
    <x v="4"/>
    <x v="78"/>
    <x v="235"/>
    <n v="28374"/>
  </r>
  <r>
    <x v="5"/>
    <x v="150"/>
    <x v="235"/>
    <n v="18881"/>
  </r>
  <r>
    <x v="5"/>
    <x v="108"/>
    <x v="235"/>
    <n v="38747"/>
  </r>
  <r>
    <x v="5"/>
    <x v="7"/>
    <x v="235"/>
    <n v="54522"/>
  </r>
  <r>
    <x v="5"/>
    <x v="151"/>
    <x v="235"/>
    <n v="38535"/>
  </r>
  <r>
    <x v="5"/>
    <x v="43"/>
    <x v="235"/>
    <n v="36543"/>
  </r>
  <r>
    <x v="5"/>
    <x v="25"/>
    <x v="235"/>
    <n v="54192"/>
  </r>
  <r>
    <x v="0"/>
    <x v="135"/>
    <x v="236"/>
    <n v="29565"/>
  </r>
  <r>
    <x v="11"/>
    <x v="178"/>
    <x v="236"/>
    <n v="12794"/>
  </r>
  <r>
    <x v="11"/>
    <x v="45"/>
    <x v="236"/>
    <n v="24060"/>
  </r>
  <r>
    <x v="3"/>
    <x v="119"/>
    <x v="236"/>
    <n v="7808"/>
  </r>
  <r>
    <x v="8"/>
    <x v="73"/>
    <x v="236"/>
    <n v="16913"/>
  </r>
  <r>
    <x v="8"/>
    <x v="75"/>
    <x v="236"/>
    <n v="9610"/>
  </r>
  <r>
    <x v="7"/>
    <x v="199"/>
    <x v="236"/>
    <n v="31060"/>
  </r>
  <r>
    <x v="4"/>
    <x v="204"/>
    <x v="236"/>
    <n v="33299"/>
  </r>
  <r>
    <x v="4"/>
    <x v="117"/>
    <x v="236"/>
    <n v="42608"/>
  </r>
  <r>
    <x v="5"/>
    <x v="53"/>
    <x v="236"/>
    <n v="42223"/>
  </r>
  <r>
    <x v="5"/>
    <x v="88"/>
    <x v="236"/>
    <n v="34377"/>
  </r>
  <r>
    <x v="5"/>
    <x v="39"/>
    <x v="236"/>
    <n v="36917"/>
  </r>
  <r>
    <x v="5"/>
    <x v="183"/>
    <x v="236"/>
    <n v="43053"/>
  </r>
  <r>
    <x v="5"/>
    <x v="63"/>
    <x v="236"/>
    <n v="45607"/>
  </r>
  <r>
    <x v="11"/>
    <x v="132"/>
    <x v="237"/>
    <n v="19917"/>
  </r>
  <r>
    <x v="2"/>
    <x v="137"/>
    <x v="237"/>
    <n v="18712"/>
  </r>
  <r>
    <x v="17"/>
    <x v="195"/>
    <x v="237"/>
    <n v="13095"/>
  </r>
  <r>
    <x v="7"/>
    <x v="215"/>
    <x v="237"/>
    <n v="22730"/>
  </r>
  <r>
    <x v="4"/>
    <x v="87"/>
    <x v="237"/>
    <n v="45918"/>
  </r>
  <r>
    <x v="4"/>
    <x v="4"/>
    <x v="237"/>
    <n v="23311"/>
  </r>
  <r>
    <x v="5"/>
    <x v="41"/>
    <x v="237"/>
    <n v="45603"/>
  </r>
  <r>
    <x v="12"/>
    <x v="54"/>
    <x v="238"/>
    <n v="15456"/>
  </r>
  <r>
    <x v="6"/>
    <x v="220"/>
    <x v="238"/>
    <n v="18548"/>
  </r>
  <r>
    <x v="2"/>
    <x v="174"/>
    <x v="238"/>
    <n v="11441"/>
  </r>
  <r>
    <x v="2"/>
    <x v="84"/>
    <x v="238"/>
    <n v="32822"/>
  </r>
  <r>
    <x v="4"/>
    <x v="142"/>
    <x v="238"/>
    <n v="40825"/>
  </r>
  <r>
    <x v="4"/>
    <x v="60"/>
    <x v="238"/>
    <n v="30796"/>
  </r>
  <r>
    <x v="4"/>
    <x v="37"/>
    <x v="238"/>
    <n v="23416"/>
  </r>
  <r>
    <x v="4"/>
    <x v="143"/>
    <x v="238"/>
    <n v="35808"/>
  </r>
  <r>
    <x v="5"/>
    <x v="23"/>
    <x v="238"/>
    <n v="27012"/>
  </r>
  <r>
    <x v="12"/>
    <x v="202"/>
    <x v="239"/>
    <n v="7703"/>
  </r>
  <r>
    <x v="0"/>
    <x v="134"/>
    <x v="239"/>
    <n v="28966"/>
  </r>
  <r>
    <x v="6"/>
    <x v="173"/>
    <x v="239"/>
    <n v="5200"/>
  </r>
  <r>
    <x v="11"/>
    <x v="139"/>
    <x v="239"/>
    <n v="14082"/>
  </r>
  <r>
    <x v="7"/>
    <x v="36"/>
    <x v="239"/>
    <n v="30157"/>
  </r>
  <r>
    <x v="4"/>
    <x v="60"/>
    <x v="239"/>
    <n v="39892"/>
  </r>
  <r>
    <x v="4"/>
    <x v="188"/>
    <x v="239"/>
    <n v="53010"/>
  </r>
  <r>
    <x v="5"/>
    <x v="8"/>
    <x v="239"/>
    <n v="33435"/>
  </r>
  <r>
    <x v="5"/>
    <x v="144"/>
    <x v="239"/>
    <n v="40120"/>
  </r>
  <r>
    <x v="5"/>
    <x v="41"/>
    <x v="239"/>
    <n v="33630"/>
  </r>
  <r>
    <x v="10"/>
    <x v="28"/>
    <x v="240"/>
    <n v="11860"/>
  </r>
  <r>
    <x v="10"/>
    <x v="207"/>
    <x v="240"/>
    <n v="22812"/>
  </r>
  <r>
    <x v="14"/>
    <x v="228"/>
    <x v="240"/>
    <n v="5469"/>
  </r>
  <r>
    <x v="4"/>
    <x v="169"/>
    <x v="240"/>
    <n v="43069"/>
  </r>
  <r>
    <x v="5"/>
    <x v="165"/>
    <x v="240"/>
    <n v="36867"/>
  </r>
  <r>
    <x v="5"/>
    <x v="23"/>
    <x v="240"/>
    <n v="28447"/>
  </r>
  <r>
    <x v="5"/>
    <x v="130"/>
    <x v="240"/>
    <n v="45081"/>
  </r>
  <r>
    <x v="5"/>
    <x v="24"/>
    <x v="240"/>
    <n v="38370"/>
  </r>
  <r>
    <x v="0"/>
    <x v="144"/>
    <x v="241"/>
    <n v="36974"/>
  </r>
  <r>
    <x v="2"/>
    <x v="114"/>
    <x v="241"/>
    <n v="21647"/>
  </r>
  <r>
    <x v="3"/>
    <x v="214"/>
    <x v="241"/>
    <n v="18800"/>
  </r>
  <r>
    <x v="3"/>
    <x v="148"/>
    <x v="241"/>
    <n v="19231"/>
  </r>
  <r>
    <x v="7"/>
    <x v="181"/>
    <x v="241"/>
    <n v="29527"/>
  </r>
  <r>
    <x v="4"/>
    <x v="86"/>
    <x v="241"/>
    <n v="35962"/>
  </r>
  <r>
    <x v="4"/>
    <x v="51"/>
    <x v="241"/>
    <n v="43607"/>
  </r>
  <r>
    <x v="4"/>
    <x v="40"/>
    <x v="241"/>
    <n v="34083"/>
  </r>
  <r>
    <x v="5"/>
    <x v="190"/>
    <x v="241"/>
    <n v="40170"/>
  </r>
  <r>
    <x v="5"/>
    <x v="95"/>
    <x v="241"/>
    <n v="55397"/>
  </r>
  <r>
    <x v="5"/>
    <x v="95"/>
    <x v="241"/>
    <n v="34071"/>
  </r>
  <r>
    <x v="0"/>
    <x v="205"/>
    <x v="242"/>
    <n v="30651"/>
  </r>
  <r>
    <x v="0"/>
    <x v="67"/>
    <x v="242"/>
    <n v="29749"/>
  </r>
  <r>
    <x v="9"/>
    <x v="27"/>
    <x v="242"/>
    <n v="14283"/>
  </r>
  <r>
    <x v="3"/>
    <x v="141"/>
    <x v="242"/>
    <n v="32893"/>
  </r>
  <r>
    <x v="7"/>
    <x v="13"/>
    <x v="242"/>
    <n v="20717"/>
  </r>
  <r>
    <x v="7"/>
    <x v="149"/>
    <x v="242"/>
    <n v="28262"/>
  </r>
  <r>
    <x v="7"/>
    <x v="156"/>
    <x v="242"/>
    <n v="21018"/>
  </r>
  <r>
    <x v="7"/>
    <x v="115"/>
    <x v="242"/>
    <n v="26581"/>
  </r>
  <r>
    <x v="4"/>
    <x v="78"/>
    <x v="242"/>
    <n v="30928"/>
  </r>
  <r>
    <x v="4"/>
    <x v="122"/>
    <x v="242"/>
    <n v="37035"/>
  </r>
  <r>
    <x v="5"/>
    <x v="128"/>
    <x v="242"/>
    <n v="36756"/>
  </r>
  <r>
    <x v="5"/>
    <x v="9"/>
    <x v="242"/>
    <n v="54472"/>
  </r>
  <r>
    <x v="5"/>
    <x v="41"/>
    <x v="242"/>
    <n v="413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s v="Тарасова Ксения Игоревна"/>
    <n v="5.0179665216321605E-2"/>
    <x v="0"/>
    <x v="0"/>
    <n v="237013"/>
  </r>
  <r>
    <s v="Павлов Николай Алексеевич"/>
    <n v="3.2683032265504598E-2"/>
    <x v="0"/>
    <x v="0"/>
    <n v="381469"/>
  </r>
  <r>
    <s v="Комаров Дмитрий Антонович"/>
    <n v="3.2370667650941792E-2"/>
    <x v="0"/>
    <x v="0"/>
    <n v="960502"/>
  </r>
  <r>
    <s v="Сидорова Татьяна Павловна"/>
    <n v="3.2290675452753E-2"/>
    <x v="0"/>
    <x v="0"/>
    <n v="529368"/>
  </r>
  <r>
    <s v="Макаров Максим Артемович"/>
    <n v="3.139493155491286E-2"/>
    <x v="0"/>
    <x v="0"/>
    <n v="464546"/>
  </r>
  <r>
    <s v="Иванов Степан Федорович"/>
    <n v="2.9651573262847557E-2"/>
    <x v="0"/>
    <x v="0"/>
    <n v="1062071"/>
  </r>
  <r>
    <s v="Морозова Елена Александровна"/>
    <n v="2.8908661645095486E-2"/>
    <x v="0"/>
    <x v="0"/>
    <n v="1282910"/>
  </r>
  <r>
    <s v="Егоров Артем Кириллович"/>
    <n v="2.8671049767273502E-2"/>
    <x v="0"/>
    <x v="0"/>
    <n v="679389"/>
  </r>
  <r>
    <s v="Петрова Виктория Ивановна"/>
    <n v="2.7690260583818765E-2"/>
    <x v="0"/>
    <x v="0"/>
    <n v="906937"/>
  </r>
  <r>
    <s v="Смирнов Евгений Артемович"/>
    <n v="2.733465133418533E-2"/>
    <x v="0"/>
    <x v="0"/>
    <n v="233427"/>
  </r>
  <r>
    <s v="Зайцева Валерия Павловна"/>
    <n v="2.7277073874253533E-2"/>
    <x v="0"/>
    <x v="0"/>
    <n v="379393"/>
  </r>
  <r>
    <s v="Егорова Юлия Александровна"/>
    <n v="2.7274896236560067E-2"/>
    <x v="0"/>
    <x v="0"/>
    <n v="358793"/>
  </r>
  <r>
    <s v="Павлова Дарья Игоревна"/>
    <n v="2.7025203302557581E-2"/>
    <x v="0"/>
    <x v="0"/>
    <n v="649387"/>
  </r>
  <r>
    <s v="Иванов Игорь Николаевич"/>
    <n v="2.6915102793502E-2"/>
    <x v="0"/>
    <x v="0"/>
    <n v="284206"/>
  </r>
  <r>
    <s v="Семенова Алина Юрьевна"/>
    <n v="2.676691212673564E-2"/>
    <x v="0"/>
    <x v="0"/>
    <n v="263116"/>
  </r>
  <r>
    <s v="Соловьева Юлия Михайловна"/>
    <n v="2.6666695806132703E-2"/>
    <x v="0"/>
    <x v="0"/>
    <n v="538234"/>
  </r>
  <r>
    <s v="Михайлова Наталья Павловна"/>
    <n v="2.6606715932558637E-2"/>
    <x v="0"/>
    <x v="0"/>
    <n v="753833"/>
  </r>
  <r>
    <s v="Никитина Людмила Юрьевна"/>
    <n v="2.6532383745411548E-2"/>
    <x v="0"/>
    <x v="0"/>
    <n v="226831"/>
  </r>
  <r>
    <s v="Зайцев Роман Артемович"/>
    <n v="2.6505174395900419E-2"/>
    <x v="0"/>
    <x v="0"/>
    <n v="831294"/>
  </r>
  <r>
    <s v="Степанов Денис Николаевич"/>
    <n v="2.6163177744783859E-2"/>
    <x v="0"/>
    <x v="0"/>
    <n v="473153"/>
  </r>
  <r>
    <s v="Козлова Виктория Дмитриевна"/>
    <n v="2.5960333606931497E-2"/>
    <x v="0"/>
    <x v="0"/>
    <n v="1000062"/>
  </r>
  <r>
    <s v="Иванов Евгений Андреевич"/>
    <n v="2.5645284355898707E-2"/>
    <x v="0"/>
    <x v="0"/>
    <n v="606145"/>
  </r>
  <r>
    <s v="Тарасов Кирилл Александрович"/>
    <n v="2.5629070920481844E-2"/>
    <x v="0"/>
    <x v="0"/>
    <n v="1216269"/>
  </r>
  <r>
    <s v="Соловьева Наталья Максимовна"/>
    <n v="2.4898003586854078E-2"/>
    <x v="0"/>
    <x v="0"/>
    <n v="320569"/>
  </r>
  <r>
    <s v="Соколова Анастасия Игоревна"/>
    <n v="2.4604095645945991E-2"/>
    <x v="0"/>
    <x v="0"/>
    <n v="251685"/>
  </r>
  <r>
    <s v="Макаров Алексей Романович"/>
    <n v="2.4388490193769277E-2"/>
    <x v="0"/>
    <x v="0"/>
    <n v="339574"/>
  </r>
  <r>
    <s v="Захарова Людмила Антоновна"/>
    <n v="2.425696742312991E-2"/>
    <x v="0"/>
    <x v="0"/>
    <n v="1011973"/>
  </r>
  <r>
    <s v="Яковлева Дарья Ивановна"/>
    <n v="2.3798362972012297E-2"/>
    <x v="0"/>
    <x v="0"/>
    <n v="485054"/>
  </r>
  <r>
    <s v="Алексеева Полина Дмитриевна"/>
    <n v="2.2458130628014116E-2"/>
    <x v="0"/>
    <x v="0"/>
    <n v="937387"/>
  </r>
  <r>
    <s v="Куликов Николай Кириллович"/>
    <n v="2.2249001179116133E-2"/>
    <x v="0"/>
    <x v="0"/>
    <n v="651801"/>
  </r>
  <r>
    <s v="Иванова Татьяна Юрьевна"/>
    <n v="2.2124374638434356E-2"/>
    <x v="0"/>
    <x v="0"/>
    <n v="637566"/>
  </r>
  <r>
    <s v="Баранова Виктория Ивановна"/>
    <n v="2.12687536736949E-2"/>
    <x v="0"/>
    <x v="0"/>
    <n v="227539"/>
  </r>
  <r>
    <s v="Егоров Антон Евгеньевич"/>
    <n v="2.0605753213020783E-2"/>
    <x v="0"/>
    <x v="0"/>
    <n v="432598"/>
  </r>
  <r>
    <s v="Борисов Алексей Антонович"/>
    <n v="1.9543195511926657E-2"/>
    <x v="0"/>
    <x v="0"/>
    <n v="530337"/>
  </r>
  <r>
    <s v="Петрова Марина Романовна"/>
    <n v="1.9026154314837347E-2"/>
    <x v="0"/>
    <x v="0"/>
    <n v="1380135"/>
  </r>
  <r>
    <s v="Новиков Артем Борисович"/>
    <n v="1.8434835149526121E-2"/>
    <x v="0"/>
    <x v="0"/>
    <n v="254128"/>
  </r>
  <r>
    <s v="Петрова Надежда Александровна"/>
    <n v="1.828685199998949E-2"/>
    <x v="0"/>
    <x v="0"/>
    <n v="388750"/>
  </r>
  <r>
    <s v="Куликова Татьяна Владимировна"/>
    <n v="1.8062178909077225E-2"/>
    <x v="0"/>
    <x v="0"/>
    <n v="325533"/>
  </r>
  <r>
    <s v="Андреев Кирилл Федорович"/>
    <n v="1.7831960187280307E-2"/>
    <x v="0"/>
    <x v="0"/>
    <n v="863708"/>
  </r>
  <r>
    <s v="Иванов Борис Антонович"/>
    <n v="1.7567676767844546E-2"/>
    <x v="0"/>
    <x v="0"/>
    <n v="268994"/>
  </r>
  <r>
    <s v="Семенов Вадим Игоревич"/>
    <n v="1.7165982775324336E-2"/>
    <x v="0"/>
    <x v="0"/>
    <n v="1230571"/>
  </r>
  <r>
    <s v="Михайлова Татьяна Александровна"/>
    <n v="1.5799515948055655E-2"/>
    <x v="0"/>
    <x v="0"/>
    <n v="370932"/>
  </r>
  <r>
    <s v="Новиков Артем Денисович"/>
    <n v="1.4629886437305076E-2"/>
    <x v="0"/>
    <x v="0"/>
    <n v="300255"/>
  </r>
  <r>
    <s v="Морозов Иван Михайлович"/>
    <n v="1.296693056893824E-2"/>
    <x v="0"/>
    <x v="0"/>
    <n v="353785"/>
  </r>
  <r>
    <s v="Волков Кирилл Олегович"/>
    <n v="0.22869076465392188"/>
    <x v="0"/>
    <x v="1"/>
    <n v="356962"/>
  </r>
  <r>
    <s v="Баранова Екатерина Николаевна"/>
    <n v="0.21064828165749888"/>
    <x v="0"/>
    <x v="1"/>
    <n v="256607"/>
  </r>
  <r>
    <s v="Федоров Вадим Олегович"/>
    <n v="0.20402731635304905"/>
    <x v="0"/>
    <x v="1"/>
    <n v="766076"/>
  </r>
  <r>
    <s v="Захаров Игорь Максимович"/>
    <n v="0.20092633807979068"/>
    <x v="0"/>
    <x v="1"/>
    <n v="567949"/>
  </r>
  <r>
    <s v="Никитин Юрий Максимович"/>
    <n v="0.19806314931335067"/>
    <x v="0"/>
    <x v="1"/>
    <n v="1325732"/>
  </r>
  <r>
    <s v="Михайлов Алексей Викторович"/>
    <n v="0.18579134058904695"/>
    <x v="0"/>
    <x v="1"/>
    <n v="904263"/>
  </r>
  <r>
    <s v="Романова Наталья Романовна"/>
    <n v="0.17957971755658711"/>
    <x v="0"/>
    <x v="1"/>
    <n v="544672"/>
  </r>
  <r>
    <s v="Соловьева Ирина Максимовна"/>
    <n v="0.17766982253135941"/>
    <x v="0"/>
    <x v="1"/>
    <n v="714634"/>
  </r>
  <r>
    <s v="Андреев Роман Денисович"/>
    <n v="0.17542314488724819"/>
    <x v="0"/>
    <x v="1"/>
    <n v="268944"/>
  </r>
  <r>
    <s v="Романова Мария Ивановна"/>
    <n v="0.17530906290632736"/>
    <x v="0"/>
    <x v="1"/>
    <n v="922892"/>
  </r>
  <r>
    <s v="Козлова Мария Олеговна"/>
    <n v="0.17508815575131237"/>
    <x v="0"/>
    <x v="1"/>
    <n v="1191703"/>
  </r>
  <r>
    <s v="Зайцев Дмитрий Игоревич"/>
    <n v="0.17372078844952624"/>
    <x v="0"/>
    <x v="1"/>
    <n v="569899"/>
  </r>
  <r>
    <s v="Иванова Надежда Алексеевна"/>
    <n v="0.17121466065960905"/>
    <x v="0"/>
    <x v="1"/>
    <n v="670657"/>
  </r>
  <r>
    <s v="Павлова Надежда Дмитриевна"/>
    <n v="0.1708996917311395"/>
    <x v="0"/>
    <x v="1"/>
    <n v="233705"/>
  </r>
  <r>
    <s v="Иванова Дарья Николаевна"/>
    <n v="0.16540355868787693"/>
    <x v="0"/>
    <x v="1"/>
    <n v="840962"/>
  </r>
  <r>
    <s v="Макаров Олег Максимович"/>
    <n v="0.16425357418332984"/>
    <x v="0"/>
    <x v="1"/>
    <n v="394626"/>
  </r>
  <r>
    <s v="Соловьева Анна Андреевна"/>
    <n v="0.15932388882721557"/>
    <x v="0"/>
    <x v="1"/>
    <n v="572272"/>
  </r>
  <r>
    <s v="Козлов Дмитрий Романович"/>
    <n v="0.15790039156628219"/>
    <x v="0"/>
    <x v="1"/>
    <n v="464259"/>
  </r>
  <r>
    <s v="Козлова Ирина Юрьевна"/>
    <n v="0.15766137597977437"/>
    <x v="0"/>
    <x v="1"/>
    <n v="432509"/>
  </r>
  <r>
    <s v="Кузнецова Софья Денисовна"/>
    <n v="0.15600438450378826"/>
    <x v="0"/>
    <x v="1"/>
    <n v="271503"/>
  </r>
  <r>
    <s v="Соколова Ксения Олеговна"/>
    <n v="0.15425701303563472"/>
    <x v="0"/>
    <x v="1"/>
    <n v="638468"/>
  </r>
  <r>
    <s v="Григорьев Виктор Игоревич"/>
    <n v="0.14718175272476117"/>
    <x v="0"/>
    <x v="1"/>
    <n v="270573"/>
  </r>
  <r>
    <s v="Комарова Полина Олеговна"/>
    <n v="0.1456945404235018"/>
    <x v="0"/>
    <x v="1"/>
    <n v="332913"/>
  </r>
  <r>
    <s v="Козлова Валерия Олеговна"/>
    <n v="0.14519098471040376"/>
    <x v="0"/>
    <x v="1"/>
    <n v="409283"/>
  </r>
  <r>
    <s v="Макарова Виктория Максимовна"/>
    <n v="0.1423003466177688"/>
    <x v="0"/>
    <x v="1"/>
    <n v="260659"/>
  </r>
  <r>
    <s v="Смирнова Татьяна Викторовна"/>
    <n v="0.13911552382247769"/>
    <x v="0"/>
    <x v="1"/>
    <n v="260050"/>
  </r>
  <r>
    <s v="Тарасова Софья Евгеньевна"/>
    <n v="0.13867675513957717"/>
    <x v="0"/>
    <x v="1"/>
    <n v="409520"/>
  </r>
  <r>
    <s v="Михайлова Елена Федоровна"/>
    <n v="0.13786515193679108"/>
    <x v="0"/>
    <x v="1"/>
    <n v="1179152"/>
  </r>
  <r>
    <s v="Козлова Светлана Михайловна"/>
    <n v="0.13134174421031883"/>
    <x v="0"/>
    <x v="1"/>
    <n v="931472"/>
  </r>
  <r>
    <s v="Семенова Софья Федоровна"/>
    <n v="0.12491537828870253"/>
    <x v="0"/>
    <x v="1"/>
    <n v="1566332"/>
  </r>
  <r>
    <s v="Григорьева Надежда Николаевна"/>
    <n v="0.11967764161023908"/>
    <x v="0"/>
    <x v="1"/>
    <n v="321384"/>
  </r>
  <r>
    <s v="Яковлев Евгений Владимирович"/>
    <n v="0.11822775076766948"/>
    <x v="0"/>
    <x v="1"/>
    <n v="1309109"/>
  </r>
  <r>
    <s v="Соловьева Людмила Евгеньевна"/>
    <n v="0.10353878178400515"/>
    <x v="0"/>
    <x v="1"/>
    <n v="372090"/>
  </r>
  <r>
    <s v="Федоров Кирилл Иванович"/>
    <n v="0.86823384495592304"/>
    <x v="0"/>
    <x v="2"/>
    <n v="629083"/>
  </r>
  <r>
    <s v="Волков Александр Павлович"/>
    <n v="0.78987819164778028"/>
    <x v="0"/>
    <x v="2"/>
    <n v="783599"/>
  </r>
  <r>
    <s v="Павлова Юлия Федоровна"/>
    <n v="0.77262390627716371"/>
    <x v="0"/>
    <x v="2"/>
    <n v="430723"/>
  </r>
  <r>
    <s v="Николаев Денис Павлович"/>
    <n v="0.72645162861028623"/>
    <x v="0"/>
    <x v="2"/>
    <n v="374308"/>
  </r>
  <r>
    <s v="Иванова Виктория Романовна"/>
    <n v="0.70583706889110343"/>
    <x v="0"/>
    <x v="2"/>
    <n v="627717"/>
  </r>
  <r>
    <s v="Соколова Виктория Александровна"/>
    <n v="0.70300772350864138"/>
    <x v="0"/>
    <x v="2"/>
    <n v="385559"/>
  </r>
  <r>
    <s v="Лебедева Мария Ивановна"/>
    <n v="0.69795028916454127"/>
    <x v="0"/>
    <x v="2"/>
    <n v="1200563"/>
  </r>
  <r>
    <s v="Михайлова Полина Александровна"/>
    <n v="0.69226410233518509"/>
    <x v="0"/>
    <x v="2"/>
    <n v="301915"/>
  </r>
  <r>
    <s v="Комарова Полина Игоревна"/>
    <n v="0.68524968094855032"/>
    <x v="0"/>
    <x v="2"/>
    <n v="257387"/>
  </r>
  <r>
    <s v="Федоров Иван Александрович"/>
    <n v="0.67533665961639"/>
    <x v="0"/>
    <x v="2"/>
    <n v="1233236"/>
  </r>
  <r>
    <s v="Михайлов Евгений Романович"/>
    <n v="0.67116816099580223"/>
    <x v="0"/>
    <x v="2"/>
    <n v="456385"/>
  </r>
  <r>
    <s v="Куликова Александра Юрьевна"/>
    <n v="0.66777072092601764"/>
    <x v="0"/>
    <x v="2"/>
    <n v="373078"/>
  </r>
  <r>
    <s v="Козлов Александр Ильич"/>
    <n v="0.66630164616314813"/>
    <x v="0"/>
    <x v="2"/>
    <n v="270015"/>
  </r>
  <r>
    <s v="Борисов Игорь Евгеньевич"/>
    <n v="0.65858815866386688"/>
    <x v="0"/>
    <x v="2"/>
    <n v="962420"/>
  </r>
  <r>
    <s v="Новиков Павел Алексеевич"/>
    <n v="0.65732800686968085"/>
    <x v="0"/>
    <x v="2"/>
    <n v="330562"/>
  </r>
  <r>
    <s v="Семенов Николай Александрович"/>
    <n v="0.63950802779692251"/>
    <x v="0"/>
    <x v="2"/>
    <n v="365857"/>
  </r>
  <r>
    <s v="Федоров Максим Михайлович"/>
    <n v="0.63742731191830204"/>
    <x v="0"/>
    <x v="2"/>
    <n v="385498"/>
  </r>
  <r>
    <s v="Куликова Светлана Евгеньевна"/>
    <n v="0.61761356434589088"/>
    <x v="0"/>
    <x v="2"/>
    <n v="558985"/>
  </r>
  <r>
    <s v="Зайцев Павел Николаевич"/>
    <n v="0.61506389600693556"/>
    <x v="0"/>
    <x v="2"/>
    <n v="286679"/>
  </r>
  <r>
    <s v="Михайлов Илья Денисович"/>
    <n v="0.60802777519213036"/>
    <x v="0"/>
    <x v="2"/>
    <n v="682194"/>
  </r>
  <r>
    <s v="Куликов Кирилл Александрович"/>
    <n v="0.60711966553205565"/>
    <x v="0"/>
    <x v="2"/>
    <n v="437400"/>
  </r>
  <r>
    <s v="Воробьев Вадим Владимирович"/>
    <n v="0.60210135608751347"/>
    <x v="0"/>
    <x v="2"/>
    <n v="280949"/>
  </r>
  <r>
    <s v="Морозов Виктор Александрович"/>
    <n v="0.56318442211993081"/>
    <x v="0"/>
    <x v="2"/>
    <n v="241021"/>
  </r>
  <r>
    <s v="Иванов Никита Дмитриевич"/>
    <n v="0.53779923128583151"/>
    <x v="0"/>
    <x v="2"/>
    <n v="406294"/>
  </r>
  <r>
    <s v="Попов Степан Сергеевич"/>
    <n v="0.53689550804370201"/>
    <x v="0"/>
    <x v="2"/>
    <n v="408355"/>
  </r>
  <r>
    <s v="Михайлов Павел Сергеевич"/>
    <n v="0.51394135682762665"/>
    <x v="0"/>
    <x v="2"/>
    <n v="222394"/>
  </r>
  <r>
    <s v="Зайцева Марина Максимовна"/>
    <n v="0.4887001543715348"/>
    <x v="0"/>
    <x v="2"/>
    <n v="481905"/>
  </r>
  <r>
    <s v="Зайцев Александр Игоревич"/>
    <n v="0.48320415125933447"/>
    <x v="0"/>
    <x v="2"/>
    <n v="576725"/>
  </r>
  <r>
    <s v="Новиков Андрей Дмитриевич"/>
    <n v="0.47698270106815904"/>
    <x v="0"/>
    <x v="2"/>
    <n v="226111"/>
  </r>
  <r>
    <s v="Соколов Владимир Иванович"/>
    <n v="0.45741046319027234"/>
    <x v="0"/>
    <x v="2"/>
    <n v="546775"/>
  </r>
  <r>
    <s v="Романов Антон Антонович"/>
    <n v="0.45641485579783714"/>
    <x v="0"/>
    <x v="2"/>
    <n v="906913"/>
  </r>
  <r>
    <s v="Тарасов Александр Павлович"/>
    <n v="0.44079332164249124"/>
    <x v="0"/>
    <x v="2"/>
    <n v="1584020"/>
  </r>
  <r>
    <s v="Егорова Полина Павловна"/>
    <n v="0.43059958190675601"/>
    <x v="0"/>
    <x v="2"/>
    <n v="1778344"/>
  </r>
  <r>
    <s v="Смирнов Дмитрий Андреевич"/>
    <n v="0.38723759939725327"/>
    <x v="0"/>
    <x v="2"/>
    <n v="2225738"/>
  </r>
  <r>
    <s v="Алексеева Ксения Антоновна"/>
    <n v="0.34289052687317501"/>
    <x v="0"/>
    <x v="2"/>
    <n v="324464"/>
  </r>
  <r>
    <s v="Ковалева Татьяна Андреевна"/>
    <n v="9.1242414624192913E-2"/>
    <x v="1"/>
    <x v="0"/>
    <n v="143276"/>
  </r>
  <r>
    <s v="Андреева Виктория Романовна"/>
    <n v="8.4624540060317943E-2"/>
    <x v="1"/>
    <x v="0"/>
    <n v="150630"/>
  </r>
  <r>
    <s v="Соколов Вадим Викторович"/>
    <n v="5.1040106903224094E-2"/>
    <x v="1"/>
    <x v="0"/>
    <n v="216919"/>
  </r>
  <r>
    <s v="Борисов Иван Кириллович"/>
    <n v="3.2567054502262056E-2"/>
    <x v="1"/>
    <x v="0"/>
    <n v="126446"/>
  </r>
  <r>
    <s v="Михайлов Михаил Кириллович"/>
    <n v="3.1391184066269104E-2"/>
    <x v="1"/>
    <x v="0"/>
    <n v="148362"/>
  </r>
  <r>
    <s v="Орлов Михаил Борисович"/>
    <n v="3.0591346688826342E-2"/>
    <x v="1"/>
    <x v="0"/>
    <n v="125691"/>
  </r>
  <r>
    <s v="Зайцева Наталья Юрьевна"/>
    <n v="3.0359339786779099E-2"/>
    <x v="1"/>
    <x v="0"/>
    <n v="196881"/>
  </r>
  <r>
    <s v="Сергеева Дарья Михайловна"/>
    <n v="2.8703881514993344E-2"/>
    <x v="1"/>
    <x v="0"/>
    <n v="187957"/>
  </r>
  <r>
    <s v="Федоров Роман Викторович"/>
    <n v="2.8247265865807374E-2"/>
    <x v="1"/>
    <x v="0"/>
    <n v="120794"/>
  </r>
  <r>
    <s v="Лебедева Дарья Николаевна"/>
    <n v="2.8145496122511177E-2"/>
    <x v="1"/>
    <x v="0"/>
    <n v="164770"/>
  </r>
  <r>
    <s v="Комаров Роман Павлович"/>
    <n v="2.8075109668207417E-2"/>
    <x v="1"/>
    <x v="0"/>
    <n v="183738"/>
  </r>
  <r>
    <s v="Смирнова Анна Ильинична"/>
    <n v="2.8005613393033264E-2"/>
    <x v="1"/>
    <x v="0"/>
    <n v="117581"/>
  </r>
  <r>
    <s v="Егорова Светлана Владимировна"/>
    <n v="2.6724786806410203E-2"/>
    <x v="1"/>
    <x v="0"/>
    <n v="122211"/>
  </r>
  <r>
    <s v="Орлова Татьяна Алексеевна"/>
    <n v="2.553050171615235E-2"/>
    <x v="1"/>
    <x v="0"/>
    <n v="121089"/>
  </r>
  <r>
    <s v="Ковалева Екатерина Михайловна"/>
    <n v="2.5454754218359729E-2"/>
    <x v="1"/>
    <x v="0"/>
    <n v="141261"/>
  </r>
  <r>
    <s v="Белов Виктор Ильич"/>
    <n v="2.5148818006177361E-2"/>
    <x v="1"/>
    <x v="0"/>
    <n v="126645"/>
  </r>
  <r>
    <s v="Смирнова Светлана Александровна"/>
    <n v="2.4908186126486407E-2"/>
    <x v="1"/>
    <x v="0"/>
    <n v="161867"/>
  </r>
  <r>
    <s v="Соколова Ирина Владимировна"/>
    <n v="2.3877826903301615E-2"/>
    <x v="1"/>
    <x v="0"/>
    <n v="189068"/>
  </r>
  <r>
    <s v="Сергеев Михаил Николаевич"/>
    <n v="2.3863959860150035E-2"/>
    <x v="1"/>
    <x v="0"/>
    <n v="218487"/>
  </r>
  <r>
    <s v="Тарасова Елена Антоновна"/>
    <n v="2.3362384273315752E-2"/>
    <x v="1"/>
    <x v="0"/>
    <n v="116284"/>
  </r>
  <r>
    <s v="Алексеева Валерия Павловна"/>
    <n v="2.3330136149961791E-2"/>
    <x v="1"/>
    <x v="0"/>
    <n v="146994"/>
  </r>
  <r>
    <s v="Попов Юрий Михайлович"/>
    <n v="2.2662060668874613E-2"/>
    <x v="1"/>
    <x v="0"/>
    <n v="152134"/>
  </r>
  <r>
    <s v="Петров Антон Артемович"/>
    <n v="2.249945788747006E-2"/>
    <x v="1"/>
    <x v="0"/>
    <n v="190143"/>
  </r>
  <r>
    <s v="Алексеева Мария Игоревна"/>
    <n v="2.2435108114221516E-2"/>
    <x v="1"/>
    <x v="0"/>
    <n v="135548"/>
  </r>
  <r>
    <s v="Зайцева Людмила Игоревна"/>
    <n v="2.1499603526379536E-2"/>
    <x v="1"/>
    <x v="0"/>
    <n v="118358"/>
  </r>
  <r>
    <s v="Белов Игорь Романович"/>
    <n v="2.1231815461394039E-2"/>
    <x v="1"/>
    <x v="0"/>
    <n v="156719"/>
  </r>
  <r>
    <s v="Николаев Денис Кириллович"/>
    <n v="2.0237968405442789E-2"/>
    <x v="1"/>
    <x v="0"/>
    <n v="123342"/>
  </r>
  <r>
    <s v="Андреев Игорь Борисович"/>
    <n v="2.0079693995852084E-2"/>
    <x v="1"/>
    <x v="0"/>
    <n v="199235"/>
  </r>
  <r>
    <s v="Макаров Никита Иванович"/>
    <n v="1.9990945270621844E-2"/>
    <x v="1"/>
    <x v="0"/>
    <n v="173730"/>
  </r>
  <r>
    <s v="Егорова Людмила Михайловна"/>
    <n v="1.9791981213503583E-2"/>
    <x v="1"/>
    <x v="0"/>
    <n v="145803"/>
  </r>
  <r>
    <s v="Федоров Степан Александрович"/>
    <n v="1.9621104345427576E-2"/>
    <x v="1"/>
    <x v="0"/>
    <n v="121056"/>
  </r>
  <r>
    <s v="Соловьев Роман Дмитриевич"/>
    <n v="1.8321712154927009E-2"/>
    <x v="1"/>
    <x v="0"/>
    <n v="212382"/>
  </r>
  <r>
    <s v="Яковлева Виктория Романовна"/>
    <n v="1.8175873107276568E-2"/>
    <x v="1"/>
    <x v="0"/>
    <n v="146383"/>
  </r>
  <r>
    <s v="Семенова Мария Павловна"/>
    <n v="1.7872004735161422E-2"/>
    <x v="1"/>
    <x v="0"/>
    <n v="125625"/>
  </r>
  <r>
    <s v="Сергеев Николай Игоревич"/>
    <n v="1.7629114238556173E-2"/>
    <x v="1"/>
    <x v="0"/>
    <n v="129464"/>
  </r>
  <r>
    <s v="Борисов Антон Владимирович"/>
    <n v="1.7218222548158867E-2"/>
    <x v="1"/>
    <x v="0"/>
    <n v="132097"/>
  </r>
  <r>
    <s v="Яковлев Игорь Антонович"/>
    <n v="1.6676452579742606E-2"/>
    <x v="1"/>
    <x v="0"/>
    <n v="118280"/>
  </r>
  <r>
    <s v="Новикова Анастасия Андреевна"/>
    <n v="1.4070089632092086E-2"/>
    <x v="1"/>
    <x v="0"/>
    <n v="153146"/>
  </r>
  <r>
    <s v="Федорова Марина Денисовна"/>
    <n v="0.22254485628351275"/>
    <x v="1"/>
    <x v="1"/>
    <n v="198792"/>
  </r>
  <r>
    <s v="Новиков Андрей Борисович"/>
    <n v="0.21578346913427593"/>
    <x v="1"/>
    <x v="1"/>
    <n v="117121"/>
  </r>
  <r>
    <s v="Егорова Татьяна Денисовна"/>
    <n v="0.21001557051507452"/>
    <x v="1"/>
    <x v="1"/>
    <n v="122291"/>
  </r>
  <r>
    <s v="Иванова Полина Романовна"/>
    <n v="0.20865171381090666"/>
    <x v="1"/>
    <x v="1"/>
    <n v="176236"/>
  </r>
  <r>
    <s v="Федорова Людмила Алексеевна"/>
    <n v="0.19483533688748994"/>
    <x v="1"/>
    <x v="1"/>
    <n v="125368"/>
  </r>
  <r>
    <s v="Ковалев Дмитрий Владимирович"/>
    <n v="0.19170734839189837"/>
    <x v="1"/>
    <x v="1"/>
    <n v="137690"/>
  </r>
  <r>
    <s v="Егорова Софья Антоновна"/>
    <n v="0.18836678861210621"/>
    <x v="1"/>
    <x v="1"/>
    <n v="185350"/>
  </r>
  <r>
    <s v="Федорова Елена Николаевна"/>
    <n v="0.17845392574673924"/>
    <x v="1"/>
    <x v="1"/>
    <n v="182720"/>
  </r>
  <r>
    <s v="Романов Денис Олегович"/>
    <n v="0.1720371480682692"/>
    <x v="1"/>
    <x v="1"/>
    <n v="197632"/>
  </r>
  <r>
    <s v="Ковалев Иван Викторович"/>
    <n v="0.16832698309078398"/>
    <x v="1"/>
    <x v="1"/>
    <n v="167571"/>
  </r>
  <r>
    <s v="Кузнецова Татьяна Юрьевна"/>
    <n v="0.16544890642927576"/>
    <x v="1"/>
    <x v="1"/>
    <n v="123156"/>
  </r>
  <r>
    <s v="Федорова Анна Александровна"/>
    <n v="0.16317857973340574"/>
    <x v="1"/>
    <x v="1"/>
    <n v="202428"/>
  </r>
  <r>
    <s v="Баранова Валерия Федоровна"/>
    <n v="0.15625781122029453"/>
    <x v="1"/>
    <x v="1"/>
    <n v="118237"/>
  </r>
  <r>
    <s v="Соколова Мария Максимовна"/>
    <n v="0.15420082965083104"/>
    <x v="1"/>
    <x v="1"/>
    <n v="140080"/>
  </r>
  <r>
    <s v="Козлов Никита Федорович"/>
    <n v="0.15120761684045894"/>
    <x v="1"/>
    <x v="1"/>
    <n v="123117"/>
  </r>
  <r>
    <s v="Ковалева Ирина Павловна"/>
    <n v="0.14656706886150206"/>
    <x v="1"/>
    <x v="1"/>
    <n v="153217"/>
  </r>
  <r>
    <s v="Смирнова Надежда Владимировна"/>
    <n v="0.13989877763398023"/>
    <x v="1"/>
    <x v="1"/>
    <n v="140108"/>
  </r>
  <r>
    <s v="Сергеев Антон Александрович"/>
    <n v="0.13073682679501786"/>
    <x v="1"/>
    <x v="1"/>
    <n v="155931"/>
  </r>
  <r>
    <s v="Семенов Алексей Олегович"/>
    <n v="0.12763223306705462"/>
    <x v="1"/>
    <x v="1"/>
    <n v="153215"/>
  </r>
  <r>
    <s v="Степанова Надежда Ильинична"/>
    <n v="0.11008939447520109"/>
    <x v="1"/>
    <x v="1"/>
    <n v="116460"/>
  </r>
  <r>
    <s v="Иванова Юлия Антоновна"/>
    <n v="0.10509789552283992"/>
    <x v="1"/>
    <x v="1"/>
    <n v="143926"/>
  </r>
  <r>
    <s v="Белов Максим Александрович"/>
    <n v="0.80798811492620437"/>
    <x v="1"/>
    <x v="2"/>
    <n v="117061"/>
  </r>
  <r>
    <s v="Николаев Денис Алексеевич"/>
    <n v="0.70035854229432992"/>
    <x v="1"/>
    <x v="2"/>
    <n v="168078"/>
  </r>
  <r>
    <s v="Попова Валерия Алексеевна"/>
    <n v="0.67634807546368303"/>
    <x v="1"/>
    <x v="2"/>
    <n v="127970"/>
  </r>
  <r>
    <s v="Егорова Наталья Олеговна"/>
    <n v="0.66690624756841799"/>
    <x v="1"/>
    <x v="2"/>
    <n v="162148"/>
  </r>
  <r>
    <s v="Козлова Татьяна Викторовна"/>
    <n v="0.66346631688273794"/>
    <x v="1"/>
    <x v="2"/>
    <n v="121584"/>
  </r>
  <r>
    <s v="Соколова Надежда Денисовна"/>
    <n v="0.65589566131689614"/>
    <x v="1"/>
    <x v="2"/>
    <n v="148430"/>
  </r>
  <r>
    <s v="Васильев Андрей Игоревич"/>
    <n v="0.65551893611688949"/>
    <x v="1"/>
    <x v="2"/>
    <n v="143051"/>
  </r>
  <r>
    <s v="Тарасова Татьяна Сергеевна"/>
    <n v="0.65276931777981506"/>
    <x v="1"/>
    <x v="2"/>
    <n v="158133"/>
  </r>
  <r>
    <s v="Зайцев Федор Денисович"/>
    <n v="0.65224430637911934"/>
    <x v="1"/>
    <x v="2"/>
    <n v="125508"/>
  </r>
  <r>
    <s v="Куликов Виктор Федорович"/>
    <n v="0.65157367458974924"/>
    <x v="1"/>
    <x v="2"/>
    <n v="165708"/>
  </r>
  <r>
    <s v="Козлов Кирилл Олегович"/>
    <n v="0.64568713044553083"/>
    <x v="1"/>
    <x v="2"/>
    <n v="140825"/>
  </r>
  <r>
    <s v="Яковлев Александр Федорович"/>
    <n v="0.64086344707396437"/>
    <x v="1"/>
    <x v="2"/>
    <n v="174413"/>
  </r>
  <r>
    <s v="Сидорова Ольга Ивановна"/>
    <n v="0.63344094889558278"/>
    <x v="1"/>
    <x v="2"/>
    <n v="183389"/>
  </r>
  <r>
    <s v="Смирнов Александр Викторович"/>
    <n v="0.62179493863186164"/>
    <x v="1"/>
    <x v="2"/>
    <n v="182019"/>
  </r>
  <r>
    <s v="Попова Мария Ильинична"/>
    <n v="0.6018850069268562"/>
    <x v="1"/>
    <x v="2"/>
    <n v="130871"/>
  </r>
  <r>
    <s v="Григорьева Софья Дмитриевна"/>
    <n v="0.58323786438566516"/>
    <x v="1"/>
    <x v="2"/>
    <n v="142900"/>
  </r>
  <r>
    <s v="Иванов Алексей Антонович"/>
    <n v="0.57595059549248995"/>
    <x v="1"/>
    <x v="2"/>
    <n v="119245"/>
  </r>
  <r>
    <s v="Кузнецов Михаил Викторович"/>
    <n v="0.54548511404564937"/>
    <x v="1"/>
    <x v="2"/>
    <n v="221424"/>
  </r>
  <r>
    <s v="Зайцев Андрей Евгеньевич"/>
    <n v="0.51653151051229795"/>
    <x v="1"/>
    <x v="2"/>
    <n v="191809"/>
  </r>
  <r>
    <s v="Волков Вадим Романович"/>
    <n v="0.50351159740307982"/>
    <x v="1"/>
    <x v="2"/>
    <n v="118709"/>
  </r>
  <r>
    <s v="Орлова Людмила Максимовна"/>
    <n v="0.47436753501106549"/>
    <x v="1"/>
    <x v="2"/>
    <n v="120736"/>
  </r>
  <r>
    <s v="Николаев Андрей Артемович"/>
    <n v="0.45902550293166905"/>
    <x v="1"/>
    <x v="2"/>
    <n v="200589"/>
  </r>
  <r>
    <s v="Степанов Александр Федорович"/>
    <n v="0.38975499739401037"/>
    <x v="1"/>
    <x v="2"/>
    <n v="155643"/>
  </r>
  <r>
    <s v="Комаров Виктор Олегович"/>
    <n v="0.34918146881547629"/>
    <x v="1"/>
    <x v="2"/>
    <n v="177921"/>
  </r>
  <r>
    <s v="Степанов Алексей Антонович"/>
    <n v="9.6111122112925398E-2"/>
    <x v="2"/>
    <x v="0"/>
    <n v="104913"/>
  </r>
  <r>
    <s v="Орлова Алина Павловна"/>
    <n v="3.436523755063562E-2"/>
    <x v="2"/>
    <x v="0"/>
    <n v="106403"/>
  </r>
  <r>
    <s v="Алексеев Олег Алексеевич"/>
    <n v="3.0429831537543778E-2"/>
    <x v="2"/>
    <x v="0"/>
    <n v="112219"/>
  </r>
  <r>
    <s v="Иванова Виктория Олеговна"/>
    <n v="2.9705098318978492E-2"/>
    <x v="2"/>
    <x v="0"/>
    <n v="100275"/>
  </r>
  <r>
    <s v="Степанова Людмила Антоновна"/>
    <n v="2.9171726039697081E-2"/>
    <x v="2"/>
    <x v="0"/>
    <n v="111082"/>
  </r>
  <r>
    <s v="Степанов Илья Владимирович"/>
    <n v="2.7700169725873847E-2"/>
    <x v="2"/>
    <x v="0"/>
    <n v="98666"/>
  </r>
  <r>
    <s v="Яковлева Ирина Денисовна"/>
    <n v="2.5788363805792792E-2"/>
    <x v="2"/>
    <x v="0"/>
    <n v="114642"/>
  </r>
  <r>
    <s v="Андреев Дмитрий Николаевич"/>
    <n v="2.5452023233169078E-2"/>
    <x v="2"/>
    <x v="0"/>
    <n v="104601"/>
  </r>
  <r>
    <s v="Федоров Илья Александрович"/>
    <n v="2.5435447290728067E-2"/>
    <x v="2"/>
    <x v="0"/>
    <n v="110356"/>
  </r>
  <r>
    <s v="Васильев Евгений Сергеевич"/>
    <n v="2.5395726314062877E-2"/>
    <x v="2"/>
    <x v="0"/>
    <n v="99682"/>
  </r>
  <r>
    <s v="Новикова Александра Алексеевна"/>
    <n v="2.4973873187390853E-2"/>
    <x v="2"/>
    <x v="0"/>
    <n v="115364"/>
  </r>
  <r>
    <s v="Семенова Мария Федоровна"/>
    <n v="2.4620589046966262E-2"/>
    <x v="2"/>
    <x v="0"/>
    <n v="110983"/>
  </r>
  <r>
    <s v="Захарова Анна Павловна"/>
    <n v="2.273458326054028E-2"/>
    <x v="2"/>
    <x v="0"/>
    <n v="101671"/>
  </r>
  <r>
    <s v="Куликов Борис Артемович"/>
    <n v="2.1100071069105168E-2"/>
    <x v="2"/>
    <x v="0"/>
    <n v="107537"/>
  </r>
  <r>
    <s v="Волкова Юлия Евгеньевна"/>
    <n v="1.9502170943277986E-2"/>
    <x v="2"/>
    <x v="0"/>
    <n v="98661"/>
  </r>
  <r>
    <s v="Егоров Алексей Артемович"/>
    <n v="1.9328189344935624E-2"/>
    <x v="2"/>
    <x v="0"/>
    <n v="112479"/>
  </r>
  <r>
    <s v="Воробьев Андрей Дмитриевич"/>
    <n v="1.6866548288562069E-2"/>
    <x v="2"/>
    <x v="0"/>
    <n v="96997"/>
  </r>
  <r>
    <s v="Комаров Владимир Евгеньевич"/>
    <n v="0.20240574167199726"/>
    <x v="2"/>
    <x v="1"/>
    <n v="82508"/>
  </r>
  <r>
    <s v="Макарова Мария Андреевна"/>
    <n v="0.18698906538326937"/>
    <x v="2"/>
    <x v="1"/>
    <n v="103005"/>
  </r>
  <r>
    <s v="Соловьева Виктория Максимовна"/>
    <n v="0.18428656834209881"/>
    <x v="2"/>
    <x v="1"/>
    <n v="88186"/>
  </r>
  <r>
    <s v="Баранова Светлана Владимировна"/>
    <n v="0.18321202616394353"/>
    <x v="2"/>
    <x v="1"/>
    <n v="115286"/>
  </r>
  <r>
    <s v="Зайцева Валерия Максимовна"/>
    <n v="0.18296992926193303"/>
    <x v="2"/>
    <x v="1"/>
    <n v="98234"/>
  </r>
  <r>
    <s v="Лебедева Юлия Олеговна"/>
    <n v="0.17714523592316919"/>
    <x v="2"/>
    <x v="1"/>
    <n v="106019"/>
  </r>
  <r>
    <s v="Соловьева Елена Максимовна"/>
    <n v="0.17626513715137468"/>
    <x v="2"/>
    <x v="1"/>
    <n v="108043"/>
  </r>
  <r>
    <s v="Козлова Полина Павловна"/>
    <n v="0.1680975340317131"/>
    <x v="2"/>
    <x v="1"/>
    <n v="100218"/>
  </r>
  <r>
    <s v="Воробьева Юлия Евгеньевна"/>
    <n v="0.16434575606320392"/>
    <x v="2"/>
    <x v="1"/>
    <n v="106517"/>
  </r>
  <r>
    <s v="Степанов Евгений Максимович"/>
    <n v="0.1589361966104188"/>
    <x v="2"/>
    <x v="1"/>
    <n v="101145"/>
  </r>
  <r>
    <s v="Федоров Никита Игоревич"/>
    <n v="0.15337885922223626"/>
    <x v="2"/>
    <x v="1"/>
    <n v="106579"/>
  </r>
  <r>
    <s v="Захаров Иван Александрович"/>
    <n v="0.10193131105623116"/>
    <x v="2"/>
    <x v="1"/>
    <n v="104402"/>
  </r>
  <r>
    <s v="Романов Сергей Михайлович"/>
    <n v="0.82178279580874225"/>
    <x v="2"/>
    <x v="2"/>
    <n v="98997"/>
  </r>
  <r>
    <s v="Сидоров Павел Романович"/>
    <n v="0.75220104766332541"/>
    <x v="2"/>
    <x v="2"/>
    <n v="101734"/>
  </r>
  <r>
    <s v="Соловьев Никита Ильич"/>
    <n v="0.67482887901111477"/>
    <x v="2"/>
    <x v="2"/>
    <n v="95990"/>
  </r>
  <r>
    <s v="Ковалева Софья Дмитриевна"/>
    <n v="0.62656003248829828"/>
    <x v="2"/>
    <x v="2"/>
    <n v="105613"/>
  </r>
  <r>
    <s v="Попов Николай Максимович"/>
    <n v="0.62533619160086773"/>
    <x v="2"/>
    <x v="2"/>
    <n v="104868"/>
  </r>
  <r>
    <s v="Андреева Екатерина Денисовна"/>
    <n v="0.621077833011492"/>
    <x v="2"/>
    <x v="2"/>
    <n v="108319"/>
  </r>
  <r>
    <s v="Павлова Дарья Александровна"/>
    <n v="0.60722408987978749"/>
    <x v="2"/>
    <x v="2"/>
    <n v="105226"/>
  </r>
  <r>
    <s v="Соловьев Евгений Денисович"/>
    <n v="0.59740991324476056"/>
    <x v="2"/>
    <x v="2"/>
    <n v="110455"/>
  </r>
  <r>
    <s v="Соловьев Антон Ильич"/>
    <n v="0.57934564750573214"/>
    <x v="2"/>
    <x v="2"/>
    <n v="106567"/>
  </r>
  <r>
    <s v="Новиков Дмитрий Олегович"/>
    <n v="0.57497454381122148"/>
    <x v="2"/>
    <x v="2"/>
    <n v="86108"/>
  </r>
  <r>
    <s v="Павлов Юрий Борисович"/>
    <n v="0.55428297814752681"/>
    <x v="2"/>
    <x v="2"/>
    <n v="109979"/>
  </r>
  <r>
    <s v="Лебедев Евгений Иванович"/>
    <n v="0.54807100090164007"/>
    <x v="2"/>
    <x v="2"/>
    <n v="91438"/>
  </r>
  <r>
    <s v="Егорова Анна Ильинична"/>
    <n v="0.44783867030006025"/>
    <x v="2"/>
    <x v="2"/>
    <n v="979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ECEC8-F79C-4511-A01F-954A43E7E417}" name="Сводная таблица13" cacheId="31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X2:AA6" firstHeaderRow="1" firstDataRow="2" firstDataCol="1"/>
  <pivotFields count="5">
    <pivotField showAll="0"/>
    <pivotField numFmtId="10"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Сумма по полю Сумм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ED565-23E6-45B0-90BB-965030BC5B66}" name="Сводная таблица11" cacheId="25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A1:B238" firstHeaderRow="1" firstDataRow="1" firstDataCol="1"/>
  <pivotFields count="7">
    <pivotField showAll="0"/>
    <pivotField axis="axisRow" showAll="0">
      <items count="238">
        <item x="158"/>
        <item x="214"/>
        <item x="33"/>
        <item x="222"/>
        <item x="128"/>
        <item x="69"/>
        <item x="197"/>
        <item x="53"/>
        <item x="189"/>
        <item x="2"/>
        <item x="206"/>
        <item x="166"/>
        <item x="134"/>
        <item x="26"/>
        <item x="32"/>
        <item x="3"/>
        <item x="148"/>
        <item x="173"/>
        <item x="22"/>
        <item x="83"/>
        <item x="101"/>
        <item x="176"/>
        <item x="174"/>
        <item x="178"/>
        <item x="150"/>
        <item x="45"/>
        <item x="97"/>
        <item x="208"/>
        <item x="71"/>
        <item x="167"/>
        <item x="233"/>
        <item x="226"/>
        <item x="49"/>
        <item x="140"/>
        <item x="147"/>
        <item x="120"/>
        <item x="217"/>
        <item x="215"/>
        <item x="20"/>
        <item x="29"/>
        <item x="9"/>
        <item x="191"/>
        <item x="105"/>
        <item x="137"/>
        <item x="216"/>
        <item x="165"/>
        <item x="104"/>
        <item x="142"/>
        <item x="194"/>
        <item x="108"/>
        <item x="159"/>
        <item x="100"/>
        <item x="74"/>
        <item x="56"/>
        <item x="218"/>
        <item x="34"/>
        <item x="28"/>
        <item x="94"/>
        <item x="168"/>
        <item x="6"/>
        <item x="57"/>
        <item x="55"/>
        <item x="200"/>
        <item x="154"/>
        <item x="50"/>
        <item x="7"/>
        <item x="1"/>
        <item x="129"/>
        <item x="87"/>
        <item x="79"/>
        <item x="31"/>
        <item x="86"/>
        <item x="103"/>
        <item x="111"/>
        <item x="225"/>
        <item x="179"/>
        <item x="198"/>
        <item x="85"/>
        <item x="47"/>
        <item x="171"/>
        <item x="182"/>
        <item x="192"/>
        <item x="73"/>
        <item x="169"/>
        <item x="88"/>
        <item x="133"/>
        <item x="39"/>
        <item x="81"/>
        <item x="89"/>
        <item x="46"/>
        <item x="64"/>
        <item x="201"/>
        <item x="109"/>
        <item x="58"/>
        <item x="82"/>
        <item x="59"/>
        <item x="35"/>
        <item x="135"/>
        <item x="196"/>
        <item x="127"/>
        <item x="84"/>
        <item x="77"/>
        <item x="183"/>
        <item x="60"/>
        <item x="61"/>
        <item x="190"/>
        <item x="223"/>
        <item x="118"/>
        <item x="62"/>
        <item x="146"/>
        <item x="157"/>
        <item x="164"/>
        <item x="112"/>
        <item x="51"/>
        <item x="184"/>
        <item x="211"/>
        <item x="17"/>
        <item x="78"/>
        <item x="236"/>
        <item x="125"/>
        <item x="13"/>
        <item x="18"/>
        <item x="23"/>
        <item x="136"/>
        <item x="175"/>
        <item x="203"/>
        <item x="37"/>
        <item x="130"/>
        <item x="151"/>
        <item x="98"/>
        <item x="229"/>
        <item x="141"/>
        <item x="234"/>
        <item x="219"/>
        <item x="220"/>
        <item x="76"/>
        <item x="116"/>
        <item x="145"/>
        <item x="227"/>
        <item x="204"/>
        <item x="131"/>
        <item x="230"/>
        <item x="10"/>
        <item x="185"/>
        <item x="202"/>
        <item x="170"/>
        <item x="52"/>
        <item x="92"/>
        <item x="213"/>
        <item x="90"/>
        <item x="199"/>
        <item x="4"/>
        <item x="231"/>
        <item x="8"/>
        <item x="95"/>
        <item x="121"/>
        <item x="75"/>
        <item x="122"/>
        <item x="113"/>
        <item x="228"/>
        <item x="48"/>
        <item x="152"/>
        <item x="181"/>
        <item x="224"/>
        <item x="19"/>
        <item x="143"/>
        <item x="114"/>
        <item x="144"/>
        <item x="155"/>
        <item x="210"/>
        <item x="161"/>
        <item x="153"/>
        <item x="99"/>
        <item x="65"/>
        <item x="42"/>
        <item x="180"/>
        <item x="163"/>
        <item x="66"/>
        <item x="221"/>
        <item x="160"/>
        <item x="14"/>
        <item x="24"/>
        <item x="149"/>
        <item x="162"/>
        <item x="193"/>
        <item x="156"/>
        <item x="177"/>
        <item x="106"/>
        <item x="188"/>
        <item x="205"/>
        <item x="5"/>
        <item x="15"/>
        <item x="67"/>
        <item x="72"/>
        <item x="186"/>
        <item x="132"/>
        <item x="207"/>
        <item x="123"/>
        <item x="93"/>
        <item x="43"/>
        <item x="209"/>
        <item x="124"/>
        <item x="40"/>
        <item x="117"/>
        <item x="0"/>
        <item x="16"/>
        <item x="70"/>
        <item x="27"/>
        <item x="38"/>
        <item x="54"/>
        <item x="187"/>
        <item x="195"/>
        <item x="44"/>
        <item x="41"/>
        <item x="25"/>
        <item x="139"/>
        <item x="115"/>
        <item x="126"/>
        <item x="119"/>
        <item x="68"/>
        <item x="63"/>
        <item x="110"/>
        <item x="96"/>
        <item x="235"/>
        <item x="212"/>
        <item x="21"/>
        <item x="102"/>
        <item x="36"/>
        <item x="12"/>
        <item x="91"/>
        <item x="172"/>
        <item x="232"/>
        <item x="80"/>
        <item x="11"/>
        <item x="30"/>
        <item x="107"/>
        <item x="138"/>
        <item t="default"/>
      </items>
    </pivotField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3" showAl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Items count="1">
    <i/>
  </colItems>
  <dataFields count="1">
    <dataField name="Сумма по полю Сумма сделки" fld="3" baseField="0" baseItem="0"/>
  </dataFields>
  <formats count="6">
    <format dxfId="46">
      <pivotArea dataOnly="0" labelOnly="1" fieldPosition="0">
        <references count="1">
          <reference field="1" count="1">
            <x v="0"/>
          </reference>
        </references>
      </pivotArea>
    </format>
    <format dxfId="45">
      <pivotArea collapsedLevelsAreSubtotals="1" fieldPosition="0">
        <references count="1">
          <reference field="1" count="1">
            <x v="0"/>
          </reference>
        </references>
      </pivotArea>
    </format>
    <format dxfId="44">
      <pivotArea collapsedLevelsAreSubtotals="1" fieldPosition="0">
        <references count="1">
          <reference field="1" count="1">
            <x v="40"/>
          </reference>
        </references>
      </pivotArea>
    </format>
    <format dxfId="43">
      <pivotArea dataOnly="0" labelOnly="1" fieldPosition="0">
        <references count="1">
          <reference field="1" count="1">
            <x v="40"/>
          </reference>
        </references>
      </pivotArea>
    </format>
    <format dxfId="42">
      <pivotArea collapsedLevelsAreSubtotals="1" fieldPosition="0">
        <references count="1">
          <reference field="1" count="1">
            <x v="0"/>
          </reference>
        </references>
      </pivotArea>
    </format>
    <format dxfId="41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5F0C8-868B-4285-9DAA-AF5E1A2EAD2E}" name="Сводная таблица1" cacheId="25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A22:C42" firstHeaderRow="0" firstDataRow="1" firstDataCol="1"/>
  <pivotFields count="7">
    <pivotField axis="axisRow" showAll="0" sortType="descending">
      <items count="21">
        <item x="18"/>
        <item x="12"/>
        <item x="16"/>
        <item x="0"/>
        <item x="9"/>
        <item x="6"/>
        <item x="1"/>
        <item x="19"/>
        <item x="10"/>
        <item x="11"/>
        <item x="2"/>
        <item x="13"/>
        <item x="14"/>
        <item x="3"/>
        <item x="17"/>
        <item x="8"/>
        <item x="7"/>
        <item x="15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3" showAl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 v="12"/>
    </i>
    <i>
      <x/>
    </i>
    <i>
      <x v="2"/>
    </i>
    <i>
      <x v="17"/>
    </i>
    <i>
      <x v="7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123B3-975E-4A4F-A2F1-A7344539C555}" name="Сводная таблица4" cacheId="25" applyNumberFormats="0" applyBorderFormats="0" applyFontFormats="0" applyPatternFormats="0" applyAlignmentFormats="0" applyWidthHeightFormats="1" dataCaption="Значения" updatedVersion="7" minRefreshableVersion="3" rowGrandTotals="0" colGrandTotals="0" itemPrintTitles="1" createdVersion="7" indent="0" outline="1" outlineData="1" multipleFieldFilters="0">
  <location ref="A22:C42" firstHeaderRow="0" firstDataRow="1" firstDataCol="1"/>
  <pivotFields count="7">
    <pivotField axis="axisRow" dataField="1" showAll="0" sortType="descending">
      <items count="21">
        <item x="18"/>
        <item x="12"/>
        <item x="16"/>
        <item x="0"/>
        <item x="9"/>
        <item x="6"/>
        <item x="1"/>
        <item x="19"/>
        <item x="10"/>
        <item x="11"/>
        <item x="2"/>
        <item x="13"/>
        <item x="14"/>
        <item x="3"/>
        <item x="17"/>
        <item x="8"/>
        <item x="7"/>
        <item x="15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3" showAll="0"/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7"/>
    </i>
    <i>
      <x v="17"/>
    </i>
    <i>
      <x v="2"/>
    </i>
  </rowItems>
  <colFields count="1">
    <field x="-2"/>
  </colFields>
  <colItems count="2">
    <i>
      <x/>
    </i>
    <i i="1">
      <x v="1"/>
    </i>
  </colItems>
  <dataFields count="2">
    <dataField name="Количество по полю ФИО менеджера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5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6"/>
  <sheetViews>
    <sheetView zoomScale="85" zoomScaleNormal="85" workbookViewId="0">
      <selection activeCell="B18" sqref="B18"/>
    </sheetView>
  </sheetViews>
  <sheetFormatPr defaultRowHeight="1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>
      <c r="A2" t="s">
        <v>4</v>
      </c>
      <c r="B2" t="s">
        <v>57</v>
      </c>
      <c r="C2" s="9">
        <v>46023</v>
      </c>
      <c r="D2" s="10">
        <v>38987</v>
      </c>
    </row>
    <row r="3" spans="1:5">
      <c r="A3" t="s">
        <v>28</v>
      </c>
      <c r="B3" t="s">
        <v>64</v>
      </c>
      <c r="C3" s="9">
        <v>46023</v>
      </c>
      <c r="D3" s="10">
        <v>12029</v>
      </c>
    </row>
    <row r="4" spans="1:5">
      <c r="A4" t="s">
        <v>8</v>
      </c>
      <c r="B4" t="s">
        <v>65</v>
      </c>
      <c r="C4" s="9">
        <v>46023</v>
      </c>
      <c r="D4" s="10">
        <v>17042</v>
      </c>
    </row>
    <row r="5" spans="1:5">
      <c r="A5" t="s">
        <v>6</v>
      </c>
      <c r="B5" t="s">
        <v>66</v>
      </c>
      <c r="C5" s="9">
        <v>46023</v>
      </c>
      <c r="D5" s="10">
        <v>15584</v>
      </c>
    </row>
    <row r="6" spans="1:5">
      <c r="A6" t="s">
        <v>9</v>
      </c>
      <c r="B6" t="s">
        <v>67</v>
      </c>
      <c r="C6" s="9">
        <v>46023</v>
      </c>
      <c r="D6" s="10">
        <v>17202</v>
      </c>
    </row>
    <row r="7" spans="1:5">
      <c r="A7" t="s">
        <v>9</v>
      </c>
      <c r="B7" t="s">
        <v>68</v>
      </c>
      <c r="C7" s="9">
        <v>46023</v>
      </c>
      <c r="D7" s="10">
        <v>39374</v>
      </c>
    </row>
    <row r="8" spans="1:5">
      <c r="A8" t="s">
        <v>9</v>
      </c>
      <c r="B8" t="s">
        <v>68</v>
      </c>
      <c r="C8" s="9">
        <v>46023</v>
      </c>
      <c r="D8" s="10">
        <v>45396</v>
      </c>
    </row>
    <row r="9" spans="1:5">
      <c r="A9" t="s">
        <v>5</v>
      </c>
      <c r="B9" t="s">
        <v>69</v>
      </c>
      <c r="C9" s="9">
        <v>46023</v>
      </c>
      <c r="D9" s="10">
        <v>41529</v>
      </c>
    </row>
    <row r="10" spans="1:5">
      <c r="A10" t="s">
        <v>5</v>
      </c>
      <c r="B10" t="s">
        <v>70</v>
      </c>
      <c r="C10" s="9">
        <v>46023</v>
      </c>
      <c r="D10" s="10">
        <v>37982</v>
      </c>
    </row>
    <row r="11" spans="1:5">
      <c r="A11" t="s">
        <v>5</v>
      </c>
      <c r="B11" t="s">
        <v>71</v>
      </c>
      <c r="C11" s="9">
        <v>46023</v>
      </c>
      <c r="D11" s="10">
        <v>34064</v>
      </c>
    </row>
    <row r="12" spans="1:5">
      <c r="A12" t="s">
        <v>4</v>
      </c>
      <c r="B12" t="s">
        <v>72</v>
      </c>
      <c r="C12" s="9">
        <v>46024</v>
      </c>
      <c r="D12" s="10">
        <v>51016</v>
      </c>
    </row>
    <row r="13" spans="1:5">
      <c r="A13" t="s">
        <v>25</v>
      </c>
      <c r="B13" t="s">
        <v>73</v>
      </c>
      <c r="C13" s="9">
        <v>46024</v>
      </c>
      <c r="D13" s="10">
        <v>15263</v>
      </c>
    </row>
    <row r="14" spans="1:5">
      <c r="A14" t="s">
        <v>28</v>
      </c>
      <c r="B14" t="s">
        <v>74</v>
      </c>
      <c r="C14" s="9">
        <v>46024</v>
      </c>
      <c r="D14" s="10">
        <v>15008</v>
      </c>
    </row>
    <row r="15" spans="1:5">
      <c r="A15" t="s">
        <v>6</v>
      </c>
      <c r="B15" t="s">
        <v>75</v>
      </c>
      <c r="C15" s="9">
        <v>46024</v>
      </c>
      <c r="D15" s="10">
        <v>15410</v>
      </c>
    </row>
    <row r="16" spans="1:5">
      <c r="A16" t="s">
        <v>7</v>
      </c>
      <c r="B16" t="s">
        <v>76</v>
      </c>
      <c r="C16" s="9">
        <v>46024</v>
      </c>
      <c r="D16" s="10">
        <v>44223</v>
      </c>
    </row>
    <row r="17" spans="1:4">
      <c r="A17" t="s">
        <v>7</v>
      </c>
      <c r="B17" t="s">
        <v>77</v>
      </c>
      <c r="C17" s="9">
        <v>46024</v>
      </c>
      <c r="D17" s="10">
        <v>18021</v>
      </c>
    </row>
    <row r="18" spans="1:4">
      <c r="A18" t="s">
        <v>7</v>
      </c>
      <c r="B18" t="s">
        <v>78</v>
      </c>
      <c r="C18" s="9">
        <v>46024</v>
      </c>
      <c r="D18" s="10">
        <v>24319</v>
      </c>
    </row>
    <row r="19" spans="1:4">
      <c r="A19" t="s">
        <v>9</v>
      </c>
      <c r="B19" t="s">
        <v>79</v>
      </c>
      <c r="C19" s="9">
        <v>46024</v>
      </c>
      <c r="D19" s="10">
        <v>31217</v>
      </c>
    </row>
    <row r="20" spans="1:4">
      <c r="A20" t="s">
        <v>5</v>
      </c>
      <c r="B20" t="s">
        <v>72</v>
      </c>
      <c r="C20" s="9">
        <v>46024</v>
      </c>
      <c r="D20" s="10">
        <v>44858</v>
      </c>
    </row>
    <row r="21" spans="1:4">
      <c r="A21" t="s">
        <v>5</v>
      </c>
      <c r="B21" t="s">
        <v>80</v>
      </c>
      <c r="C21" s="9">
        <v>46024</v>
      </c>
      <c r="D21" s="10">
        <v>39833</v>
      </c>
    </row>
    <row r="22" spans="1:4">
      <c r="A22" t="s">
        <v>5</v>
      </c>
      <c r="B22" t="s">
        <v>81</v>
      </c>
      <c r="C22" s="9">
        <v>46024</v>
      </c>
      <c r="D22" s="10">
        <v>34194</v>
      </c>
    </row>
    <row r="23" spans="1:4">
      <c r="A23" t="s">
        <v>5</v>
      </c>
      <c r="B23" t="s">
        <v>71</v>
      </c>
      <c r="C23" s="9">
        <v>46024</v>
      </c>
      <c r="D23" s="10">
        <v>40847</v>
      </c>
    </row>
    <row r="24" spans="1:4">
      <c r="A24" t="s">
        <v>5</v>
      </c>
      <c r="B24" t="s">
        <v>82</v>
      </c>
      <c r="C24" s="9">
        <v>46024</v>
      </c>
      <c r="D24" s="10">
        <v>42892</v>
      </c>
    </row>
    <row r="25" spans="1:4">
      <c r="A25" t="s">
        <v>6</v>
      </c>
      <c r="B25" t="s">
        <v>83</v>
      </c>
      <c r="C25" s="9">
        <v>46025</v>
      </c>
      <c r="D25" s="10">
        <v>18138</v>
      </c>
    </row>
    <row r="26" spans="1:4">
      <c r="A26" t="s">
        <v>29</v>
      </c>
      <c r="B26" t="s">
        <v>84</v>
      </c>
      <c r="C26" s="9">
        <v>46025</v>
      </c>
      <c r="D26" s="10">
        <v>15034</v>
      </c>
    </row>
    <row r="27" spans="1:4">
      <c r="A27" t="s">
        <v>9</v>
      </c>
      <c r="B27" t="s">
        <v>85</v>
      </c>
      <c r="C27" s="9">
        <v>46025</v>
      </c>
      <c r="D27" s="10">
        <v>28205</v>
      </c>
    </row>
    <row r="28" spans="1:4">
      <c r="A28" t="s">
        <v>9</v>
      </c>
      <c r="B28" t="s">
        <v>86</v>
      </c>
      <c r="C28" s="9">
        <v>46025</v>
      </c>
      <c r="D28" s="10">
        <v>33501</v>
      </c>
    </row>
    <row r="29" spans="1:4">
      <c r="A29" t="s">
        <v>5</v>
      </c>
      <c r="B29" t="s">
        <v>87</v>
      </c>
      <c r="C29" s="9">
        <v>46025</v>
      </c>
      <c r="D29" s="10">
        <v>39028</v>
      </c>
    </row>
    <row r="30" spans="1:4">
      <c r="A30" t="s">
        <v>5</v>
      </c>
      <c r="B30" t="s">
        <v>88</v>
      </c>
      <c r="C30" s="9">
        <v>46025</v>
      </c>
      <c r="D30" s="10">
        <v>52654</v>
      </c>
    </row>
    <row r="31" spans="1:4">
      <c r="A31" t="s">
        <v>4</v>
      </c>
      <c r="B31" t="s">
        <v>89</v>
      </c>
      <c r="C31" s="9">
        <v>46026</v>
      </c>
      <c r="D31" s="10">
        <v>33194</v>
      </c>
    </row>
    <row r="32" spans="1:4">
      <c r="A32" t="s">
        <v>31</v>
      </c>
      <c r="B32" t="s">
        <v>90</v>
      </c>
      <c r="C32" s="9">
        <v>46026</v>
      </c>
      <c r="D32" s="10">
        <v>12366</v>
      </c>
    </row>
    <row r="33" spans="1:4">
      <c r="A33" t="s">
        <v>26</v>
      </c>
      <c r="B33" t="s">
        <v>91</v>
      </c>
      <c r="C33" s="9">
        <v>46026</v>
      </c>
      <c r="D33" s="10">
        <v>10744</v>
      </c>
    </row>
    <row r="34" spans="1:4">
      <c r="A34" t="s">
        <v>8</v>
      </c>
      <c r="B34" t="s">
        <v>92</v>
      </c>
      <c r="C34" s="9">
        <v>46026</v>
      </c>
      <c r="D34" s="10">
        <v>35946</v>
      </c>
    </row>
    <row r="35" spans="1:4">
      <c r="A35" t="s">
        <v>8</v>
      </c>
      <c r="B35" t="s">
        <v>93</v>
      </c>
      <c r="C35" s="9">
        <v>46026</v>
      </c>
      <c r="D35" s="10">
        <v>18892</v>
      </c>
    </row>
    <row r="36" spans="1:4">
      <c r="A36" t="s">
        <v>6</v>
      </c>
      <c r="B36" t="s">
        <v>94</v>
      </c>
      <c r="C36" s="9">
        <v>46026</v>
      </c>
      <c r="D36" s="10">
        <v>16650</v>
      </c>
    </row>
    <row r="37" spans="1:4">
      <c r="A37" t="s">
        <v>29</v>
      </c>
      <c r="B37" t="s">
        <v>95</v>
      </c>
      <c r="C37" s="9">
        <v>46026</v>
      </c>
      <c r="D37" s="10">
        <v>18159</v>
      </c>
    </row>
    <row r="38" spans="1:4">
      <c r="A38" t="s">
        <v>7</v>
      </c>
      <c r="B38" t="s">
        <v>96</v>
      </c>
      <c r="C38" s="9">
        <v>46026</v>
      </c>
      <c r="D38" s="10">
        <v>31494</v>
      </c>
    </row>
    <row r="39" spans="1:4">
      <c r="A39" t="s">
        <v>7</v>
      </c>
      <c r="B39" t="s">
        <v>97</v>
      </c>
      <c r="C39" s="9">
        <v>46026</v>
      </c>
      <c r="D39" s="10">
        <v>25605</v>
      </c>
    </row>
    <row r="40" spans="1:4">
      <c r="A40" t="s">
        <v>7</v>
      </c>
      <c r="B40" t="s">
        <v>98</v>
      </c>
      <c r="C40" s="9">
        <v>46026</v>
      </c>
      <c r="D40" s="10">
        <v>12884</v>
      </c>
    </row>
    <row r="41" spans="1:4">
      <c r="A41" t="s">
        <v>7</v>
      </c>
      <c r="B41" t="s">
        <v>99</v>
      </c>
      <c r="C41" s="9">
        <v>46026</v>
      </c>
      <c r="D41" s="10">
        <v>26481</v>
      </c>
    </row>
    <row r="42" spans="1:4">
      <c r="A42" t="s">
        <v>9</v>
      </c>
      <c r="B42" t="s">
        <v>100</v>
      </c>
      <c r="C42" s="9">
        <v>46026</v>
      </c>
      <c r="D42" s="10">
        <v>24458</v>
      </c>
    </row>
    <row r="43" spans="1:4">
      <c r="A43" t="s">
        <v>9</v>
      </c>
      <c r="B43" t="s">
        <v>101</v>
      </c>
      <c r="C43" s="9">
        <v>46026</v>
      </c>
      <c r="D43" s="10">
        <v>34032</v>
      </c>
    </row>
    <row r="44" spans="1:4">
      <c r="A44" t="s">
        <v>5</v>
      </c>
      <c r="B44" t="s">
        <v>102</v>
      </c>
      <c r="C44" s="9">
        <v>46026</v>
      </c>
      <c r="D44" s="10">
        <v>49752</v>
      </c>
    </row>
    <row r="45" spans="1:4">
      <c r="A45" t="s">
        <v>5</v>
      </c>
      <c r="B45" t="s">
        <v>103</v>
      </c>
      <c r="C45" s="9">
        <v>46026</v>
      </c>
      <c r="D45" s="10">
        <v>39007</v>
      </c>
    </row>
    <row r="46" spans="1:4">
      <c r="A46" t="s">
        <v>5</v>
      </c>
      <c r="B46" t="s">
        <v>104</v>
      </c>
      <c r="C46" s="9">
        <v>46026</v>
      </c>
      <c r="D46" s="10">
        <v>32378</v>
      </c>
    </row>
    <row r="47" spans="1:4">
      <c r="A47" t="s">
        <v>4</v>
      </c>
      <c r="B47" t="s">
        <v>105</v>
      </c>
      <c r="C47" s="9">
        <v>46027</v>
      </c>
      <c r="D47" s="10">
        <v>27767</v>
      </c>
    </row>
    <row r="48" spans="1:4">
      <c r="A48" t="s">
        <v>4</v>
      </c>
      <c r="B48" t="s">
        <v>106</v>
      </c>
      <c r="C48" s="9">
        <v>46027</v>
      </c>
      <c r="D48" s="10">
        <v>32050</v>
      </c>
    </row>
    <row r="49" spans="1:4">
      <c r="A49" t="s">
        <v>31</v>
      </c>
      <c r="B49" t="s">
        <v>107</v>
      </c>
      <c r="C49" s="9">
        <v>46027</v>
      </c>
      <c r="D49" s="10">
        <v>11407</v>
      </c>
    </row>
    <row r="50" spans="1:4">
      <c r="A50" t="s">
        <v>30</v>
      </c>
      <c r="B50" t="s">
        <v>108</v>
      </c>
      <c r="C50" s="9">
        <v>46027</v>
      </c>
      <c r="D50" s="10">
        <v>10724</v>
      </c>
    </row>
    <row r="51" spans="1:4">
      <c r="A51" t="s">
        <v>30</v>
      </c>
      <c r="B51" t="s">
        <v>60</v>
      </c>
      <c r="C51" s="9">
        <v>46027</v>
      </c>
      <c r="D51" s="10">
        <v>5200</v>
      </c>
    </row>
    <row r="52" spans="1:4">
      <c r="A52" t="s">
        <v>6</v>
      </c>
      <c r="B52" t="s">
        <v>61</v>
      </c>
      <c r="C52" s="9">
        <v>46027</v>
      </c>
      <c r="D52" s="10">
        <v>18305</v>
      </c>
    </row>
    <row r="53" spans="1:4">
      <c r="A53" t="s">
        <v>29</v>
      </c>
      <c r="B53" t="s">
        <v>109</v>
      </c>
      <c r="C53" s="9">
        <v>46027</v>
      </c>
      <c r="D53" s="10">
        <v>5446</v>
      </c>
    </row>
    <row r="54" spans="1:4">
      <c r="A54" t="s">
        <v>9</v>
      </c>
      <c r="B54" t="s">
        <v>110</v>
      </c>
      <c r="C54" s="9">
        <v>46027</v>
      </c>
      <c r="D54" s="10">
        <v>30025</v>
      </c>
    </row>
    <row r="55" spans="1:4">
      <c r="A55" t="s">
        <v>9</v>
      </c>
      <c r="B55" t="s">
        <v>111</v>
      </c>
      <c r="C55" s="9">
        <v>46027</v>
      </c>
      <c r="D55" s="10">
        <v>38194</v>
      </c>
    </row>
    <row r="56" spans="1:4">
      <c r="A56" t="s">
        <v>9</v>
      </c>
      <c r="B56" t="s">
        <v>112</v>
      </c>
      <c r="C56" s="9">
        <v>46027</v>
      </c>
      <c r="D56" s="10">
        <v>29359</v>
      </c>
    </row>
    <row r="57" spans="1:4">
      <c r="A57" t="s">
        <v>9</v>
      </c>
      <c r="B57" t="s">
        <v>113</v>
      </c>
      <c r="C57" s="9">
        <v>46027</v>
      </c>
      <c r="D57" s="10">
        <v>49625</v>
      </c>
    </row>
    <row r="58" spans="1:4">
      <c r="A58" t="s">
        <v>5</v>
      </c>
      <c r="B58" t="s">
        <v>114</v>
      </c>
      <c r="C58" s="9">
        <v>46027</v>
      </c>
      <c r="D58" s="10">
        <v>33140</v>
      </c>
    </row>
    <row r="59" spans="1:4">
      <c r="A59" t="s">
        <v>27</v>
      </c>
      <c r="B59" t="s">
        <v>115</v>
      </c>
      <c r="C59" s="9">
        <v>46028</v>
      </c>
      <c r="D59" s="10">
        <v>13350</v>
      </c>
    </row>
    <row r="60" spans="1:4">
      <c r="A60" t="s">
        <v>4</v>
      </c>
      <c r="B60" t="s">
        <v>116</v>
      </c>
      <c r="C60" s="9">
        <v>46028</v>
      </c>
      <c r="D60" s="10">
        <v>34207</v>
      </c>
    </row>
    <row r="61" spans="1:4">
      <c r="A61" t="s">
        <v>25</v>
      </c>
      <c r="B61" t="s">
        <v>117</v>
      </c>
      <c r="C61" s="9">
        <v>46028</v>
      </c>
      <c r="D61" s="10">
        <v>15026</v>
      </c>
    </row>
    <row r="62" spans="1:4">
      <c r="A62" t="s">
        <v>32</v>
      </c>
      <c r="B62" t="s">
        <v>118</v>
      </c>
      <c r="C62" s="9">
        <v>46028</v>
      </c>
      <c r="D62" s="10">
        <v>5200</v>
      </c>
    </row>
    <row r="63" spans="1:4">
      <c r="A63" t="s">
        <v>7</v>
      </c>
      <c r="B63" t="s">
        <v>119</v>
      </c>
      <c r="C63" s="9">
        <v>46028</v>
      </c>
      <c r="D63" s="10">
        <v>23304</v>
      </c>
    </row>
    <row r="64" spans="1:4">
      <c r="A64" t="s">
        <v>9</v>
      </c>
      <c r="B64" t="s">
        <v>120</v>
      </c>
      <c r="C64" s="9">
        <v>46028</v>
      </c>
      <c r="D64" s="10">
        <v>41881</v>
      </c>
    </row>
    <row r="65" spans="1:4">
      <c r="A65" t="s">
        <v>9</v>
      </c>
      <c r="B65" t="s">
        <v>121</v>
      </c>
      <c r="C65" s="9">
        <v>46028</v>
      </c>
      <c r="D65" s="10">
        <v>45126</v>
      </c>
    </row>
    <row r="66" spans="1:4">
      <c r="A66" t="s">
        <v>5</v>
      </c>
      <c r="B66" t="s">
        <v>114</v>
      </c>
      <c r="C66" s="9">
        <v>46028</v>
      </c>
      <c r="D66" s="10">
        <v>38002</v>
      </c>
    </row>
    <row r="67" spans="1:4">
      <c r="A67" t="s">
        <v>5</v>
      </c>
      <c r="B67" t="s">
        <v>122</v>
      </c>
      <c r="C67" s="9">
        <v>46028</v>
      </c>
      <c r="D67" s="10">
        <v>41017</v>
      </c>
    </row>
    <row r="68" spans="1:4">
      <c r="A68" t="s">
        <v>5</v>
      </c>
      <c r="B68" t="s">
        <v>123</v>
      </c>
      <c r="C68" s="9">
        <v>46028</v>
      </c>
      <c r="D68" s="10">
        <v>56085</v>
      </c>
    </row>
    <row r="69" spans="1:4">
      <c r="A69" t="s">
        <v>5</v>
      </c>
      <c r="B69" t="s">
        <v>124</v>
      </c>
      <c r="C69" s="9">
        <v>46028</v>
      </c>
      <c r="D69" s="10">
        <v>39838</v>
      </c>
    </row>
    <row r="70" spans="1:4">
      <c r="A70" t="s">
        <v>27</v>
      </c>
      <c r="B70" t="s">
        <v>58</v>
      </c>
      <c r="C70" s="9">
        <v>46029</v>
      </c>
      <c r="D70" s="10">
        <v>26120</v>
      </c>
    </row>
    <row r="71" spans="1:4">
      <c r="A71" t="s">
        <v>8</v>
      </c>
      <c r="B71" t="s">
        <v>125</v>
      </c>
      <c r="C71" s="9">
        <v>46029</v>
      </c>
      <c r="D71" s="10">
        <v>20109</v>
      </c>
    </row>
    <row r="72" spans="1:4">
      <c r="A72" t="s">
        <v>34</v>
      </c>
      <c r="B72" t="s">
        <v>126</v>
      </c>
      <c r="C72" s="9">
        <v>46029</v>
      </c>
      <c r="D72" s="10">
        <v>5200</v>
      </c>
    </row>
    <row r="73" spans="1:4">
      <c r="A73" t="s">
        <v>5</v>
      </c>
      <c r="B73" t="s">
        <v>127</v>
      </c>
      <c r="C73" s="9">
        <v>46029</v>
      </c>
      <c r="D73" s="10">
        <v>44676</v>
      </c>
    </row>
    <row r="74" spans="1:4">
      <c r="A74" t="s">
        <v>5</v>
      </c>
      <c r="B74" t="s">
        <v>128</v>
      </c>
      <c r="C74" s="9">
        <v>46029</v>
      </c>
      <c r="D74" s="10">
        <v>33400</v>
      </c>
    </row>
    <row r="75" spans="1:4">
      <c r="A75" t="s">
        <v>31</v>
      </c>
      <c r="B75" t="s">
        <v>129</v>
      </c>
      <c r="C75" s="9">
        <v>46030</v>
      </c>
      <c r="D75" s="10">
        <v>12952</v>
      </c>
    </row>
    <row r="76" spans="1:4">
      <c r="A76" t="s">
        <v>31</v>
      </c>
      <c r="B76" t="s">
        <v>130</v>
      </c>
      <c r="C76" s="9">
        <v>46030</v>
      </c>
      <c r="D76" s="10">
        <v>22761</v>
      </c>
    </row>
    <row r="77" spans="1:4">
      <c r="A77" t="s">
        <v>28</v>
      </c>
      <c r="B77" t="s">
        <v>131</v>
      </c>
      <c r="C77" s="9">
        <v>46030</v>
      </c>
      <c r="D77" s="10">
        <v>12261</v>
      </c>
    </row>
    <row r="78" spans="1:4">
      <c r="A78" t="s">
        <v>6</v>
      </c>
      <c r="B78" t="s">
        <v>132</v>
      </c>
      <c r="C78" s="9">
        <v>46030</v>
      </c>
      <c r="D78" s="10">
        <v>21949</v>
      </c>
    </row>
    <row r="79" spans="1:4">
      <c r="A79" t="s">
        <v>29</v>
      </c>
      <c r="B79" t="s">
        <v>133</v>
      </c>
      <c r="C79" s="9">
        <v>46030</v>
      </c>
      <c r="D79" s="10">
        <v>18245</v>
      </c>
    </row>
    <row r="80" spans="1:4">
      <c r="A80" t="s">
        <v>9</v>
      </c>
      <c r="B80" t="s">
        <v>134</v>
      </c>
      <c r="C80" s="9">
        <v>46030</v>
      </c>
      <c r="D80" s="10">
        <v>48793</v>
      </c>
    </row>
    <row r="81" spans="1:4">
      <c r="A81" t="s">
        <v>9</v>
      </c>
      <c r="B81" t="s">
        <v>111</v>
      </c>
      <c r="C81" s="9">
        <v>46030</v>
      </c>
      <c r="D81" s="10">
        <v>37608</v>
      </c>
    </row>
    <row r="82" spans="1:4">
      <c r="A82" t="s">
        <v>28</v>
      </c>
      <c r="B82" t="s">
        <v>135</v>
      </c>
      <c r="C82" s="9">
        <v>46031</v>
      </c>
      <c r="D82" s="10">
        <v>8930</v>
      </c>
    </row>
    <row r="83" spans="1:4">
      <c r="A83" t="s">
        <v>6</v>
      </c>
      <c r="B83" t="s">
        <v>136</v>
      </c>
      <c r="C83" s="9">
        <v>46031</v>
      </c>
      <c r="D83" s="10">
        <v>11509</v>
      </c>
    </row>
    <row r="84" spans="1:4">
      <c r="A84" t="s">
        <v>9</v>
      </c>
      <c r="B84" t="s">
        <v>137</v>
      </c>
      <c r="C84" s="9">
        <v>46031</v>
      </c>
      <c r="D84" s="10">
        <v>41413</v>
      </c>
    </row>
    <row r="85" spans="1:4">
      <c r="A85" t="s">
        <v>9</v>
      </c>
      <c r="B85" t="s">
        <v>138</v>
      </c>
      <c r="C85" s="9">
        <v>46031</v>
      </c>
      <c r="D85" s="10">
        <v>34006</v>
      </c>
    </row>
    <row r="86" spans="1:4">
      <c r="A86" t="s">
        <v>5</v>
      </c>
      <c r="B86" t="s">
        <v>70</v>
      </c>
      <c r="C86" s="9">
        <v>46031</v>
      </c>
      <c r="D86" s="10">
        <v>47579</v>
      </c>
    </row>
    <row r="87" spans="1:4">
      <c r="A87" t="s">
        <v>5</v>
      </c>
      <c r="B87" t="s">
        <v>139</v>
      </c>
      <c r="C87" s="9">
        <v>46031</v>
      </c>
      <c r="D87" s="10">
        <v>45136</v>
      </c>
    </row>
    <row r="88" spans="1:4">
      <c r="A88" t="s">
        <v>5</v>
      </c>
      <c r="B88" t="s">
        <v>86</v>
      </c>
      <c r="C88" s="9">
        <v>46031</v>
      </c>
      <c r="D88" s="10">
        <v>37608</v>
      </c>
    </row>
    <row r="89" spans="1:4">
      <c r="A89" t="s">
        <v>5</v>
      </c>
      <c r="B89" t="s">
        <v>82</v>
      </c>
      <c r="C89" s="9">
        <v>46031</v>
      </c>
      <c r="D89" s="10">
        <v>41195</v>
      </c>
    </row>
    <row r="90" spans="1:4">
      <c r="A90" t="s">
        <v>5</v>
      </c>
      <c r="B90" t="s">
        <v>87</v>
      </c>
      <c r="C90" s="9">
        <v>46031</v>
      </c>
      <c r="D90" s="10">
        <v>37600</v>
      </c>
    </row>
    <row r="91" spans="1:4">
      <c r="A91" t="s">
        <v>5</v>
      </c>
      <c r="B91" t="s">
        <v>140</v>
      </c>
      <c r="C91" s="9">
        <v>46031</v>
      </c>
      <c r="D91" s="10">
        <v>52275</v>
      </c>
    </row>
    <row r="92" spans="1:4">
      <c r="A92" t="s">
        <v>27</v>
      </c>
      <c r="B92" t="s">
        <v>141</v>
      </c>
      <c r="C92" s="9">
        <v>46032</v>
      </c>
      <c r="D92" s="10">
        <v>12263</v>
      </c>
    </row>
    <row r="93" spans="1:4">
      <c r="A93" t="s">
        <v>4</v>
      </c>
      <c r="B93" t="s">
        <v>142</v>
      </c>
      <c r="C93" s="9">
        <v>46032</v>
      </c>
      <c r="D93" s="10">
        <v>14022</v>
      </c>
    </row>
    <row r="94" spans="1:4">
      <c r="A94" t="s">
        <v>26</v>
      </c>
      <c r="B94" t="s">
        <v>143</v>
      </c>
      <c r="C94" s="9">
        <v>46032</v>
      </c>
      <c r="D94" s="10">
        <v>16024</v>
      </c>
    </row>
    <row r="95" spans="1:4">
      <c r="A95" t="s">
        <v>8</v>
      </c>
      <c r="B95" t="s">
        <v>144</v>
      </c>
      <c r="C95" s="9">
        <v>46032</v>
      </c>
      <c r="D95" s="10">
        <v>6984</v>
      </c>
    </row>
    <row r="96" spans="1:4">
      <c r="A96" t="s">
        <v>32</v>
      </c>
      <c r="B96" t="s">
        <v>145</v>
      </c>
      <c r="C96" s="9">
        <v>46032</v>
      </c>
      <c r="D96" s="10">
        <v>6654</v>
      </c>
    </row>
    <row r="97" spans="1:4">
      <c r="A97" t="s">
        <v>9</v>
      </c>
      <c r="B97" t="s">
        <v>146</v>
      </c>
      <c r="C97" s="9">
        <v>46032</v>
      </c>
      <c r="D97" s="10">
        <v>41589</v>
      </c>
    </row>
    <row r="98" spans="1:4">
      <c r="A98" t="s">
        <v>9</v>
      </c>
      <c r="B98" t="s">
        <v>106</v>
      </c>
      <c r="C98" s="9">
        <v>46032</v>
      </c>
      <c r="D98" s="10">
        <v>43432</v>
      </c>
    </row>
    <row r="99" spans="1:4">
      <c r="A99" t="s">
        <v>9</v>
      </c>
      <c r="B99" t="s">
        <v>101</v>
      </c>
      <c r="C99" s="9">
        <v>46032</v>
      </c>
      <c r="D99" s="10">
        <v>26590</v>
      </c>
    </row>
    <row r="100" spans="1:4">
      <c r="A100" t="s">
        <v>5</v>
      </c>
      <c r="B100" t="s">
        <v>147</v>
      </c>
      <c r="C100" s="9">
        <v>46032</v>
      </c>
      <c r="D100" s="10">
        <v>39139</v>
      </c>
    </row>
    <row r="101" spans="1:4">
      <c r="A101" t="s">
        <v>5</v>
      </c>
      <c r="B101" t="s">
        <v>148</v>
      </c>
      <c r="C101" s="9">
        <v>46032</v>
      </c>
      <c r="D101" s="10">
        <v>51517</v>
      </c>
    </row>
    <row r="102" spans="1:4">
      <c r="A102" t="s">
        <v>5</v>
      </c>
      <c r="B102" t="s">
        <v>149</v>
      </c>
      <c r="C102" s="9">
        <v>46032</v>
      </c>
      <c r="D102" s="10">
        <v>45933</v>
      </c>
    </row>
    <row r="103" spans="1:4">
      <c r="A103" t="s">
        <v>5</v>
      </c>
      <c r="B103" t="s">
        <v>123</v>
      </c>
      <c r="C103" s="9">
        <v>46032</v>
      </c>
      <c r="D103" s="10">
        <v>37204</v>
      </c>
    </row>
    <row r="104" spans="1:4">
      <c r="A104" t="s">
        <v>5</v>
      </c>
      <c r="B104" t="s">
        <v>150</v>
      </c>
      <c r="C104" s="9">
        <v>46032</v>
      </c>
      <c r="D104" s="10">
        <v>39460</v>
      </c>
    </row>
    <row r="105" spans="1:4">
      <c r="A105" t="s">
        <v>5</v>
      </c>
      <c r="B105" t="s">
        <v>104</v>
      </c>
      <c r="C105" s="9">
        <v>46032</v>
      </c>
      <c r="D105" s="10">
        <v>40583</v>
      </c>
    </row>
    <row r="106" spans="1:4">
      <c r="A106" t="s">
        <v>4</v>
      </c>
      <c r="B106" t="s">
        <v>87</v>
      </c>
      <c r="C106" s="9">
        <v>46033</v>
      </c>
      <c r="D106" s="10">
        <v>52698</v>
      </c>
    </row>
    <row r="107" spans="1:4">
      <c r="A107" t="s">
        <v>26</v>
      </c>
      <c r="B107" t="s">
        <v>151</v>
      </c>
      <c r="C107" s="9">
        <v>46033</v>
      </c>
      <c r="D107" s="10">
        <v>19240</v>
      </c>
    </row>
    <row r="108" spans="1:4">
      <c r="A108" t="s">
        <v>29</v>
      </c>
      <c r="B108" t="s">
        <v>152</v>
      </c>
      <c r="C108" s="9">
        <v>46033</v>
      </c>
      <c r="D108" s="10">
        <v>9407</v>
      </c>
    </row>
    <row r="109" spans="1:4">
      <c r="A109" t="s">
        <v>7</v>
      </c>
      <c r="B109" t="s">
        <v>153</v>
      </c>
      <c r="C109" s="9">
        <v>46033</v>
      </c>
      <c r="D109" s="10">
        <v>26953</v>
      </c>
    </row>
    <row r="110" spans="1:4">
      <c r="A110" t="s">
        <v>9</v>
      </c>
      <c r="B110" t="s">
        <v>154</v>
      </c>
      <c r="C110" s="9">
        <v>46033</v>
      </c>
      <c r="D110" s="10">
        <v>53279</v>
      </c>
    </row>
    <row r="111" spans="1:4">
      <c r="A111" t="s">
        <v>9</v>
      </c>
      <c r="B111" t="s">
        <v>121</v>
      </c>
      <c r="C111" s="9">
        <v>46033</v>
      </c>
      <c r="D111" s="10">
        <v>35777</v>
      </c>
    </row>
    <row r="112" spans="1:4">
      <c r="A112" t="s">
        <v>5</v>
      </c>
      <c r="B112" t="s">
        <v>155</v>
      </c>
      <c r="C112" s="9">
        <v>46033</v>
      </c>
      <c r="D112" s="10">
        <v>59650</v>
      </c>
    </row>
    <row r="113" spans="1:4">
      <c r="A113" t="s">
        <v>5</v>
      </c>
      <c r="B113" t="s">
        <v>87</v>
      </c>
      <c r="C113" s="9">
        <v>46033</v>
      </c>
      <c r="D113" s="10">
        <v>34160</v>
      </c>
    </row>
    <row r="114" spans="1:4">
      <c r="A114" t="s">
        <v>5</v>
      </c>
      <c r="B114" t="s">
        <v>156</v>
      </c>
      <c r="C114" s="9">
        <v>46033</v>
      </c>
      <c r="D114" s="10">
        <v>35110</v>
      </c>
    </row>
    <row r="115" spans="1:4">
      <c r="A115" t="s">
        <v>5</v>
      </c>
      <c r="B115" t="s">
        <v>140</v>
      </c>
      <c r="C115" s="9">
        <v>46033</v>
      </c>
      <c r="D115" s="10">
        <v>48141</v>
      </c>
    </row>
    <row r="116" spans="1:4">
      <c r="A116" t="s">
        <v>4</v>
      </c>
      <c r="B116" t="s">
        <v>157</v>
      </c>
      <c r="C116" s="9">
        <v>46034</v>
      </c>
      <c r="D116" s="10">
        <v>38031</v>
      </c>
    </row>
    <row r="117" spans="1:4">
      <c r="A117" t="s">
        <v>4</v>
      </c>
      <c r="B117" t="s">
        <v>158</v>
      </c>
      <c r="C117" s="9">
        <v>46034</v>
      </c>
      <c r="D117" s="10">
        <v>29217</v>
      </c>
    </row>
    <row r="118" spans="1:4">
      <c r="A118" t="s">
        <v>4</v>
      </c>
      <c r="B118" t="s">
        <v>159</v>
      </c>
      <c r="C118" s="9">
        <v>46034</v>
      </c>
      <c r="D118" s="10">
        <v>40812</v>
      </c>
    </row>
    <row r="119" spans="1:4">
      <c r="A119" t="s">
        <v>31</v>
      </c>
      <c r="B119" t="s">
        <v>63</v>
      </c>
      <c r="C119" s="9">
        <v>46034</v>
      </c>
      <c r="D119" s="10">
        <v>15638</v>
      </c>
    </row>
    <row r="120" spans="1:4">
      <c r="A120" t="s">
        <v>25</v>
      </c>
      <c r="B120" t="s">
        <v>160</v>
      </c>
      <c r="C120" s="9">
        <v>46034</v>
      </c>
      <c r="D120" s="10">
        <v>15419</v>
      </c>
    </row>
    <row r="121" spans="1:4">
      <c r="A121" t="s">
        <v>25</v>
      </c>
      <c r="B121" t="s">
        <v>161</v>
      </c>
      <c r="C121" s="9">
        <v>46034</v>
      </c>
      <c r="D121" s="10">
        <v>14732</v>
      </c>
    </row>
    <row r="122" spans="1:4">
      <c r="A122" t="s">
        <v>26</v>
      </c>
      <c r="B122" t="s">
        <v>162</v>
      </c>
      <c r="C122" s="9">
        <v>46034</v>
      </c>
      <c r="D122" s="10">
        <v>16299</v>
      </c>
    </row>
    <row r="123" spans="1:4">
      <c r="A123" t="s">
        <v>6</v>
      </c>
      <c r="B123" t="s">
        <v>163</v>
      </c>
      <c r="C123" s="9">
        <v>46034</v>
      </c>
      <c r="D123" s="10">
        <v>36368</v>
      </c>
    </row>
    <row r="124" spans="1:4">
      <c r="A124" t="s">
        <v>7</v>
      </c>
      <c r="B124" t="s">
        <v>164</v>
      </c>
      <c r="C124" s="9">
        <v>46034</v>
      </c>
      <c r="D124" s="10">
        <v>18797</v>
      </c>
    </row>
    <row r="125" spans="1:4">
      <c r="A125" t="s">
        <v>7</v>
      </c>
      <c r="B125" t="s">
        <v>165</v>
      </c>
      <c r="C125" s="9">
        <v>46034</v>
      </c>
      <c r="D125" s="10">
        <v>26829</v>
      </c>
    </row>
    <row r="126" spans="1:4">
      <c r="A126" t="s">
        <v>9</v>
      </c>
      <c r="B126" t="s">
        <v>146</v>
      </c>
      <c r="C126" s="9">
        <v>46034</v>
      </c>
      <c r="D126" s="10">
        <v>36871</v>
      </c>
    </row>
    <row r="127" spans="1:4">
      <c r="A127" t="s">
        <v>9</v>
      </c>
      <c r="B127" t="s">
        <v>137</v>
      </c>
      <c r="C127" s="9">
        <v>46034</v>
      </c>
      <c r="D127" s="10">
        <v>26662</v>
      </c>
    </row>
    <row r="128" spans="1:4">
      <c r="A128" t="s">
        <v>9</v>
      </c>
      <c r="B128" t="s">
        <v>166</v>
      </c>
      <c r="C128" s="9">
        <v>46034</v>
      </c>
      <c r="D128" s="10">
        <v>30683</v>
      </c>
    </row>
    <row r="129" spans="1:4">
      <c r="A129" t="s">
        <v>5</v>
      </c>
      <c r="B129" t="s">
        <v>167</v>
      </c>
      <c r="C129" s="9">
        <v>46034</v>
      </c>
      <c r="D129" s="10">
        <v>30067</v>
      </c>
    </row>
    <row r="130" spans="1:4">
      <c r="A130" t="s">
        <v>5</v>
      </c>
      <c r="B130" t="s">
        <v>168</v>
      </c>
      <c r="C130" s="9">
        <v>46034</v>
      </c>
      <c r="D130" s="10">
        <v>33872</v>
      </c>
    </row>
    <row r="131" spans="1:4">
      <c r="A131" t="s">
        <v>5</v>
      </c>
      <c r="B131" t="s">
        <v>123</v>
      </c>
      <c r="C131" s="9">
        <v>46034</v>
      </c>
      <c r="D131" s="10">
        <v>46700</v>
      </c>
    </row>
    <row r="132" spans="1:4">
      <c r="A132" t="s">
        <v>5</v>
      </c>
      <c r="B132" t="s">
        <v>155</v>
      </c>
      <c r="C132" s="9">
        <v>46034</v>
      </c>
      <c r="D132" s="10">
        <v>50902</v>
      </c>
    </row>
    <row r="133" spans="1:4">
      <c r="A133" t="s">
        <v>5</v>
      </c>
      <c r="B133" t="s">
        <v>159</v>
      </c>
      <c r="C133" s="9">
        <v>46034</v>
      </c>
      <c r="D133" s="10">
        <v>32804</v>
      </c>
    </row>
    <row r="134" spans="1:4">
      <c r="A134" t="s">
        <v>27</v>
      </c>
      <c r="B134" t="s">
        <v>169</v>
      </c>
      <c r="C134" s="9">
        <v>46035</v>
      </c>
      <c r="D134" s="10">
        <v>13915</v>
      </c>
    </row>
    <row r="135" spans="1:4">
      <c r="A135" t="s">
        <v>8</v>
      </c>
      <c r="B135" t="s">
        <v>170</v>
      </c>
      <c r="C135" s="9">
        <v>46035</v>
      </c>
      <c r="D135" s="10">
        <v>15803</v>
      </c>
    </row>
    <row r="136" spans="1:4">
      <c r="A136" t="s">
        <v>6</v>
      </c>
      <c r="B136" t="s">
        <v>171</v>
      </c>
      <c r="C136" s="9">
        <v>46035</v>
      </c>
      <c r="D136" s="10">
        <v>22431</v>
      </c>
    </row>
    <row r="137" spans="1:4">
      <c r="A137" t="s">
        <v>6</v>
      </c>
      <c r="B137" t="s">
        <v>172</v>
      </c>
      <c r="C137" s="9">
        <v>46035</v>
      </c>
      <c r="D137" s="10">
        <v>19322</v>
      </c>
    </row>
    <row r="138" spans="1:4">
      <c r="A138" t="s">
        <v>7</v>
      </c>
      <c r="B138" t="s">
        <v>173</v>
      </c>
      <c r="C138" s="9">
        <v>46035</v>
      </c>
      <c r="D138" s="10">
        <v>18746</v>
      </c>
    </row>
    <row r="139" spans="1:4">
      <c r="A139" t="s">
        <v>7</v>
      </c>
      <c r="B139" t="s">
        <v>174</v>
      </c>
      <c r="C139" s="9">
        <v>46035</v>
      </c>
      <c r="D139" s="10">
        <v>30946</v>
      </c>
    </row>
    <row r="140" spans="1:4">
      <c r="A140" t="s">
        <v>9</v>
      </c>
      <c r="B140" t="s">
        <v>166</v>
      </c>
      <c r="C140" s="9">
        <v>46035</v>
      </c>
      <c r="D140" s="10">
        <v>32344</v>
      </c>
    </row>
    <row r="141" spans="1:4">
      <c r="A141" t="s">
        <v>5</v>
      </c>
      <c r="B141" t="s">
        <v>103</v>
      </c>
      <c r="C141" s="9">
        <v>46035</v>
      </c>
      <c r="D141" s="10">
        <v>28847</v>
      </c>
    </row>
    <row r="142" spans="1:4">
      <c r="A142" t="s">
        <v>4</v>
      </c>
      <c r="B142" t="s">
        <v>175</v>
      </c>
      <c r="C142" s="9">
        <v>46036</v>
      </c>
      <c r="D142" s="10">
        <v>31693</v>
      </c>
    </row>
    <row r="143" spans="1:4">
      <c r="A143" t="s">
        <v>4</v>
      </c>
      <c r="B143" t="s">
        <v>176</v>
      </c>
      <c r="C143" s="9">
        <v>46036</v>
      </c>
      <c r="D143" s="10">
        <v>43815</v>
      </c>
    </row>
    <row r="144" spans="1:4">
      <c r="A144" t="s">
        <v>6</v>
      </c>
      <c r="B144" t="s">
        <v>177</v>
      </c>
      <c r="C144" s="9">
        <v>46036</v>
      </c>
      <c r="D144" s="10">
        <v>20980</v>
      </c>
    </row>
    <row r="145" spans="1:4">
      <c r="A145" t="s">
        <v>6</v>
      </c>
      <c r="B145" t="s">
        <v>178</v>
      </c>
      <c r="C145" s="9">
        <v>46036</v>
      </c>
      <c r="D145" s="10">
        <v>30661</v>
      </c>
    </row>
    <row r="146" spans="1:4">
      <c r="A146" t="s">
        <v>9</v>
      </c>
      <c r="B146" t="s">
        <v>179</v>
      </c>
      <c r="C146" s="9">
        <v>46036</v>
      </c>
      <c r="D146" s="10">
        <v>54963</v>
      </c>
    </row>
    <row r="147" spans="1:4">
      <c r="A147" t="s">
        <v>9</v>
      </c>
      <c r="B147" t="s">
        <v>180</v>
      </c>
      <c r="C147" s="9">
        <v>46036</v>
      </c>
      <c r="D147" s="10">
        <v>47307</v>
      </c>
    </row>
    <row r="148" spans="1:4">
      <c r="A148" t="s">
        <v>9</v>
      </c>
      <c r="B148" t="s">
        <v>181</v>
      </c>
      <c r="C148" s="9">
        <v>46036</v>
      </c>
      <c r="D148" s="10">
        <v>28480</v>
      </c>
    </row>
    <row r="149" spans="1:4">
      <c r="A149" t="s">
        <v>5</v>
      </c>
      <c r="B149" t="s">
        <v>159</v>
      </c>
      <c r="C149" s="9">
        <v>46036</v>
      </c>
      <c r="D149" s="10">
        <v>32252</v>
      </c>
    </row>
    <row r="150" spans="1:4">
      <c r="A150" t="s">
        <v>27</v>
      </c>
      <c r="B150" t="s">
        <v>182</v>
      </c>
      <c r="C150" s="9">
        <v>46037</v>
      </c>
      <c r="D150" s="10">
        <v>22676</v>
      </c>
    </row>
    <row r="151" spans="1:4">
      <c r="A151" t="s">
        <v>28</v>
      </c>
      <c r="B151" t="s">
        <v>183</v>
      </c>
      <c r="C151" s="9">
        <v>46037</v>
      </c>
      <c r="D151" s="10">
        <v>10430</v>
      </c>
    </row>
    <row r="152" spans="1:4">
      <c r="A152" t="s">
        <v>6</v>
      </c>
      <c r="B152" t="s">
        <v>184</v>
      </c>
      <c r="C152" s="9">
        <v>46037</v>
      </c>
      <c r="D152" s="10">
        <v>19349</v>
      </c>
    </row>
    <row r="153" spans="1:4">
      <c r="A153" t="s">
        <v>7</v>
      </c>
      <c r="B153" t="s">
        <v>185</v>
      </c>
      <c r="C153" s="9">
        <v>46037</v>
      </c>
      <c r="D153" s="10">
        <v>52208</v>
      </c>
    </row>
    <row r="154" spans="1:4">
      <c r="A154" t="s">
        <v>37</v>
      </c>
      <c r="B154" t="s">
        <v>186</v>
      </c>
      <c r="C154" s="9">
        <v>46037</v>
      </c>
      <c r="D154" s="10">
        <v>13162</v>
      </c>
    </row>
    <row r="155" spans="1:4">
      <c r="A155" t="s">
        <v>5</v>
      </c>
      <c r="B155" t="s">
        <v>187</v>
      </c>
      <c r="C155" s="9">
        <v>46037</v>
      </c>
      <c r="D155" s="10">
        <v>28891</v>
      </c>
    </row>
    <row r="156" spans="1:4">
      <c r="A156" t="s">
        <v>5</v>
      </c>
      <c r="B156" t="s">
        <v>69</v>
      </c>
      <c r="C156" s="9">
        <v>46037</v>
      </c>
      <c r="D156" s="10">
        <v>31588</v>
      </c>
    </row>
    <row r="157" spans="1:4">
      <c r="A157" t="s">
        <v>5</v>
      </c>
      <c r="B157" t="s">
        <v>188</v>
      </c>
      <c r="C157" s="9">
        <v>46037</v>
      </c>
      <c r="D157" s="10">
        <v>13059</v>
      </c>
    </row>
    <row r="158" spans="1:4">
      <c r="A158" t="s">
        <v>5</v>
      </c>
      <c r="B158" t="s">
        <v>123</v>
      </c>
      <c r="C158" s="9">
        <v>46037</v>
      </c>
      <c r="D158" s="10">
        <v>54929</v>
      </c>
    </row>
    <row r="159" spans="1:4">
      <c r="A159" t="s">
        <v>5</v>
      </c>
      <c r="B159" t="s">
        <v>189</v>
      </c>
      <c r="C159" s="9">
        <v>46037</v>
      </c>
      <c r="D159" s="10">
        <v>51220</v>
      </c>
    </row>
    <row r="160" spans="1:4">
      <c r="A160" t="s">
        <v>28</v>
      </c>
      <c r="B160" t="s">
        <v>190</v>
      </c>
      <c r="C160" s="9">
        <v>46038</v>
      </c>
      <c r="D160" s="10">
        <v>14536</v>
      </c>
    </row>
    <row r="161" spans="1:4">
      <c r="A161" t="s">
        <v>30</v>
      </c>
      <c r="B161" t="s">
        <v>191</v>
      </c>
      <c r="C161" s="9">
        <v>46038</v>
      </c>
      <c r="D161" s="10">
        <v>9726</v>
      </c>
    </row>
    <row r="162" spans="1:4">
      <c r="A162" t="s">
        <v>9</v>
      </c>
      <c r="B162" t="s">
        <v>192</v>
      </c>
      <c r="C162" s="9">
        <v>46038</v>
      </c>
      <c r="D162" s="10">
        <v>27585</v>
      </c>
    </row>
    <row r="163" spans="1:4">
      <c r="A163" t="s">
        <v>5</v>
      </c>
      <c r="B163" t="s">
        <v>81</v>
      </c>
      <c r="C163" s="9">
        <v>46038</v>
      </c>
      <c r="D163" s="10">
        <v>31254</v>
      </c>
    </row>
    <row r="164" spans="1:4">
      <c r="A164" t="s">
        <v>5</v>
      </c>
      <c r="B164" t="s">
        <v>150</v>
      </c>
      <c r="C164" s="9">
        <v>46038</v>
      </c>
      <c r="D164" s="10">
        <v>44693</v>
      </c>
    </row>
    <row r="165" spans="1:4">
      <c r="A165" t="s">
        <v>5</v>
      </c>
      <c r="B165" t="s">
        <v>88</v>
      </c>
      <c r="C165" s="9">
        <v>46038</v>
      </c>
      <c r="D165" s="10">
        <v>58256</v>
      </c>
    </row>
    <row r="166" spans="1:4">
      <c r="A166" t="s">
        <v>4</v>
      </c>
      <c r="B166" t="s">
        <v>193</v>
      </c>
      <c r="C166" s="9">
        <v>46039</v>
      </c>
      <c r="D166" s="10">
        <v>27852</v>
      </c>
    </row>
    <row r="167" spans="1:4">
      <c r="A167" t="s">
        <v>4</v>
      </c>
      <c r="B167" t="s">
        <v>194</v>
      </c>
      <c r="C167" s="9">
        <v>46039</v>
      </c>
      <c r="D167" s="10">
        <v>38418</v>
      </c>
    </row>
    <row r="168" spans="1:4">
      <c r="A168" t="s">
        <v>4</v>
      </c>
      <c r="B168" t="s">
        <v>195</v>
      </c>
      <c r="C168" s="9">
        <v>46039</v>
      </c>
      <c r="D168" s="10">
        <v>10623</v>
      </c>
    </row>
    <row r="169" spans="1:4">
      <c r="A169" t="s">
        <v>25</v>
      </c>
      <c r="B169" t="s">
        <v>196</v>
      </c>
      <c r="C169" s="9">
        <v>46039</v>
      </c>
      <c r="D169" s="10">
        <v>15350</v>
      </c>
    </row>
    <row r="170" spans="1:4">
      <c r="A170" t="s">
        <v>26</v>
      </c>
      <c r="B170" t="s">
        <v>197</v>
      </c>
      <c r="C170" s="9">
        <v>46039</v>
      </c>
      <c r="D170" s="10">
        <v>14789</v>
      </c>
    </row>
    <row r="171" spans="1:4">
      <c r="A171" t="s">
        <v>30</v>
      </c>
      <c r="B171" t="s">
        <v>198</v>
      </c>
      <c r="C171" s="9">
        <v>46039</v>
      </c>
      <c r="D171" s="10">
        <v>14619</v>
      </c>
    </row>
    <row r="172" spans="1:4">
      <c r="A172" t="s">
        <v>6</v>
      </c>
      <c r="B172" t="s">
        <v>199</v>
      </c>
      <c r="C172" s="9">
        <v>46039</v>
      </c>
      <c r="D172" s="10">
        <v>5200</v>
      </c>
    </row>
    <row r="173" spans="1:4">
      <c r="A173" t="s">
        <v>6</v>
      </c>
      <c r="B173" t="s">
        <v>200</v>
      </c>
      <c r="C173" s="9">
        <v>46039</v>
      </c>
      <c r="D173" s="10">
        <v>16120</v>
      </c>
    </row>
    <row r="174" spans="1:4">
      <c r="A174" t="s">
        <v>9</v>
      </c>
      <c r="B174" t="s">
        <v>201</v>
      </c>
      <c r="C174" s="9">
        <v>46039</v>
      </c>
      <c r="D174" s="10">
        <v>31764</v>
      </c>
    </row>
    <row r="175" spans="1:4">
      <c r="A175" t="s">
        <v>9</v>
      </c>
      <c r="B175" t="s">
        <v>202</v>
      </c>
      <c r="C175" s="9">
        <v>46039</v>
      </c>
      <c r="D175" s="10">
        <v>34538</v>
      </c>
    </row>
    <row r="176" spans="1:4">
      <c r="A176" t="s">
        <v>5</v>
      </c>
      <c r="B176" t="s">
        <v>203</v>
      </c>
      <c r="C176" s="9">
        <v>46039</v>
      </c>
      <c r="D176" s="10">
        <v>33757</v>
      </c>
    </row>
    <row r="177" spans="1:4">
      <c r="A177" t="s">
        <v>4</v>
      </c>
      <c r="B177" t="s">
        <v>204</v>
      </c>
      <c r="C177" s="9">
        <v>46040</v>
      </c>
      <c r="D177" s="10">
        <v>37429</v>
      </c>
    </row>
    <row r="178" spans="1:4">
      <c r="A178" t="s">
        <v>25</v>
      </c>
      <c r="B178" t="s">
        <v>205</v>
      </c>
      <c r="C178" s="9">
        <v>46040</v>
      </c>
      <c r="D178" s="10">
        <v>12990</v>
      </c>
    </row>
    <row r="179" spans="1:4">
      <c r="A179" t="s">
        <v>32</v>
      </c>
      <c r="B179" t="s">
        <v>206</v>
      </c>
      <c r="C179" s="9">
        <v>46040</v>
      </c>
      <c r="D179" s="10">
        <v>14007</v>
      </c>
    </row>
    <row r="180" spans="1:4">
      <c r="A180" t="s">
        <v>6</v>
      </c>
      <c r="B180" t="s">
        <v>207</v>
      </c>
      <c r="C180" s="9">
        <v>46040</v>
      </c>
      <c r="D180" s="10">
        <v>19227</v>
      </c>
    </row>
    <row r="181" spans="1:4">
      <c r="A181" t="s">
        <v>7</v>
      </c>
      <c r="B181" t="s">
        <v>208</v>
      </c>
      <c r="C181" s="9">
        <v>46040</v>
      </c>
      <c r="D181" s="10">
        <v>28570</v>
      </c>
    </row>
    <row r="182" spans="1:4">
      <c r="A182" t="s">
        <v>9</v>
      </c>
      <c r="B182" t="s">
        <v>138</v>
      </c>
      <c r="C182" s="9">
        <v>46040</v>
      </c>
      <c r="D182" s="10">
        <v>32544</v>
      </c>
    </row>
    <row r="183" spans="1:4">
      <c r="A183" t="s">
        <v>5</v>
      </c>
      <c r="B183" t="s">
        <v>187</v>
      </c>
      <c r="C183" s="9">
        <v>46040</v>
      </c>
      <c r="D183" s="10">
        <v>43578</v>
      </c>
    </row>
    <row r="184" spans="1:4">
      <c r="A184" t="s">
        <v>5</v>
      </c>
      <c r="B184" t="s">
        <v>209</v>
      </c>
      <c r="C184" s="9">
        <v>46040</v>
      </c>
      <c r="D184" s="10">
        <v>41142</v>
      </c>
    </row>
    <row r="185" spans="1:4">
      <c r="A185" t="s">
        <v>5</v>
      </c>
      <c r="B185" t="s">
        <v>168</v>
      </c>
      <c r="C185" s="9">
        <v>46040</v>
      </c>
      <c r="D185" s="10">
        <v>37256</v>
      </c>
    </row>
    <row r="186" spans="1:4">
      <c r="A186" t="s">
        <v>5</v>
      </c>
      <c r="B186" t="s">
        <v>81</v>
      </c>
      <c r="C186" s="9">
        <v>46040</v>
      </c>
      <c r="D186" s="10">
        <v>33342</v>
      </c>
    </row>
    <row r="187" spans="1:4">
      <c r="A187" t="s">
        <v>5</v>
      </c>
      <c r="B187" t="s">
        <v>210</v>
      </c>
      <c r="C187" s="9">
        <v>46040</v>
      </c>
      <c r="D187" s="10">
        <v>46861</v>
      </c>
    </row>
    <row r="188" spans="1:4">
      <c r="A188" t="s">
        <v>5</v>
      </c>
      <c r="B188" t="s">
        <v>211</v>
      </c>
      <c r="C188" s="9">
        <v>46040</v>
      </c>
      <c r="D188" s="10">
        <v>35501</v>
      </c>
    </row>
    <row r="189" spans="1:4">
      <c r="A189" t="s">
        <v>5</v>
      </c>
      <c r="B189" t="s">
        <v>128</v>
      </c>
      <c r="C189" s="9">
        <v>46040</v>
      </c>
      <c r="D189" s="10">
        <v>25900</v>
      </c>
    </row>
    <row r="190" spans="1:4">
      <c r="A190" t="s">
        <v>38</v>
      </c>
      <c r="B190" t="s">
        <v>212</v>
      </c>
      <c r="C190" s="9">
        <v>46041</v>
      </c>
      <c r="D190" s="10">
        <v>14005</v>
      </c>
    </row>
    <row r="191" spans="1:4">
      <c r="A191" t="s">
        <v>4</v>
      </c>
      <c r="B191" t="s">
        <v>213</v>
      </c>
      <c r="C191" s="9">
        <v>46041</v>
      </c>
      <c r="D191" s="10">
        <v>36061</v>
      </c>
    </row>
    <row r="192" spans="1:4">
      <c r="A192" t="s">
        <v>4</v>
      </c>
      <c r="B192" t="s">
        <v>214</v>
      </c>
      <c r="C192" s="9">
        <v>46041</v>
      </c>
      <c r="D192" s="10">
        <v>15555</v>
      </c>
    </row>
    <row r="193" spans="1:4">
      <c r="A193" t="s">
        <v>7</v>
      </c>
      <c r="B193" t="s">
        <v>215</v>
      </c>
      <c r="C193" s="9">
        <v>46041</v>
      </c>
      <c r="D193" s="10">
        <v>20299</v>
      </c>
    </row>
    <row r="194" spans="1:4">
      <c r="A194" t="s">
        <v>9</v>
      </c>
      <c r="B194" t="s">
        <v>216</v>
      </c>
      <c r="C194" s="9">
        <v>46041</v>
      </c>
      <c r="D194" s="10">
        <v>41894</v>
      </c>
    </row>
    <row r="195" spans="1:4">
      <c r="A195" t="s">
        <v>5</v>
      </c>
      <c r="B195" t="s">
        <v>167</v>
      </c>
      <c r="C195" s="9">
        <v>46041</v>
      </c>
      <c r="D195" s="10">
        <v>31547</v>
      </c>
    </row>
    <row r="196" spans="1:4">
      <c r="A196" t="s">
        <v>5</v>
      </c>
      <c r="B196" t="s">
        <v>139</v>
      </c>
      <c r="C196" s="9">
        <v>46041</v>
      </c>
      <c r="D196" s="10">
        <v>33786</v>
      </c>
    </row>
    <row r="197" spans="1:4">
      <c r="A197" t="s">
        <v>5</v>
      </c>
      <c r="B197" t="s">
        <v>87</v>
      </c>
      <c r="C197" s="9">
        <v>46041</v>
      </c>
      <c r="D197" s="10">
        <v>47396</v>
      </c>
    </row>
    <row r="198" spans="1:4">
      <c r="A198" t="s">
        <v>27</v>
      </c>
      <c r="B198" t="s">
        <v>217</v>
      </c>
      <c r="C198" s="9">
        <v>46042</v>
      </c>
      <c r="D198" s="10">
        <v>13476</v>
      </c>
    </row>
    <row r="199" spans="1:4">
      <c r="A199" t="s">
        <v>25</v>
      </c>
      <c r="B199" t="s">
        <v>218</v>
      </c>
      <c r="C199" s="9">
        <v>46042</v>
      </c>
      <c r="D199" s="10">
        <v>28768</v>
      </c>
    </row>
    <row r="200" spans="1:4">
      <c r="A200" t="s">
        <v>9</v>
      </c>
      <c r="B200" t="s">
        <v>112</v>
      </c>
      <c r="C200" s="9">
        <v>46042</v>
      </c>
      <c r="D200" s="10">
        <v>29082</v>
      </c>
    </row>
    <row r="201" spans="1:4">
      <c r="A201" t="s">
        <v>9</v>
      </c>
      <c r="B201" t="s">
        <v>138</v>
      </c>
      <c r="C201" s="9">
        <v>46042</v>
      </c>
      <c r="D201" s="10">
        <v>45492</v>
      </c>
    </row>
    <row r="202" spans="1:4">
      <c r="A202" t="s">
        <v>9</v>
      </c>
      <c r="B202" t="s">
        <v>219</v>
      </c>
      <c r="C202" s="9">
        <v>46042</v>
      </c>
      <c r="D202" s="10">
        <v>26958</v>
      </c>
    </row>
    <row r="203" spans="1:4">
      <c r="A203" t="s">
        <v>5</v>
      </c>
      <c r="B203" t="s">
        <v>72</v>
      </c>
      <c r="C203" s="9">
        <v>46042</v>
      </c>
      <c r="D203" s="10">
        <v>58975</v>
      </c>
    </row>
    <row r="204" spans="1:4">
      <c r="A204" t="s">
        <v>5</v>
      </c>
      <c r="B204" t="s">
        <v>211</v>
      </c>
      <c r="C204" s="9">
        <v>46042</v>
      </c>
      <c r="D204" s="10">
        <v>50742</v>
      </c>
    </row>
    <row r="205" spans="1:4">
      <c r="A205" t="s">
        <v>5</v>
      </c>
      <c r="B205" t="s">
        <v>203</v>
      </c>
      <c r="C205" s="9">
        <v>46042</v>
      </c>
      <c r="D205" s="10">
        <v>44337</v>
      </c>
    </row>
    <row r="206" spans="1:4">
      <c r="A206" t="s">
        <v>25</v>
      </c>
      <c r="B206" t="s">
        <v>220</v>
      </c>
      <c r="C206" s="9">
        <v>46043</v>
      </c>
      <c r="D206" s="10">
        <v>15724</v>
      </c>
    </row>
    <row r="207" spans="1:4">
      <c r="A207" t="s">
        <v>26</v>
      </c>
      <c r="B207" t="s">
        <v>221</v>
      </c>
      <c r="C207" s="9">
        <v>46043</v>
      </c>
      <c r="D207" s="10">
        <v>14243</v>
      </c>
    </row>
    <row r="208" spans="1:4">
      <c r="A208" t="s">
        <v>7</v>
      </c>
      <c r="B208" t="s">
        <v>222</v>
      </c>
      <c r="C208" s="9">
        <v>46043</v>
      </c>
      <c r="D208" s="10">
        <v>24077</v>
      </c>
    </row>
    <row r="209" spans="1:4">
      <c r="A209" t="s">
        <v>9</v>
      </c>
      <c r="B209" t="s">
        <v>223</v>
      </c>
      <c r="C209" s="9">
        <v>46043</v>
      </c>
      <c r="D209" s="10">
        <v>29021</v>
      </c>
    </row>
    <row r="210" spans="1:4">
      <c r="A210" t="s">
        <v>5</v>
      </c>
      <c r="B210" t="s">
        <v>85</v>
      </c>
      <c r="C210" s="9">
        <v>46043</v>
      </c>
      <c r="D210" s="10">
        <v>39119</v>
      </c>
    </row>
    <row r="211" spans="1:4">
      <c r="A211" t="s">
        <v>5</v>
      </c>
      <c r="B211" t="s">
        <v>72</v>
      </c>
      <c r="C211" s="9">
        <v>46043</v>
      </c>
      <c r="D211" s="10">
        <v>52412</v>
      </c>
    </row>
    <row r="212" spans="1:4">
      <c r="A212" t="s">
        <v>5</v>
      </c>
      <c r="B212" t="s">
        <v>224</v>
      </c>
      <c r="C212" s="9">
        <v>46043</v>
      </c>
      <c r="D212" s="10">
        <v>45193</v>
      </c>
    </row>
    <row r="213" spans="1:4">
      <c r="A213" t="s">
        <v>5</v>
      </c>
      <c r="B213" t="s">
        <v>210</v>
      </c>
      <c r="C213" s="9">
        <v>46043</v>
      </c>
      <c r="D213" s="10">
        <v>46333</v>
      </c>
    </row>
    <row r="214" spans="1:4">
      <c r="A214" t="s">
        <v>27</v>
      </c>
      <c r="B214" t="s">
        <v>225</v>
      </c>
      <c r="C214" s="9">
        <v>46044</v>
      </c>
      <c r="D214" s="10">
        <v>17299</v>
      </c>
    </row>
    <row r="215" spans="1:4">
      <c r="A215" t="s">
        <v>4</v>
      </c>
      <c r="B215" t="s">
        <v>226</v>
      </c>
      <c r="C215" s="9">
        <v>46044</v>
      </c>
      <c r="D215" s="10">
        <v>20004</v>
      </c>
    </row>
    <row r="216" spans="1:4">
      <c r="A216" t="s">
        <v>29</v>
      </c>
      <c r="B216" t="s">
        <v>227</v>
      </c>
      <c r="C216" s="9">
        <v>46044</v>
      </c>
      <c r="D216" s="10">
        <v>12526</v>
      </c>
    </row>
    <row r="217" spans="1:4">
      <c r="A217" t="s">
        <v>7</v>
      </c>
      <c r="B217" t="s">
        <v>223</v>
      </c>
      <c r="C217" s="9">
        <v>46044</v>
      </c>
      <c r="D217" s="10">
        <v>27768</v>
      </c>
    </row>
    <row r="218" spans="1:4">
      <c r="A218" t="s">
        <v>9</v>
      </c>
      <c r="B218" t="s">
        <v>228</v>
      </c>
      <c r="C218" s="9">
        <v>46044</v>
      </c>
      <c r="D218" s="10">
        <v>41792</v>
      </c>
    </row>
    <row r="219" spans="1:4">
      <c r="A219" t="s">
        <v>9</v>
      </c>
      <c r="B219" t="s">
        <v>137</v>
      </c>
      <c r="C219" s="9">
        <v>46044</v>
      </c>
      <c r="D219" s="10">
        <v>28133</v>
      </c>
    </row>
    <row r="220" spans="1:4">
      <c r="A220" t="s">
        <v>9</v>
      </c>
      <c r="B220" t="s">
        <v>68</v>
      </c>
      <c r="C220" s="9">
        <v>46044</v>
      </c>
      <c r="D220" s="10">
        <v>34983</v>
      </c>
    </row>
    <row r="221" spans="1:4">
      <c r="A221" t="s">
        <v>5</v>
      </c>
      <c r="B221" t="s">
        <v>148</v>
      </c>
      <c r="C221" s="9">
        <v>46044</v>
      </c>
      <c r="D221" s="10">
        <v>36221</v>
      </c>
    </row>
    <row r="222" spans="1:4">
      <c r="A222" t="s">
        <v>5</v>
      </c>
      <c r="B222" t="s">
        <v>189</v>
      </c>
      <c r="C222" s="9">
        <v>46044</v>
      </c>
      <c r="D222" s="10">
        <v>36502</v>
      </c>
    </row>
    <row r="223" spans="1:4">
      <c r="A223" t="s">
        <v>5</v>
      </c>
      <c r="B223" t="s">
        <v>211</v>
      </c>
      <c r="C223" s="9">
        <v>46044</v>
      </c>
      <c r="D223" s="10">
        <v>42970</v>
      </c>
    </row>
    <row r="224" spans="1:4">
      <c r="A224" t="s">
        <v>5</v>
      </c>
      <c r="B224" t="s">
        <v>203</v>
      </c>
      <c r="C224" s="9">
        <v>46044</v>
      </c>
      <c r="D224" s="10">
        <v>34432</v>
      </c>
    </row>
    <row r="225" spans="1:4">
      <c r="A225" t="s">
        <v>5</v>
      </c>
      <c r="B225" t="s">
        <v>104</v>
      </c>
      <c r="C225" s="9">
        <v>46044</v>
      </c>
      <c r="D225" s="10">
        <v>50782</v>
      </c>
    </row>
    <row r="226" spans="1:4">
      <c r="A226" t="s">
        <v>5</v>
      </c>
      <c r="B226" t="s">
        <v>104</v>
      </c>
      <c r="C226" s="9">
        <v>46044</v>
      </c>
      <c r="D226" s="10">
        <v>32276</v>
      </c>
    </row>
    <row r="227" spans="1:4">
      <c r="A227" t="s">
        <v>5</v>
      </c>
      <c r="B227" t="s">
        <v>104</v>
      </c>
      <c r="C227" s="9">
        <v>46044</v>
      </c>
      <c r="D227" s="10">
        <v>43054</v>
      </c>
    </row>
    <row r="228" spans="1:4">
      <c r="A228" t="s">
        <v>5</v>
      </c>
      <c r="B228" t="s">
        <v>140</v>
      </c>
      <c r="C228" s="9">
        <v>46044</v>
      </c>
      <c r="D228" s="10">
        <v>34907</v>
      </c>
    </row>
    <row r="229" spans="1:4">
      <c r="A229" t="s">
        <v>27</v>
      </c>
      <c r="B229" t="s">
        <v>229</v>
      </c>
      <c r="C229" s="9">
        <v>46045</v>
      </c>
      <c r="D229" s="10">
        <v>14568</v>
      </c>
    </row>
    <row r="230" spans="1:4">
      <c r="A230" t="s">
        <v>4</v>
      </c>
      <c r="B230" t="s">
        <v>230</v>
      </c>
      <c r="C230" s="9">
        <v>46045</v>
      </c>
      <c r="D230" s="10">
        <v>27824</v>
      </c>
    </row>
    <row r="231" spans="1:4">
      <c r="A231" t="s">
        <v>4</v>
      </c>
      <c r="B231" t="s">
        <v>231</v>
      </c>
      <c r="C231" s="9">
        <v>46045</v>
      </c>
      <c r="D231" s="10">
        <v>32404</v>
      </c>
    </row>
    <row r="232" spans="1:4">
      <c r="A232" t="s">
        <v>25</v>
      </c>
      <c r="B232" t="s">
        <v>232</v>
      </c>
      <c r="C232" s="9">
        <v>46045</v>
      </c>
      <c r="D232" s="10">
        <v>32816</v>
      </c>
    </row>
    <row r="233" spans="1:4">
      <c r="A233" t="s">
        <v>8</v>
      </c>
      <c r="B233" t="s">
        <v>233</v>
      </c>
      <c r="C233" s="9">
        <v>46045</v>
      </c>
      <c r="D233" s="10">
        <v>35465</v>
      </c>
    </row>
    <row r="234" spans="1:4">
      <c r="A234" t="s">
        <v>9</v>
      </c>
      <c r="B234" t="s">
        <v>234</v>
      </c>
      <c r="C234" s="9">
        <v>46045</v>
      </c>
      <c r="D234" s="10">
        <v>46797</v>
      </c>
    </row>
    <row r="235" spans="1:4">
      <c r="A235" t="s">
        <v>5</v>
      </c>
      <c r="B235" t="s">
        <v>62</v>
      </c>
      <c r="C235" s="9">
        <v>46045</v>
      </c>
      <c r="D235" s="10">
        <v>41999</v>
      </c>
    </row>
    <row r="236" spans="1:4">
      <c r="A236" t="s">
        <v>5</v>
      </c>
      <c r="B236" t="s">
        <v>123</v>
      </c>
      <c r="C236" s="9">
        <v>46045</v>
      </c>
      <c r="D236" s="10">
        <v>34146</v>
      </c>
    </row>
    <row r="237" spans="1:4">
      <c r="A237" t="s">
        <v>5</v>
      </c>
      <c r="B237" t="s">
        <v>124</v>
      </c>
      <c r="C237" s="9">
        <v>46045</v>
      </c>
      <c r="D237" s="10">
        <v>27774</v>
      </c>
    </row>
    <row r="238" spans="1:4">
      <c r="A238" t="s">
        <v>4</v>
      </c>
      <c r="B238" t="s">
        <v>235</v>
      </c>
      <c r="C238" s="9">
        <v>46046</v>
      </c>
      <c r="D238" s="10">
        <v>37231</v>
      </c>
    </row>
    <row r="239" spans="1:4">
      <c r="A239" t="s">
        <v>30</v>
      </c>
      <c r="B239" t="s">
        <v>236</v>
      </c>
      <c r="C239" s="9">
        <v>46046</v>
      </c>
      <c r="D239" s="10">
        <v>12473</v>
      </c>
    </row>
    <row r="240" spans="1:4">
      <c r="A240" t="s">
        <v>8</v>
      </c>
      <c r="B240" t="s">
        <v>237</v>
      </c>
      <c r="C240" s="9">
        <v>46046</v>
      </c>
      <c r="D240" s="10">
        <v>17478</v>
      </c>
    </row>
    <row r="241" spans="1:4">
      <c r="A241" t="s">
        <v>8</v>
      </c>
      <c r="B241" t="s">
        <v>238</v>
      </c>
      <c r="C241" s="9">
        <v>46046</v>
      </c>
      <c r="D241" s="10">
        <v>16479</v>
      </c>
    </row>
    <row r="242" spans="1:4">
      <c r="A242" t="s">
        <v>7</v>
      </c>
      <c r="B242" t="s">
        <v>239</v>
      </c>
      <c r="C242" s="9">
        <v>46046</v>
      </c>
      <c r="D242" s="10">
        <v>23526</v>
      </c>
    </row>
    <row r="243" spans="1:4">
      <c r="A243" t="s">
        <v>9</v>
      </c>
      <c r="B243" t="s">
        <v>147</v>
      </c>
      <c r="C243" s="9">
        <v>46046</v>
      </c>
      <c r="D243" s="10">
        <v>27075</v>
      </c>
    </row>
    <row r="244" spans="1:4">
      <c r="A244" t="s">
        <v>9</v>
      </c>
      <c r="B244" t="s">
        <v>240</v>
      </c>
      <c r="C244" s="9">
        <v>46046</v>
      </c>
      <c r="D244" s="10">
        <v>34880</v>
      </c>
    </row>
    <row r="245" spans="1:4">
      <c r="A245" t="s">
        <v>9</v>
      </c>
      <c r="B245" t="s">
        <v>219</v>
      </c>
      <c r="C245" s="9">
        <v>46046</v>
      </c>
      <c r="D245" s="10">
        <v>41341</v>
      </c>
    </row>
    <row r="246" spans="1:4">
      <c r="A246" t="s">
        <v>5</v>
      </c>
      <c r="B246" t="s">
        <v>70</v>
      </c>
      <c r="C246" s="9">
        <v>46046</v>
      </c>
      <c r="D246" s="10">
        <v>43136</v>
      </c>
    </row>
    <row r="247" spans="1:4">
      <c r="A247" t="s">
        <v>5</v>
      </c>
      <c r="B247" t="s">
        <v>148</v>
      </c>
      <c r="C247" s="9">
        <v>46046</v>
      </c>
      <c r="D247" s="10">
        <v>34118</v>
      </c>
    </row>
    <row r="248" spans="1:4">
      <c r="A248" t="s">
        <v>5</v>
      </c>
      <c r="B248" t="s">
        <v>149</v>
      </c>
      <c r="C248" s="9">
        <v>46046</v>
      </c>
      <c r="D248" s="10">
        <v>46231</v>
      </c>
    </row>
    <row r="249" spans="1:4">
      <c r="A249" t="s">
        <v>5</v>
      </c>
      <c r="B249" t="s">
        <v>241</v>
      </c>
      <c r="C249" s="9">
        <v>46046</v>
      </c>
      <c r="D249" s="10">
        <v>36094</v>
      </c>
    </row>
    <row r="250" spans="1:4">
      <c r="A250" t="s">
        <v>5</v>
      </c>
      <c r="B250" t="s">
        <v>81</v>
      </c>
      <c r="C250" s="9">
        <v>46046</v>
      </c>
      <c r="D250" s="10">
        <v>42823</v>
      </c>
    </row>
    <row r="251" spans="1:4">
      <c r="A251" t="s">
        <v>4</v>
      </c>
      <c r="B251" t="s">
        <v>242</v>
      </c>
      <c r="C251" s="9">
        <v>46047</v>
      </c>
      <c r="D251" s="10">
        <v>35365</v>
      </c>
    </row>
    <row r="252" spans="1:4">
      <c r="A252" t="s">
        <v>30</v>
      </c>
      <c r="B252" t="s">
        <v>243</v>
      </c>
      <c r="C252" s="9">
        <v>46047</v>
      </c>
      <c r="D252" s="10">
        <v>14025</v>
      </c>
    </row>
    <row r="253" spans="1:4">
      <c r="A253" t="s">
        <v>8</v>
      </c>
      <c r="B253" t="s">
        <v>244</v>
      </c>
      <c r="C253" s="9">
        <v>46047</v>
      </c>
      <c r="D253" s="10">
        <v>37588</v>
      </c>
    </row>
    <row r="254" spans="1:4">
      <c r="A254" t="s">
        <v>33</v>
      </c>
      <c r="B254" t="s">
        <v>245</v>
      </c>
      <c r="C254" s="9">
        <v>46047</v>
      </c>
      <c r="D254" s="10">
        <v>11893</v>
      </c>
    </row>
    <row r="255" spans="1:4">
      <c r="A255" t="s">
        <v>7</v>
      </c>
      <c r="B255" t="s">
        <v>96</v>
      </c>
      <c r="C255" s="9">
        <v>46047</v>
      </c>
      <c r="D255" s="10">
        <v>21453</v>
      </c>
    </row>
    <row r="256" spans="1:4">
      <c r="A256" t="s">
        <v>9</v>
      </c>
      <c r="B256" t="s">
        <v>246</v>
      </c>
      <c r="C256" s="9">
        <v>46047</v>
      </c>
      <c r="D256" s="10">
        <v>45702</v>
      </c>
    </row>
    <row r="257" spans="1:4">
      <c r="A257" t="s">
        <v>9</v>
      </c>
      <c r="B257" t="s">
        <v>124</v>
      </c>
      <c r="C257" s="9">
        <v>46047</v>
      </c>
      <c r="D257" s="10">
        <v>35876</v>
      </c>
    </row>
    <row r="258" spans="1:4">
      <c r="A258" t="s">
        <v>5</v>
      </c>
      <c r="B258" t="s">
        <v>69</v>
      </c>
      <c r="C258" s="9">
        <v>46047</v>
      </c>
      <c r="D258" s="10">
        <v>50225</v>
      </c>
    </row>
    <row r="259" spans="1:4">
      <c r="A259" t="s">
        <v>5</v>
      </c>
      <c r="B259" t="s">
        <v>147</v>
      </c>
      <c r="C259" s="9">
        <v>46047</v>
      </c>
      <c r="D259" s="10">
        <v>42582</v>
      </c>
    </row>
    <row r="260" spans="1:4">
      <c r="A260" t="s">
        <v>5</v>
      </c>
      <c r="B260" t="s">
        <v>80</v>
      </c>
      <c r="C260" s="9">
        <v>46047</v>
      </c>
      <c r="D260" s="10">
        <v>47312</v>
      </c>
    </row>
    <row r="261" spans="1:4">
      <c r="A261" t="s">
        <v>5</v>
      </c>
      <c r="B261" t="s">
        <v>127</v>
      </c>
      <c r="C261" s="9">
        <v>46047</v>
      </c>
      <c r="D261" s="10">
        <v>30369</v>
      </c>
    </row>
    <row r="262" spans="1:4">
      <c r="A262" t="s">
        <v>5</v>
      </c>
      <c r="B262" t="s">
        <v>103</v>
      </c>
      <c r="C262" s="9">
        <v>46047</v>
      </c>
      <c r="D262" s="10">
        <v>38870</v>
      </c>
    </row>
    <row r="263" spans="1:4">
      <c r="A263" t="s">
        <v>4</v>
      </c>
      <c r="B263" t="s">
        <v>247</v>
      </c>
      <c r="C263" s="9">
        <v>46048</v>
      </c>
      <c r="D263" s="10">
        <v>40342</v>
      </c>
    </row>
    <row r="264" spans="1:4">
      <c r="A264" t="s">
        <v>4</v>
      </c>
      <c r="B264" t="s">
        <v>248</v>
      </c>
      <c r="C264" s="9">
        <v>46048</v>
      </c>
      <c r="D264" s="10">
        <v>41966</v>
      </c>
    </row>
    <row r="265" spans="1:4">
      <c r="A265" t="s">
        <v>8</v>
      </c>
      <c r="B265" t="s">
        <v>249</v>
      </c>
      <c r="C265" s="9">
        <v>46048</v>
      </c>
      <c r="D265" s="10">
        <v>15524</v>
      </c>
    </row>
    <row r="266" spans="1:4">
      <c r="A266" t="s">
        <v>8</v>
      </c>
      <c r="B266" t="s">
        <v>250</v>
      </c>
      <c r="C266" s="9">
        <v>46048</v>
      </c>
      <c r="D266" s="10">
        <v>30300</v>
      </c>
    </row>
    <row r="267" spans="1:4">
      <c r="A267" t="s">
        <v>8</v>
      </c>
      <c r="B267" t="s">
        <v>251</v>
      </c>
      <c r="C267" s="9">
        <v>46048</v>
      </c>
      <c r="D267" s="10">
        <v>13675</v>
      </c>
    </row>
    <row r="268" spans="1:4">
      <c r="A268" t="s">
        <v>6</v>
      </c>
      <c r="B268" t="s">
        <v>252</v>
      </c>
      <c r="C268" s="9">
        <v>46048</v>
      </c>
      <c r="D268" s="10">
        <v>7092</v>
      </c>
    </row>
    <row r="269" spans="1:4">
      <c r="A269" t="s">
        <v>33</v>
      </c>
      <c r="B269" t="s">
        <v>253</v>
      </c>
      <c r="C269" s="9">
        <v>46048</v>
      </c>
      <c r="D269" s="10">
        <v>13615</v>
      </c>
    </row>
    <row r="270" spans="1:4">
      <c r="A270" t="s">
        <v>29</v>
      </c>
      <c r="B270" t="s">
        <v>254</v>
      </c>
      <c r="C270" s="9">
        <v>46048</v>
      </c>
      <c r="D270" s="10">
        <v>16772</v>
      </c>
    </row>
    <row r="271" spans="1:4">
      <c r="A271" t="s">
        <v>7</v>
      </c>
      <c r="B271" t="s">
        <v>255</v>
      </c>
      <c r="C271" s="9">
        <v>46048</v>
      </c>
      <c r="D271" s="10">
        <v>25193</v>
      </c>
    </row>
    <row r="272" spans="1:4">
      <c r="A272" t="s">
        <v>7</v>
      </c>
      <c r="B272" t="s">
        <v>256</v>
      </c>
      <c r="C272" s="9">
        <v>46048</v>
      </c>
      <c r="D272" s="10">
        <v>23983</v>
      </c>
    </row>
    <row r="273" spans="1:4">
      <c r="A273" t="s">
        <v>7</v>
      </c>
      <c r="B273" t="s">
        <v>257</v>
      </c>
      <c r="C273" s="9">
        <v>46048</v>
      </c>
      <c r="D273" s="10">
        <v>20512</v>
      </c>
    </row>
    <row r="274" spans="1:4">
      <c r="A274" t="s">
        <v>9</v>
      </c>
      <c r="B274" t="s">
        <v>258</v>
      </c>
      <c r="C274" s="9">
        <v>46048</v>
      </c>
      <c r="D274" s="10">
        <v>36860</v>
      </c>
    </row>
    <row r="275" spans="1:4">
      <c r="A275" t="s">
        <v>5</v>
      </c>
      <c r="B275" t="s">
        <v>62</v>
      </c>
      <c r="C275" s="9">
        <v>46048</v>
      </c>
      <c r="D275" s="10">
        <v>35325</v>
      </c>
    </row>
    <row r="276" spans="1:4">
      <c r="A276" t="s">
        <v>5</v>
      </c>
      <c r="B276" t="s">
        <v>167</v>
      </c>
      <c r="C276" s="9">
        <v>46048</v>
      </c>
      <c r="D276" s="10">
        <v>39637</v>
      </c>
    </row>
    <row r="277" spans="1:4">
      <c r="A277" t="s">
        <v>5</v>
      </c>
      <c r="B277" t="s">
        <v>102</v>
      </c>
      <c r="C277" s="9">
        <v>46048</v>
      </c>
      <c r="D277" s="10">
        <v>32695</v>
      </c>
    </row>
    <row r="278" spans="1:4">
      <c r="A278" t="s">
        <v>5</v>
      </c>
      <c r="B278" t="s">
        <v>102</v>
      </c>
      <c r="C278" s="9">
        <v>46048</v>
      </c>
      <c r="D278" s="10">
        <v>32647</v>
      </c>
    </row>
    <row r="279" spans="1:4">
      <c r="A279" t="s">
        <v>5</v>
      </c>
      <c r="B279" t="s">
        <v>241</v>
      </c>
      <c r="C279" s="9">
        <v>46048</v>
      </c>
      <c r="D279" s="10">
        <v>44467</v>
      </c>
    </row>
    <row r="280" spans="1:4">
      <c r="A280" t="s">
        <v>5</v>
      </c>
      <c r="B280" t="s">
        <v>210</v>
      </c>
      <c r="C280" s="9">
        <v>46048</v>
      </c>
      <c r="D280" s="10">
        <v>63958</v>
      </c>
    </row>
    <row r="281" spans="1:4">
      <c r="A281" t="s">
        <v>5</v>
      </c>
      <c r="B281" t="s">
        <v>203</v>
      </c>
      <c r="C281" s="9">
        <v>46048</v>
      </c>
      <c r="D281" s="10">
        <v>42040</v>
      </c>
    </row>
    <row r="282" spans="1:4">
      <c r="A282" t="s">
        <v>35</v>
      </c>
      <c r="B282" t="s">
        <v>259</v>
      </c>
      <c r="C282" s="9">
        <v>46049</v>
      </c>
      <c r="D282" s="10">
        <v>9144</v>
      </c>
    </row>
    <row r="283" spans="1:4">
      <c r="A283" t="s">
        <v>27</v>
      </c>
      <c r="B283" t="s">
        <v>260</v>
      </c>
      <c r="C283" s="9">
        <v>46049</v>
      </c>
      <c r="D283" s="10">
        <v>24208</v>
      </c>
    </row>
    <row r="284" spans="1:4">
      <c r="A284" t="s">
        <v>4</v>
      </c>
      <c r="B284" t="s">
        <v>261</v>
      </c>
      <c r="C284" s="9">
        <v>46049</v>
      </c>
      <c r="D284" s="10">
        <v>16792</v>
      </c>
    </row>
    <row r="285" spans="1:4">
      <c r="A285" t="s">
        <v>4</v>
      </c>
      <c r="B285" t="s">
        <v>262</v>
      </c>
      <c r="C285" s="9">
        <v>46049</v>
      </c>
      <c r="D285" s="10">
        <v>21983</v>
      </c>
    </row>
    <row r="286" spans="1:4">
      <c r="A286" t="s">
        <v>4</v>
      </c>
      <c r="B286" t="s">
        <v>263</v>
      </c>
      <c r="C286" s="9">
        <v>46049</v>
      </c>
      <c r="D286" s="10">
        <v>31002</v>
      </c>
    </row>
    <row r="287" spans="1:4">
      <c r="A287" t="s">
        <v>25</v>
      </c>
      <c r="B287" t="s">
        <v>264</v>
      </c>
      <c r="C287" s="9">
        <v>46049</v>
      </c>
      <c r="D287" s="10">
        <v>31188</v>
      </c>
    </row>
    <row r="288" spans="1:4">
      <c r="A288" t="s">
        <v>26</v>
      </c>
      <c r="B288" t="s">
        <v>265</v>
      </c>
      <c r="C288" s="9">
        <v>46049</v>
      </c>
      <c r="D288" s="10">
        <v>20016</v>
      </c>
    </row>
    <row r="289" spans="1:4">
      <c r="A289" t="s">
        <v>32</v>
      </c>
      <c r="B289" t="s">
        <v>266</v>
      </c>
      <c r="C289" s="9">
        <v>46049</v>
      </c>
      <c r="D289" s="10">
        <v>12107</v>
      </c>
    </row>
    <row r="290" spans="1:4">
      <c r="A290" t="s">
        <v>33</v>
      </c>
      <c r="B290" t="s">
        <v>267</v>
      </c>
      <c r="C290" s="9">
        <v>46049</v>
      </c>
      <c r="D290" s="10">
        <v>9767</v>
      </c>
    </row>
    <row r="291" spans="1:4">
      <c r="A291" t="s">
        <v>9</v>
      </c>
      <c r="B291" t="s">
        <v>246</v>
      </c>
      <c r="C291" s="9">
        <v>46049</v>
      </c>
      <c r="D291" s="10">
        <v>41752</v>
      </c>
    </row>
    <row r="292" spans="1:4">
      <c r="A292" t="s">
        <v>5</v>
      </c>
      <c r="B292" t="s">
        <v>114</v>
      </c>
      <c r="C292" s="9">
        <v>46049</v>
      </c>
      <c r="D292" s="10">
        <v>41513</v>
      </c>
    </row>
    <row r="293" spans="1:4">
      <c r="A293" t="s">
        <v>5</v>
      </c>
      <c r="B293" t="s">
        <v>189</v>
      </c>
      <c r="C293" s="9">
        <v>46049</v>
      </c>
      <c r="D293" s="10">
        <v>42595</v>
      </c>
    </row>
    <row r="294" spans="1:4">
      <c r="A294" t="s">
        <v>5</v>
      </c>
      <c r="B294" t="s">
        <v>159</v>
      </c>
      <c r="C294" s="9">
        <v>46049</v>
      </c>
      <c r="D294" s="10">
        <v>38445</v>
      </c>
    </row>
    <row r="295" spans="1:4">
      <c r="A295" t="s">
        <v>5</v>
      </c>
      <c r="B295" t="s">
        <v>104</v>
      </c>
      <c r="C295" s="9">
        <v>46049</v>
      </c>
      <c r="D295" s="10">
        <v>34287</v>
      </c>
    </row>
    <row r="296" spans="1:4">
      <c r="A296" t="s">
        <v>4</v>
      </c>
      <c r="B296" t="s">
        <v>268</v>
      </c>
      <c r="C296" s="9">
        <v>46050</v>
      </c>
      <c r="D296" s="10">
        <v>33405</v>
      </c>
    </row>
    <row r="297" spans="1:4">
      <c r="A297" t="s">
        <v>31</v>
      </c>
      <c r="B297" t="s">
        <v>269</v>
      </c>
      <c r="C297" s="9">
        <v>46050</v>
      </c>
      <c r="D297" s="10">
        <v>9765</v>
      </c>
    </row>
    <row r="298" spans="1:4">
      <c r="A298" t="s">
        <v>28</v>
      </c>
      <c r="B298" t="s">
        <v>270</v>
      </c>
      <c r="C298" s="9">
        <v>46050</v>
      </c>
      <c r="D298" s="10">
        <v>13727</v>
      </c>
    </row>
    <row r="299" spans="1:4">
      <c r="A299" t="s">
        <v>26</v>
      </c>
      <c r="B299" t="s">
        <v>271</v>
      </c>
      <c r="C299" s="9">
        <v>46050</v>
      </c>
      <c r="D299" s="10">
        <v>11863</v>
      </c>
    </row>
    <row r="300" spans="1:4">
      <c r="A300" t="s">
        <v>6</v>
      </c>
      <c r="B300" t="s">
        <v>272</v>
      </c>
      <c r="C300" s="9">
        <v>46050</v>
      </c>
      <c r="D300" s="10">
        <v>18565</v>
      </c>
    </row>
    <row r="301" spans="1:4">
      <c r="A301" t="s">
        <v>7</v>
      </c>
      <c r="B301" t="s">
        <v>273</v>
      </c>
      <c r="C301" s="9">
        <v>46050</v>
      </c>
      <c r="D301" s="10">
        <v>9822</v>
      </c>
    </row>
    <row r="302" spans="1:4">
      <c r="A302" t="s">
        <v>7</v>
      </c>
      <c r="B302" t="s">
        <v>274</v>
      </c>
      <c r="C302" s="9">
        <v>46050</v>
      </c>
      <c r="D302" s="10">
        <v>43932</v>
      </c>
    </row>
    <row r="303" spans="1:4">
      <c r="A303" t="s">
        <v>9</v>
      </c>
      <c r="B303" t="s">
        <v>201</v>
      </c>
      <c r="C303" s="9">
        <v>46050</v>
      </c>
      <c r="D303" s="10">
        <v>43777</v>
      </c>
    </row>
    <row r="304" spans="1:4">
      <c r="A304" t="s">
        <v>9</v>
      </c>
      <c r="B304" t="s">
        <v>240</v>
      </c>
      <c r="C304" s="9">
        <v>46050</v>
      </c>
      <c r="D304" s="10">
        <v>29403</v>
      </c>
    </row>
    <row r="305" spans="1:4">
      <c r="A305" t="s">
        <v>9</v>
      </c>
      <c r="B305" t="s">
        <v>87</v>
      </c>
      <c r="C305" s="9">
        <v>46050</v>
      </c>
      <c r="D305" s="10">
        <v>40154</v>
      </c>
    </row>
    <row r="306" spans="1:4">
      <c r="A306" t="s">
        <v>5</v>
      </c>
      <c r="B306" t="s">
        <v>59</v>
      </c>
      <c r="C306" s="9">
        <v>46050</v>
      </c>
      <c r="D306" s="10">
        <v>42609</v>
      </c>
    </row>
    <row r="307" spans="1:4">
      <c r="A307" t="s">
        <v>5</v>
      </c>
      <c r="B307" t="s">
        <v>275</v>
      </c>
      <c r="C307" s="9">
        <v>46050</v>
      </c>
      <c r="D307" s="10">
        <v>63131</v>
      </c>
    </row>
    <row r="308" spans="1:4">
      <c r="A308" t="s">
        <v>5</v>
      </c>
      <c r="B308" t="s">
        <v>123</v>
      </c>
      <c r="C308" s="9">
        <v>46050</v>
      </c>
      <c r="D308" s="10">
        <v>39296</v>
      </c>
    </row>
    <row r="309" spans="1:4">
      <c r="A309" t="s">
        <v>5</v>
      </c>
      <c r="B309" t="s">
        <v>276</v>
      </c>
      <c r="C309" s="9">
        <v>46050</v>
      </c>
      <c r="D309" s="10">
        <v>20333</v>
      </c>
    </row>
    <row r="310" spans="1:4">
      <c r="A310" t="s">
        <v>5</v>
      </c>
      <c r="B310" t="s">
        <v>155</v>
      </c>
      <c r="C310" s="9">
        <v>46050</v>
      </c>
      <c r="D310" s="10">
        <v>59788</v>
      </c>
    </row>
    <row r="311" spans="1:4">
      <c r="A311" t="s">
        <v>5</v>
      </c>
      <c r="B311" t="s">
        <v>82</v>
      </c>
      <c r="C311" s="9">
        <v>46050</v>
      </c>
      <c r="D311" s="10">
        <v>37269</v>
      </c>
    </row>
    <row r="312" spans="1:4">
      <c r="A312" t="s">
        <v>5</v>
      </c>
      <c r="B312" t="s">
        <v>140</v>
      </c>
      <c r="C312" s="9">
        <v>46050</v>
      </c>
      <c r="D312" s="10">
        <v>42464</v>
      </c>
    </row>
    <row r="313" spans="1:4">
      <c r="A313" t="s">
        <v>27</v>
      </c>
      <c r="B313" t="s">
        <v>277</v>
      </c>
      <c r="C313" s="9">
        <v>46051</v>
      </c>
      <c r="D313" s="10">
        <v>14368</v>
      </c>
    </row>
    <row r="314" spans="1:4">
      <c r="A314" t="s">
        <v>4</v>
      </c>
      <c r="B314" t="s">
        <v>278</v>
      </c>
      <c r="C314" s="9">
        <v>46051</v>
      </c>
      <c r="D314" s="10">
        <v>21821</v>
      </c>
    </row>
    <row r="315" spans="1:4">
      <c r="A315" t="s">
        <v>25</v>
      </c>
      <c r="B315" t="s">
        <v>279</v>
      </c>
      <c r="C315" s="9">
        <v>46051</v>
      </c>
      <c r="D315" s="10">
        <v>16544</v>
      </c>
    </row>
    <row r="316" spans="1:4">
      <c r="A316" t="s">
        <v>36</v>
      </c>
      <c r="B316" t="s">
        <v>280</v>
      </c>
      <c r="C316" s="9">
        <v>46051</v>
      </c>
      <c r="D316" s="10">
        <v>5200</v>
      </c>
    </row>
    <row r="317" spans="1:4">
      <c r="A317" t="s">
        <v>26</v>
      </c>
      <c r="B317" t="s">
        <v>281</v>
      </c>
      <c r="C317" s="9">
        <v>46051</v>
      </c>
      <c r="D317" s="10">
        <v>30967</v>
      </c>
    </row>
    <row r="318" spans="1:4">
      <c r="A318" t="s">
        <v>6</v>
      </c>
      <c r="B318" t="s">
        <v>282</v>
      </c>
      <c r="C318" s="9">
        <v>46051</v>
      </c>
      <c r="D318" s="10">
        <v>16644</v>
      </c>
    </row>
    <row r="319" spans="1:4">
      <c r="A319" t="s">
        <v>9</v>
      </c>
      <c r="B319" t="s">
        <v>258</v>
      </c>
      <c r="C319" s="9">
        <v>46051</v>
      </c>
      <c r="D319" s="10">
        <v>40323</v>
      </c>
    </row>
    <row r="320" spans="1:4">
      <c r="A320" t="s">
        <v>9</v>
      </c>
      <c r="B320" t="s">
        <v>192</v>
      </c>
      <c r="C320" s="9">
        <v>46051</v>
      </c>
      <c r="D320" s="10">
        <v>32424</v>
      </c>
    </row>
    <row r="321" spans="1:4">
      <c r="A321" t="s">
        <v>9</v>
      </c>
      <c r="B321" t="s">
        <v>202</v>
      </c>
      <c r="C321" s="9">
        <v>46051</v>
      </c>
      <c r="D321" s="10">
        <v>26996</v>
      </c>
    </row>
    <row r="322" spans="1:4">
      <c r="A322" t="s">
        <v>5</v>
      </c>
      <c r="B322" t="s">
        <v>86</v>
      </c>
      <c r="C322" s="9">
        <v>46051</v>
      </c>
      <c r="D322" s="10">
        <v>25260</v>
      </c>
    </row>
    <row r="323" spans="1:4">
      <c r="A323" t="s">
        <v>5</v>
      </c>
      <c r="B323" t="s">
        <v>71</v>
      </c>
      <c r="C323" s="9">
        <v>46051</v>
      </c>
      <c r="D323" s="10">
        <v>37971</v>
      </c>
    </row>
    <row r="324" spans="1:4">
      <c r="A324" t="s">
        <v>4</v>
      </c>
      <c r="B324" t="s">
        <v>283</v>
      </c>
      <c r="C324" s="9">
        <v>46052</v>
      </c>
      <c r="D324" s="10">
        <v>29528</v>
      </c>
    </row>
    <row r="325" spans="1:4">
      <c r="A325" t="s">
        <v>4</v>
      </c>
      <c r="B325" t="s">
        <v>128</v>
      </c>
      <c r="C325" s="9">
        <v>46052</v>
      </c>
      <c r="D325" s="10">
        <v>30086</v>
      </c>
    </row>
    <row r="326" spans="1:4">
      <c r="A326" t="s">
        <v>25</v>
      </c>
      <c r="B326" t="s">
        <v>284</v>
      </c>
      <c r="C326" s="9">
        <v>46052</v>
      </c>
      <c r="D326" s="10">
        <v>7990</v>
      </c>
    </row>
    <row r="327" spans="1:4">
      <c r="A327" t="s">
        <v>34</v>
      </c>
      <c r="B327" t="s">
        <v>285</v>
      </c>
      <c r="C327" s="9">
        <v>46052</v>
      </c>
      <c r="D327" s="10">
        <v>5200</v>
      </c>
    </row>
    <row r="328" spans="1:4">
      <c r="A328" t="s">
        <v>6</v>
      </c>
      <c r="B328" t="s">
        <v>286</v>
      </c>
      <c r="C328" s="9">
        <v>46052</v>
      </c>
      <c r="D328" s="10">
        <v>11125</v>
      </c>
    </row>
    <row r="329" spans="1:4">
      <c r="A329" t="s">
        <v>6</v>
      </c>
      <c r="B329" t="s">
        <v>287</v>
      </c>
      <c r="C329" s="9">
        <v>46052</v>
      </c>
      <c r="D329" s="10">
        <v>18954</v>
      </c>
    </row>
    <row r="330" spans="1:4">
      <c r="A330" t="s">
        <v>7</v>
      </c>
      <c r="B330" t="s">
        <v>288</v>
      </c>
      <c r="C330" s="9">
        <v>46052</v>
      </c>
      <c r="D330" s="10">
        <v>23465</v>
      </c>
    </row>
    <row r="331" spans="1:4">
      <c r="A331" t="s">
        <v>7</v>
      </c>
      <c r="B331" t="s">
        <v>289</v>
      </c>
      <c r="C331" s="9">
        <v>46052</v>
      </c>
      <c r="D331" s="10">
        <v>36182</v>
      </c>
    </row>
    <row r="332" spans="1:4">
      <c r="A332" t="s">
        <v>9</v>
      </c>
      <c r="B332" t="s">
        <v>87</v>
      </c>
      <c r="C332" s="9">
        <v>46052</v>
      </c>
      <c r="D332" s="10">
        <v>51876</v>
      </c>
    </row>
    <row r="333" spans="1:4">
      <c r="A333" t="s">
        <v>9</v>
      </c>
      <c r="B333" t="s">
        <v>79</v>
      </c>
      <c r="C333" s="9">
        <v>46052</v>
      </c>
      <c r="D333" s="10">
        <v>37161</v>
      </c>
    </row>
    <row r="334" spans="1:4">
      <c r="A334" t="s">
        <v>5</v>
      </c>
      <c r="B334" t="s">
        <v>59</v>
      </c>
      <c r="C334" s="9">
        <v>46052</v>
      </c>
      <c r="D334" s="10">
        <v>41452</v>
      </c>
    </row>
    <row r="335" spans="1:4">
      <c r="A335" t="s">
        <v>5</v>
      </c>
      <c r="B335" t="s">
        <v>72</v>
      </c>
      <c r="C335" s="9">
        <v>46052</v>
      </c>
      <c r="D335" s="10">
        <v>55252</v>
      </c>
    </row>
    <row r="336" spans="1:4">
      <c r="A336" t="s">
        <v>5</v>
      </c>
      <c r="B336" t="s">
        <v>168</v>
      </c>
      <c r="C336" s="9">
        <v>46052</v>
      </c>
      <c r="D336" s="10">
        <v>45052</v>
      </c>
    </row>
    <row r="337" spans="1:4">
      <c r="A337" t="s">
        <v>5</v>
      </c>
      <c r="B337" t="s">
        <v>104</v>
      </c>
      <c r="C337" s="9">
        <v>46052</v>
      </c>
      <c r="D337" s="10">
        <v>43911</v>
      </c>
    </row>
    <row r="338" spans="1:4">
      <c r="A338" t="s">
        <v>35</v>
      </c>
      <c r="B338" t="s">
        <v>290</v>
      </c>
      <c r="C338" s="9">
        <v>46053</v>
      </c>
      <c r="D338" s="10">
        <v>14854</v>
      </c>
    </row>
    <row r="339" spans="1:4">
      <c r="A339" t="s">
        <v>26</v>
      </c>
      <c r="B339" t="s">
        <v>291</v>
      </c>
      <c r="C339" s="9">
        <v>46053</v>
      </c>
      <c r="D339" s="10">
        <v>15826</v>
      </c>
    </row>
    <row r="340" spans="1:4">
      <c r="A340" t="s">
        <v>9</v>
      </c>
      <c r="B340" t="s">
        <v>100</v>
      </c>
      <c r="C340" s="9">
        <v>46053</v>
      </c>
      <c r="D340" s="10">
        <v>19856</v>
      </c>
    </row>
    <row r="341" spans="1:4">
      <c r="A341" t="s">
        <v>9</v>
      </c>
      <c r="B341" t="s">
        <v>292</v>
      </c>
      <c r="C341" s="9">
        <v>46053</v>
      </c>
      <c r="D341" s="10">
        <v>48085</v>
      </c>
    </row>
    <row r="342" spans="1:4">
      <c r="A342" t="s">
        <v>5</v>
      </c>
      <c r="B342" t="s">
        <v>187</v>
      </c>
      <c r="C342" s="9">
        <v>46053</v>
      </c>
      <c r="D342" s="10">
        <v>46000</v>
      </c>
    </row>
    <row r="343" spans="1:4">
      <c r="A343" t="s">
        <v>5</v>
      </c>
      <c r="B343" t="s">
        <v>293</v>
      </c>
      <c r="C343" s="9">
        <v>46053</v>
      </c>
      <c r="D343" s="10">
        <v>68852</v>
      </c>
    </row>
    <row r="344" spans="1:4">
      <c r="A344" t="s">
        <v>5</v>
      </c>
      <c r="B344" t="s">
        <v>189</v>
      </c>
      <c r="C344" s="9">
        <v>46053</v>
      </c>
      <c r="D344" s="10">
        <v>35647</v>
      </c>
    </row>
    <row r="345" spans="1:4">
      <c r="A345" t="s">
        <v>5</v>
      </c>
      <c r="B345" t="s">
        <v>159</v>
      </c>
      <c r="C345" s="9">
        <v>46053</v>
      </c>
      <c r="D345" s="10">
        <v>42414</v>
      </c>
    </row>
    <row r="346" spans="1:4">
      <c r="A346" t="s">
        <v>5</v>
      </c>
      <c r="B346" t="s">
        <v>87</v>
      </c>
      <c r="C346" s="9">
        <v>46053</v>
      </c>
      <c r="D346" s="10">
        <v>48239</v>
      </c>
    </row>
    <row r="347" spans="1:4">
      <c r="A347" t="s">
        <v>5</v>
      </c>
      <c r="B347" t="s">
        <v>88</v>
      </c>
      <c r="C347" s="9">
        <v>46053</v>
      </c>
      <c r="D347" s="10">
        <v>41983</v>
      </c>
    </row>
    <row r="348" spans="1:4">
      <c r="A348" t="s">
        <v>35</v>
      </c>
      <c r="B348" t="s">
        <v>259</v>
      </c>
      <c r="C348" s="9">
        <v>46054</v>
      </c>
      <c r="D348" s="10">
        <v>8159</v>
      </c>
    </row>
    <row r="349" spans="1:4">
      <c r="A349" t="s">
        <v>4</v>
      </c>
      <c r="B349" t="s">
        <v>268</v>
      </c>
      <c r="C349" s="9">
        <v>46054</v>
      </c>
      <c r="D349" s="10">
        <v>32310</v>
      </c>
    </row>
    <row r="350" spans="1:4">
      <c r="A350" t="s">
        <v>30</v>
      </c>
      <c r="B350" t="s">
        <v>60</v>
      </c>
      <c r="C350" s="9">
        <v>46054</v>
      </c>
      <c r="D350" s="10">
        <v>22652</v>
      </c>
    </row>
    <row r="351" spans="1:4">
      <c r="A351" t="s">
        <v>6</v>
      </c>
      <c r="B351" t="s">
        <v>184</v>
      </c>
      <c r="C351" s="9">
        <v>46054</v>
      </c>
      <c r="D351" s="10">
        <v>18060</v>
      </c>
    </row>
    <row r="352" spans="1:4">
      <c r="A352" t="s">
        <v>33</v>
      </c>
      <c r="B352" t="s">
        <v>267</v>
      </c>
      <c r="C352" s="9">
        <v>46054</v>
      </c>
      <c r="D352" s="10">
        <v>12090</v>
      </c>
    </row>
    <row r="353" spans="1:4">
      <c r="A353" t="s">
        <v>7</v>
      </c>
      <c r="B353" t="s">
        <v>257</v>
      </c>
      <c r="C353" s="9">
        <v>46054</v>
      </c>
      <c r="D353" s="10">
        <v>26785</v>
      </c>
    </row>
    <row r="354" spans="1:4">
      <c r="A354" t="s">
        <v>9</v>
      </c>
      <c r="B354" t="s">
        <v>120</v>
      </c>
      <c r="C354" s="9">
        <v>46054</v>
      </c>
      <c r="D354" s="10">
        <v>45087</v>
      </c>
    </row>
    <row r="355" spans="1:4">
      <c r="A355" t="s">
        <v>9</v>
      </c>
      <c r="B355" t="s">
        <v>216</v>
      </c>
      <c r="C355" s="9">
        <v>46054</v>
      </c>
      <c r="D355" s="10">
        <v>45016</v>
      </c>
    </row>
    <row r="356" spans="1:4">
      <c r="A356" t="s">
        <v>5</v>
      </c>
      <c r="B356" t="s">
        <v>72</v>
      </c>
      <c r="C356" s="9">
        <v>46054</v>
      </c>
      <c r="D356" s="10">
        <v>56707</v>
      </c>
    </row>
    <row r="357" spans="1:4">
      <c r="A357" t="s">
        <v>5</v>
      </c>
      <c r="B357" t="s">
        <v>72</v>
      </c>
      <c r="C357" s="9">
        <v>46054</v>
      </c>
      <c r="D357" s="10">
        <v>52991</v>
      </c>
    </row>
    <row r="358" spans="1:4">
      <c r="A358" t="s">
        <v>5</v>
      </c>
      <c r="B358" t="s">
        <v>168</v>
      </c>
      <c r="C358" s="9">
        <v>46054</v>
      </c>
      <c r="D358" s="10">
        <v>34085</v>
      </c>
    </row>
    <row r="359" spans="1:4">
      <c r="A359" t="s">
        <v>5</v>
      </c>
      <c r="B359" t="s">
        <v>87</v>
      </c>
      <c r="C359" s="9">
        <v>46054</v>
      </c>
      <c r="D359" s="10">
        <v>35306</v>
      </c>
    </row>
    <row r="360" spans="1:4">
      <c r="A360" t="s">
        <v>5</v>
      </c>
      <c r="B360" t="s">
        <v>140</v>
      </c>
      <c r="C360" s="9">
        <v>46054</v>
      </c>
      <c r="D360" s="10">
        <v>39156</v>
      </c>
    </row>
    <row r="361" spans="1:4">
      <c r="A361" t="s">
        <v>35</v>
      </c>
      <c r="B361" t="s">
        <v>280</v>
      </c>
      <c r="C361" s="9">
        <v>46055</v>
      </c>
      <c r="D361" s="10">
        <v>18041</v>
      </c>
    </row>
    <row r="362" spans="1:4">
      <c r="A362" t="s">
        <v>27</v>
      </c>
      <c r="B362" t="s">
        <v>182</v>
      </c>
      <c r="C362" s="9">
        <v>46055</v>
      </c>
      <c r="D362" s="10">
        <v>5200</v>
      </c>
    </row>
    <row r="363" spans="1:4">
      <c r="A363" t="s">
        <v>4</v>
      </c>
      <c r="B363" t="s">
        <v>175</v>
      </c>
      <c r="C363" s="9">
        <v>46055</v>
      </c>
      <c r="D363" s="10">
        <v>32398</v>
      </c>
    </row>
    <row r="364" spans="1:4">
      <c r="A364" t="s">
        <v>4</v>
      </c>
      <c r="B364" t="s">
        <v>262</v>
      </c>
      <c r="C364" s="9">
        <v>46055</v>
      </c>
      <c r="D364" s="10">
        <v>38084</v>
      </c>
    </row>
    <row r="365" spans="1:4">
      <c r="A365" t="s">
        <v>25</v>
      </c>
      <c r="B365" t="s">
        <v>161</v>
      </c>
      <c r="C365" s="9">
        <v>46055</v>
      </c>
      <c r="D365" s="10">
        <v>14937</v>
      </c>
    </row>
    <row r="366" spans="1:4">
      <c r="A366" t="s">
        <v>28</v>
      </c>
      <c r="B366" t="s">
        <v>270</v>
      </c>
      <c r="C366" s="9">
        <v>46055</v>
      </c>
      <c r="D366" s="10">
        <v>15055</v>
      </c>
    </row>
    <row r="367" spans="1:4">
      <c r="A367" t="s">
        <v>8</v>
      </c>
      <c r="B367" t="s">
        <v>144</v>
      </c>
      <c r="C367" s="9">
        <v>46055</v>
      </c>
      <c r="D367" s="10">
        <v>27223</v>
      </c>
    </row>
    <row r="368" spans="1:4">
      <c r="A368" t="s">
        <v>29</v>
      </c>
      <c r="B368" t="s">
        <v>95</v>
      </c>
      <c r="C368" s="9">
        <v>46055</v>
      </c>
      <c r="D368" s="10">
        <v>12002</v>
      </c>
    </row>
    <row r="369" spans="1:4">
      <c r="A369" t="s">
        <v>29</v>
      </c>
      <c r="B369" t="s">
        <v>84</v>
      </c>
      <c r="C369" s="9">
        <v>46055</v>
      </c>
      <c r="D369" s="10">
        <v>14690</v>
      </c>
    </row>
    <row r="370" spans="1:4">
      <c r="A370" t="s">
        <v>7</v>
      </c>
      <c r="B370" t="s">
        <v>97</v>
      </c>
      <c r="C370" s="9">
        <v>46055</v>
      </c>
      <c r="D370" s="10">
        <v>24030</v>
      </c>
    </row>
    <row r="371" spans="1:4">
      <c r="A371" t="s">
        <v>9</v>
      </c>
      <c r="B371" t="s">
        <v>106</v>
      </c>
      <c r="C371" s="9">
        <v>46055</v>
      </c>
      <c r="D371" s="10">
        <v>33830</v>
      </c>
    </row>
    <row r="372" spans="1:4">
      <c r="A372" t="s">
        <v>5</v>
      </c>
      <c r="B372" t="s">
        <v>209</v>
      </c>
      <c r="C372" s="9">
        <v>46055</v>
      </c>
      <c r="D372" s="10">
        <v>43322</v>
      </c>
    </row>
    <row r="373" spans="1:4">
      <c r="A373" t="s">
        <v>5</v>
      </c>
      <c r="B373" t="s">
        <v>72</v>
      </c>
      <c r="C373" s="9">
        <v>46055</v>
      </c>
      <c r="D373" s="10">
        <v>51542</v>
      </c>
    </row>
    <row r="374" spans="1:4">
      <c r="A374" t="s">
        <v>5</v>
      </c>
      <c r="B374" t="s">
        <v>122</v>
      </c>
      <c r="C374" s="9">
        <v>46055</v>
      </c>
      <c r="D374" s="10">
        <v>42960</v>
      </c>
    </row>
    <row r="375" spans="1:4">
      <c r="A375" t="s">
        <v>5</v>
      </c>
      <c r="B375" t="s">
        <v>104</v>
      </c>
      <c r="C375" s="9">
        <v>46055</v>
      </c>
      <c r="D375" s="10">
        <v>39608</v>
      </c>
    </row>
    <row r="376" spans="1:4">
      <c r="A376" t="s">
        <v>4</v>
      </c>
      <c r="B376" t="s">
        <v>110</v>
      </c>
      <c r="C376" s="9">
        <v>46056</v>
      </c>
      <c r="D376" s="10">
        <v>41039</v>
      </c>
    </row>
    <row r="377" spans="1:4">
      <c r="A377" t="s">
        <v>4</v>
      </c>
      <c r="B377" t="s">
        <v>252</v>
      </c>
      <c r="C377" s="9">
        <v>46056</v>
      </c>
      <c r="D377" s="10">
        <v>33125</v>
      </c>
    </row>
    <row r="378" spans="1:4">
      <c r="A378" t="s">
        <v>8</v>
      </c>
      <c r="B378" t="s">
        <v>92</v>
      </c>
      <c r="C378" s="9">
        <v>46056</v>
      </c>
      <c r="D378" s="10">
        <v>32012</v>
      </c>
    </row>
    <row r="379" spans="1:4">
      <c r="A379" t="s">
        <v>7</v>
      </c>
      <c r="B379" t="s">
        <v>173</v>
      </c>
      <c r="C379" s="9">
        <v>46056</v>
      </c>
      <c r="D379" s="10">
        <v>23989</v>
      </c>
    </row>
    <row r="380" spans="1:4">
      <c r="A380" t="s">
        <v>7</v>
      </c>
      <c r="B380" t="s">
        <v>77</v>
      </c>
      <c r="C380" s="9">
        <v>46056</v>
      </c>
      <c r="D380" s="10">
        <v>22478</v>
      </c>
    </row>
    <row r="381" spans="1:4">
      <c r="A381" t="s">
        <v>9</v>
      </c>
      <c r="B381" t="s">
        <v>258</v>
      </c>
      <c r="C381" s="9">
        <v>46056</v>
      </c>
      <c r="D381" s="10">
        <v>36067</v>
      </c>
    </row>
    <row r="382" spans="1:4">
      <c r="A382" t="s">
        <v>9</v>
      </c>
      <c r="B382" t="s">
        <v>180</v>
      </c>
      <c r="C382" s="9">
        <v>46056</v>
      </c>
      <c r="D382" s="10">
        <v>48746</v>
      </c>
    </row>
    <row r="383" spans="1:4">
      <c r="A383" t="s">
        <v>9</v>
      </c>
      <c r="B383" t="s">
        <v>79</v>
      </c>
      <c r="C383" s="9">
        <v>46056</v>
      </c>
      <c r="D383" s="10">
        <v>38096</v>
      </c>
    </row>
    <row r="384" spans="1:4">
      <c r="A384" t="s">
        <v>5</v>
      </c>
      <c r="B384" t="s">
        <v>59</v>
      </c>
      <c r="C384" s="9">
        <v>46056</v>
      </c>
      <c r="D384" s="10">
        <v>40149</v>
      </c>
    </row>
    <row r="385" spans="1:4">
      <c r="A385" t="s">
        <v>5</v>
      </c>
      <c r="B385" t="s">
        <v>275</v>
      </c>
      <c r="C385" s="9">
        <v>46056</v>
      </c>
      <c r="D385" s="10">
        <v>32778</v>
      </c>
    </row>
    <row r="386" spans="1:4">
      <c r="A386" t="s">
        <v>5</v>
      </c>
      <c r="B386" t="s">
        <v>69</v>
      </c>
      <c r="C386" s="9">
        <v>46056</v>
      </c>
      <c r="D386" s="10">
        <v>36556</v>
      </c>
    </row>
    <row r="387" spans="1:4">
      <c r="A387" t="s">
        <v>5</v>
      </c>
      <c r="B387" t="s">
        <v>189</v>
      </c>
      <c r="C387" s="9">
        <v>46056</v>
      </c>
      <c r="D387" s="10">
        <v>38505</v>
      </c>
    </row>
    <row r="388" spans="1:4">
      <c r="A388" t="s">
        <v>31</v>
      </c>
      <c r="B388" t="s">
        <v>63</v>
      </c>
      <c r="C388" s="9">
        <v>46057</v>
      </c>
      <c r="D388" s="10">
        <v>11793</v>
      </c>
    </row>
    <row r="389" spans="1:4">
      <c r="A389" t="s">
        <v>8</v>
      </c>
      <c r="B389" t="s">
        <v>132</v>
      </c>
      <c r="C389" s="9">
        <v>46057</v>
      </c>
      <c r="D389" s="10">
        <v>14839</v>
      </c>
    </row>
    <row r="390" spans="1:4">
      <c r="A390" t="s">
        <v>6</v>
      </c>
      <c r="B390" t="s">
        <v>94</v>
      </c>
      <c r="C390" s="9">
        <v>46057</v>
      </c>
      <c r="D390" s="10">
        <v>16266</v>
      </c>
    </row>
    <row r="391" spans="1:4">
      <c r="A391" t="s">
        <v>6</v>
      </c>
      <c r="B391" t="s">
        <v>287</v>
      </c>
      <c r="C391" s="9">
        <v>46057</v>
      </c>
      <c r="D391" s="10">
        <v>18753</v>
      </c>
    </row>
    <row r="392" spans="1:4">
      <c r="A392" t="s">
        <v>9</v>
      </c>
      <c r="B392" t="s">
        <v>85</v>
      </c>
      <c r="C392" s="9">
        <v>46057</v>
      </c>
      <c r="D392" s="10">
        <v>27890</v>
      </c>
    </row>
    <row r="393" spans="1:4">
      <c r="A393" t="s">
        <v>9</v>
      </c>
      <c r="B393" t="s">
        <v>202</v>
      </c>
      <c r="C393" s="9">
        <v>46057</v>
      </c>
      <c r="D393" s="10">
        <v>32243</v>
      </c>
    </row>
    <row r="394" spans="1:4">
      <c r="A394" t="s">
        <v>9</v>
      </c>
      <c r="B394" t="s">
        <v>106</v>
      </c>
      <c r="C394" s="9">
        <v>46057</v>
      </c>
      <c r="D394" s="10">
        <v>41717</v>
      </c>
    </row>
    <row r="395" spans="1:4">
      <c r="A395" t="s">
        <v>5</v>
      </c>
      <c r="B395" t="s">
        <v>148</v>
      </c>
      <c r="C395" s="9">
        <v>46057</v>
      </c>
      <c r="D395" s="10">
        <v>42940</v>
      </c>
    </row>
    <row r="396" spans="1:4">
      <c r="A396" t="s">
        <v>5</v>
      </c>
      <c r="B396" t="s">
        <v>149</v>
      </c>
      <c r="C396" s="9">
        <v>46057</v>
      </c>
      <c r="D396" s="10">
        <v>44701</v>
      </c>
    </row>
    <row r="397" spans="1:4">
      <c r="A397" t="s">
        <v>5</v>
      </c>
      <c r="B397" t="s">
        <v>155</v>
      </c>
      <c r="C397" s="9">
        <v>46057</v>
      </c>
      <c r="D397" s="10">
        <v>46746</v>
      </c>
    </row>
    <row r="398" spans="1:4">
      <c r="A398" t="s">
        <v>5</v>
      </c>
      <c r="B398" t="s">
        <v>211</v>
      </c>
      <c r="C398" s="9">
        <v>46057</v>
      </c>
      <c r="D398" s="10">
        <v>38448</v>
      </c>
    </row>
    <row r="399" spans="1:4">
      <c r="A399" t="s">
        <v>5</v>
      </c>
      <c r="B399" t="s">
        <v>159</v>
      </c>
      <c r="C399" s="9">
        <v>46057</v>
      </c>
      <c r="D399" s="10">
        <v>31536</v>
      </c>
    </row>
    <row r="400" spans="1:4">
      <c r="A400" t="s">
        <v>5</v>
      </c>
      <c r="B400" t="s">
        <v>103</v>
      </c>
      <c r="C400" s="9">
        <v>46057</v>
      </c>
      <c r="D400" s="10">
        <v>31516</v>
      </c>
    </row>
    <row r="401" spans="1:4">
      <c r="A401" t="s">
        <v>4</v>
      </c>
      <c r="B401" t="s">
        <v>262</v>
      </c>
      <c r="C401" s="9">
        <v>46058</v>
      </c>
      <c r="D401" s="10">
        <v>34082</v>
      </c>
    </row>
    <row r="402" spans="1:4">
      <c r="A402" t="s">
        <v>26</v>
      </c>
      <c r="B402" t="s">
        <v>281</v>
      </c>
      <c r="C402" s="9">
        <v>46058</v>
      </c>
      <c r="D402" s="10">
        <v>9210</v>
      </c>
    </row>
    <row r="403" spans="1:4">
      <c r="A403" t="s">
        <v>30</v>
      </c>
      <c r="B403" t="s">
        <v>243</v>
      </c>
      <c r="C403" s="9">
        <v>46058</v>
      </c>
      <c r="D403" s="10">
        <v>13371</v>
      </c>
    </row>
    <row r="404" spans="1:4">
      <c r="A404" t="s">
        <v>6</v>
      </c>
      <c r="B404" t="s">
        <v>286</v>
      </c>
      <c r="C404" s="9">
        <v>46058</v>
      </c>
      <c r="D404" s="10">
        <v>14466</v>
      </c>
    </row>
    <row r="405" spans="1:4">
      <c r="A405" t="s">
        <v>7</v>
      </c>
      <c r="B405" t="s">
        <v>99</v>
      </c>
      <c r="C405" s="9">
        <v>46058</v>
      </c>
      <c r="D405" s="10">
        <v>28371</v>
      </c>
    </row>
    <row r="406" spans="1:4">
      <c r="A406" t="s">
        <v>7</v>
      </c>
      <c r="B406" t="s">
        <v>231</v>
      </c>
      <c r="C406" s="9">
        <v>46058</v>
      </c>
      <c r="D406" s="10">
        <v>26618</v>
      </c>
    </row>
    <row r="407" spans="1:4">
      <c r="A407" t="s">
        <v>9</v>
      </c>
      <c r="B407" t="s">
        <v>201</v>
      </c>
      <c r="C407" s="9">
        <v>46058</v>
      </c>
      <c r="D407" s="10">
        <v>45607</v>
      </c>
    </row>
    <row r="408" spans="1:4">
      <c r="A408" t="s">
        <v>9</v>
      </c>
      <c r="B408" t="s">
        <v>134</v>
      </c>
      <c r="C408" s="9">
        <v>46058</v>
      </c>
      <c r="D408" s="10">
        <v>49584</v>
      </c>
    </row>
    <row r="409" spans="1:4">
      <c r="A409" t="s">
        <v>9</v>
      </c>
      <c r="B409" t="s">
        <v>228</v>
      </c>
      <c r="C409" s="9">
        <v>46058</v>
      </c>
      <c r="D409" s="10">
        <v>25903</v>
      </c>
    </row>
    <row r="410" spans="1:4">
      <c r="A410" t="s">
        <v>9</v>
      </c>
      <c r="B410" t="s">
        <v>228</v>
      </c>
      <c r="C410" s="9">
        <v>46058</v>
      </c>
      <c r="D410" s="10">
        <v>32848</v>
      </c>
    </row>
    <row r="411" spans="1:4">
      <c r="A411" t="s">
        <v>9</v>
      </c>
      <c r="B411" t="s">
        <v>67</v>
      </c>
      <c r="C411" s="9">
        <v>46058</v>
      </c>
      <c r="D411" s="10">
        <v>35231</v>
      </c>
    </row>
    <row r="412" spans="1:4">
      <c r="A412" t="s">
        <v>5</v>
      </c>
      <c r="B412" t="s">
        <v>211</v>
      </c>
      <c r="C412" s="9">
        <v>46058</v>
      </c>
      <c r="D412" s="10">
        <v>36945</v>
      </c>
    </row>
    <row r="413" spans="1:4">
      <c r="A413" t="s">
        <v>5</v>
      </c>
      <c r="B413" t="s">
        <v>127</v>
      </c>
      <c r="C413" s="9">
        <v>46058</v>
      </c>
      <c r="D413" s="10">
        <v>31354</v>
      </c>
    </row>
    <row r="414" spans="1:4">
      <c r="A414" t="s">
        <v>5</v>
      </c>
      <c r="B414" t="s">
        <v>104</v>
      </c>
      <c r="C414" s="9">
        <v>46058</v>
      </c>
      <c r="D414" s="10">
        <v>49953</v>
      </c>
    </row>
    <row r="415" spans="1:4">
      <c r="A415" t="s">
        <v>5</v>
      </c>
      <c r="B415" t="s">
        <v>128</v>
      </c>
      <c r="C415" s="9">
        <v>46058</v>
      </c>
      <c r="D415" s="10">
        <v>41507</v>
      </c>
    </row>
    <row r="416" spans="1:4">
      <c r="A416" t="s">
        <v>27</v>
      </c>
      <c r="B416" t="s">
        <v>169</v>
      </c>
      <c r="C416" s="9">
        <v>46059</v>
      </c>
      <c r="D416" s="10">
        <v>13396</v>
      </c>
    </row>
    <row r="417" spans="1:4">
      <c r="A417" t="s">
        <v>4</v>
      </c>
      <c r="B417" t="s">
        <v>230</v>
      </c>
      <c r="C417" s="9">
        <v>46059</v>
      </c>
      <c r="D417" s="10">
        <v>18623</v>
      </c>
    </row>
    <row r="418" spans="1:4">
      <c r="A418" t="s">
        <v>26</v>
      </c>
      <c r="B418" t="s">
        <v>197</v>
      </c>
      <c r="C418" s="9">
        <v>46059</v>
      </c>
      <c r="D418" s="10">
        <v>14256</v>
      </c>
    </row>
    <row r="419" spans="1:4">
      <c r="A419" t="s">
        <v>8</v>
      </c>
      <c r="B419" t="s">
        <v>233</v>
      </c>
      <c r="C419" s="9">
        <v>46059</v>
      </c>
      <c r="D419" s="10">
        <v>11540</v>
      </c>
    </row>
    <row r="420" spans="1:4">
      <c r="A420" t="s">
        <v>8</v>
      </c>
      <c r="B420" t="s">
        <v>256</v>
      </c>
      <c r="C420" s="9">
        <v>46059</v>
      </c>
      <c r="D420" s="10">
        <v>18181</v>
      </c>
    </row>
    <row r="421" spans="1:4">
      <c r="A421" t="s">
        <v>32</v>
      </c>
      <c r="B421" t="s">
        <v>206</v>
      </c>
      <c r="C421" s="9">
        <v>46059</v>
      </c>
      <c r="D421" s="10">
        <v>13911</v>
      </c>
    </row>
    <row r="422" spans="1:4">
      <c r="A422" t="s">
        <v>7</v>
      </c>
      <c r="B422" t="s">
        <v>208</v>
      </c>
      <c r="C422" s="9">
        <v>46059</v>
      </c>
      <c r="D422" s="10">
        <v>30424</v>
      </c>
    </row>
    <row r="423" spans="1:4">
      <c r="A423" t="s">
        <v>7</v>
      </c>
      <c r="B423" t="s">
        <v>153</v>
      </c>
      <c r="C423" s="9">
        <v>46059</v>
      </c>
      <c r="D423" s="10">
        <v>26935</v>
      </c>
    </row>
    <row r="424" spans="1:4">
      <c r="A424" t="s">
        <v>9</v>
      </c>
      <c r="B424" t="s">
        <v>85</v>
      </c>
      <c r="C424" s="9">
        <v>46059</v>
      </c>
      <c r="D424" s="10">
        <v>37072</v>
      </c>
    </row>
    <row r="425" spans="1:4">
      <c r="A425" t="s">
        <v>9</v>
      </c>
      <c r="B425" t="s">
        <v>274</v>
      </c>
      <c r="C425" s="9">
        <v>46059</v>
      </c>
      <c r="D425" s="10">
        <v>43986</v>
      </c>
    </row>
    <row r="426" spans="1:4">
      <c r="A426" t="s">
        <v>9</v>
      </c>
      <c r="B426" t="s">
        <v>252</v>
      </c>
      <c r="C426" s="9">
        <v>46059</v>
      </c>
      <c r="D426" s="10">
        <v>36034</v>
      </c>
    </row>
    <row r="427" spans="1:4">
      <c r="A427" t="s">
        <v>9</v>
      </c>
      <c r="B427" t="s">
        <v>146</v>
      </c>
      <c r="C427" s="9">
        <v>46059</v>
      </c>
      <c r="D427" s="10">
        <v>32539</v>
      </c>
    </row>
    <row r="428" spans="1:4">
      <c r="A428" t="s">
        <v>9</v>
      </c>
      <c r="B428" t="s">
        <v>240</v>
      </c>
      <c r="C428" s="9">
        <v>46059</v>
      </c>
      <c r="D428" s="10">
        <v>31987</v>
      </c>
    </row>
    <row r="429" spans="1:4">
      <c r="A429" t="s">
        <v>9</v>
      </c>
      <c r="B429" t="s">
        <v>246</v>
      </c>
      <c r="C429" s="9">
        <v>46059</v>
      </c>
      <c r="D429" s="10">
        <v>33169</v>
      </c>
    </row>
    <row r="430" spans="1:4">
      <c r="A430" t="s">
        <v>5</v>
      </c>
      <c r="B430" t="s">
        <v>70</v>
      </c>
      <c r="C430" s="9">
        <v>46059</v>
      </c>
      <c r="D430" s="10">
        <v>42711</v>
      </c>
    </row>
    <row r="431" spans="1:4">
      <c r="A431" t="s">
        <v>5</v>
      </c>
      <c r="B431" t="s">
        <v>81</v>
      </c>
      <c r="C431" s="9">
        <v>46059</v>
      </c>
      <c r="D431" s="10">
        <v>34402</v>
      </c>
    </row>
    <row r="432" spans="1:4">
      <c r="A432" t="s">
        <v>5</v>
      </c>
      <c r="B432" t="s">
        <v>155</v>
      </c>
      <c r="C432" s="9">
        <v>46059</v>
      </c>
      <c r="D432" s="10">
        <v>46530</v>
      </c>
    </row>
    <row r="433" spans="1:4">
      <c r="A433" t="s">
        <v>35</v>
      </c>
      <c r="B433" t="s">
        <v>266</v>
      </c>
      <c r="C433" s="9">
        <v>46060</v>
      </c>
      <c r="D433" s="10">
        <v>12294</v>
      </c>
    </row>
    <row r="434" spans="1:4">
      <c r="A434" t="s">
        <v>4</v>
      </c>
      <c r="B434" t="s">
        <v>235</v>
      </c>
      <c r="C434" s="9">
        <v>46060</v>
      </c>
      <c r="D434" s="10">
        <v>32538</v>
      </c>
    </row>
    <row r="435" spans="1:4">
      <c r="A435" t="s">
        <v>4</v>
      </c>
      <c r="B435" t="s">
        <v>128</v>
      </c>
      <c r="C435" s="9">
        <v>46060</v>
      </c>
      <c r="D435" s="10">
        <v>29259</v>
      </c>
    </row>
    <row r="436" spans="1:4">
      <c r="A436" t="s">
        <v>30</v>
      </c>
      <c r="B436" t="s">
        <v>198</v>
      </c>
      <c r="C436" s="9">
        <v>46060</v>
      </c>
      <c r="D436" s="10">
        <v>14873</v>
      </c>
    </row>
    <row r="437" spans="1:4">
      <c r="A437" t="s">
        <v>6</v>
      </c>
      <c r="B437" t="s">
        <v>207</v>
      </c>
      <c r="C437" s="9">
        <v>46060</v>
      </c>
      <c r="D437" s="10">
        <v>20373</v>
      </c>
    </row>
    <row r="438" spans="1:4">
      <c r="A438" t="s">
        <v>6</v>
      </c>
      <c r="B438" t="s">
        <v>177</v>
      </c>
      <c r="C438" s="9">
        <v>46060</v>
      </c>
      <c r="D438" s="10">
        <v>20862</v>
      </c>
    </row>
    <row r="439" spans="1:4">
      <c r="A439" t="s">
        <v>33</v>
      </c>
      <c r="B439" t="s">
        <v>245</v>
      </c>
      <c r="C439" s="9">
        <v>46060</v>
      </c>
      <c r="D439" s="10">
        <v>12758</v>
      </c>
    </row>
    <row r="440" spans="1:4">
      <c r="A440" t="s">
        <v>7</v>
      </c>
      <c r="B440" t="s">
        <v>76</v>
      </c>
      <c r="C440" s="9">
        <v>46060</v>
      </c>
      <c r="D440" s="10">
        <v>45172</v>
      </c>
    </row>
    <row r="441" spans="1:4">
      <c r="A441" t="s">
        <v>9</v>
      </c>
      <c r="B441" t="s">
        <v>70</v>
      </c>
      <c r="C441" s="9">
        <v>46060</v>
      </c>
      <c r="D441" s="10">
        <v>43440</v>
      </c>
    </row>
    <row r="442" spans="1:4">
      <c r="A442" t="s">
        <v>9</v>
      </c>
      <c r="B442" t="s">
        <v>223</v>
      </c>
      <c r="C442" s="9">
        <v>46060</v>
      </c>
      <c r="D442" s="10">
        <v>28829</v>
      </c>
    </row>
    <row r="443" spans="1:4">
      <c r="A443" t="s">
        <v>9</v>
      </c>
      <c r="B443" t="s">
        <v>112</v>
      </c>
      <c r="C443" s="9">
        <v>46060</v>
      </c>
      <c r="D443" s="10">
        <v>27914</v>
      </c>
    </row>
    <row r="444" spans="1:4">
      <c r="A444" t="s">
        <v>4</v>
      </c>
      <c r="B444" t="s">
        <v>116</v>
      </c>
      <c r="C444" s="9">
        <v>46061</v>
      </c>
      <c r="D444" s="10">
        <v>33040</v>
      </c>
    </row>
    <row r="445" spans="1:4">
      <c r="A445" t="s">
        <v>4</v>
      </c>
      <c r="B445" t="s">
        <v>194</v>
      </c>
      <c r="C445" s="9">
        <v>46061</v>
      </c>
      <c r="D445" s="10">
        <v>32749</v>
      </c>
    </row>
    <row r="446" spans="1:4">
      <c r="A446" t="s">
        <v>28</v>
      </c>
      <c r="B446" t="s">
        <v>183</v>
      </c>
      <c r="C446" s="9">
        <v>46061</v>
      </c>
      <c r="D446" s="10">
        <v>12705</v>
      </c>
    </row>
    <row r="447" spans="1:4">
      <c r="A447" t="s">
        <v>26</v>
      </c>
      <c r="B447" t="s">
        <v>91</v>
      </c>
      <c r="C447" s="9">
        <v>46061</v>
      </c>
      <c r="D447" s="10">
        <v>12909</v>
      </c>
    </row>
    <row r="448" spans="1:4">
      <c r="A448" t="s">
        <v>8</v>
      </c>
      <c r="B448" t="s">
        <v>251</v>
      </c>
      <c r="C448" s="9">
        <v>46061</v>
      </c>
      <c r="D448" s="10">
        <v>19972</v>
      </c>
    </row>
    <row r="449" spans="1:4">
      <c r="A449" t="s">
        <v>32</v>
      </c>
      <c r="B449" t="s">
        <v>118</v>
      </c>
      <c r="C449" s="9">
        <v>46061</v>
      </c>
      <c r="D449" s="10">
        <v>5200</v>
      </c>
    </row>
    <row r="450" spans="1:4">
      <c r="A450" t="s">
        <v>33</v>
      </c>
      <c r="B450" t="s">
        <v>253</v>
      </c>
      <c r="C450" s="9">
        <v>46061</v>
      </c>
      <c r="D450" s="10">
        <v>14247</v>
      </c>
    </row>
    <row r="451" spans="1:4">
      <c r="A451" t="s">
        <v>29</v>
      </c>
      <c r="B451" t="s">
        <v>227</v>
      </c>
      <c r="C451" s="9">
        <v>46061</v>
      </c>
      <c r="D451" s="10">
        <v>12869</v>
      </c>
    </row>
    <row r="452" spans="1:4">
      <c r="A452" t="s">
        <v>7</v>
      </c>
      <c r="B452" t="s">
        <v>255</v>
      </c>
      <c r="C452" s="9">
        <v>46061</v>
      </c>
      <c r="D452" s="10">
        <v>25130</v>
      </c>
    </row>
    <row r="453" spans="1:4">
      <c r="A453" t="s">
        <v>7</v>
      </c>
      <c r="B453" t="s">
        <v>67</v>
      </c>
      <c r="C453" s="9">
        <v>46061</v>
      </c>
      <c r="D453" s="10">
        <v>31415</v>
      </c>
    </row>
    <row r="454" spans="1:4">
      <c r="A454" t="s">
        <v>9</v>
      </c>
      <c r="B454" t="s">
        <v>176</v>
      </c>
      <c r="C454" s="9">
        <v>46061</v>
      </c>
      <c r="D454" s="10">
        <v>21700</v>
      </c>
    </row>
    <row r="455" spans="1:4">
      <c r="A455" t="s">
        <v>5</v>
      </c>
      <c r="B455" t="s">
        <v>187</v>
      </c>
      <c r="C455" s="9">
        <v>46061</v>
      </c>
      <c r="D455" s="10">
        <v>47668</v>
      </c>
    </row>
    <row r="456" spans="1:4">
      <c r="A456" t="s">
        <v>5</v>
      </c>
      <c r="B456" t="s">
        <v>188</v>
      </c>
      <c r="C456" s="9">
        <v>46061</v>
      </c>
      <c r="D456" s="10">
        <v>41708</v>
      </c>
    </row>
    <row r="457" spans="1:4">
      <c r="A457" t="s">
        <v>5</v>
      </c>
      <c r="B457" t="s">
        <v>168</v>
      </c>
      <c r="C457" s="9">
        <v>46061</v>
      </c>
      <c r="D457" s="10">
        <v>47161</v>
      </c>
    </row>
    <row r="458" spans="1:4">
      <c r="A458" t="s">
        <v>5</v>
      </c>
      <c r="B458" t="s">
        <v>155</v>
      </c>
      <c r="C458" s="9">
        <v>46061</v>
      </c>
      <c r="D458" s="10">
        <v>48884</v>
      </c>
    </row>
    <row r="459" spans="1:4">
      <c r="A459" t="s">
        <v>5</v>
      </c>
      <c r="B459" t="s">
        <v>203</v>
      </c>
      <c r="C459" s="9">
        <v>46061</v>
      </c>
      <c r="D459" s="10">
        <v>42099</v>
      </c>
    </row>
    <row r="460" spans="1:4">
      <c r="A460" t="s">
        <v>5</v>
      </c>
      <c r="B460" t="s">
        <v>127</v>
      </c>
      <c r="C460" s="9">
        <v>46061</v>
      </c>
      <c r="D460" s="10">
        <v>40739</v>
      </c>
    </row>
    <row r="461" spans="1:4">
      <c r="A461" t="s">
        <v>4</v>
      </c>
      <c r="B461" t="s">
        <v>283</v>
      </c>
      <c r="C461" s="9">
        <v>46062</v>
      </c>
      <c r="D461" s="10">
        <v>40578</v>
      </c>
    </row>
    <row r="462" spans="1:4">
      <c r="A462" t="s">
        <v>25</v>
      </c>
      <c r="B462" t="s">
        <v>160</v>
      </c>
      <c r="C462" s="9">
        <v>46062</v>
      </c>
      <c r="D462" s="10">
        <v>16592</v>
      </c>
    </row>
    <row r="463" spans="1:4">
      <c r="A463" t="s">
        <v>25</v>
      </c>
      <c r="B463" t="s">
        <v>220</v>
      </c>
      <c r="C463" s="9">
        <v>46062</v>
      </c>
      <c r="D463" s="10">
        <v>15943</v>
      </c>
    </row>
    <row r="464" spans="1:4">
      <c r="A464" t="s">
        <v>29</v>
      </c>
      <c r="B464" t="s">
        <v>135</v>
      </c>
      <c r="C464" s="9">
        <v>46062</v>
      </c>
      <c r="D464" s="10">
        <v>5200</v>
      </c>
    </row>
    <row r="465" spans="1:4">
      <c r="A465" t="s">
        <v>7</v>
      </c>
      <c r="B465" t="s">
        <v>98</v>
      </c>
      <c r="C465" s="9">
        <v>46062</v>
      </c>
      <c r="D465" s="10">
        <v>23045</v>
      </c>
    </row>
    <row r="466" spans="1:4">
      <c r="A466" t="s">
        <v>7</v>
      </c>
      <c r="B466" t="s">
        <v>98</v>
      </c>
      <c r="C466" s="9">
        <v>46062</v>
      </c>
      <c r="D466" s="10">
        <v>28929</v>
      </c>
    </row>
    <row r="467" spans="1:4">
      <c r="A467" t="s">
        <v>9</v>
      </c>
      <c r="B467" t="s">
        <v>181</v>
      </c>
      <c r="C467" s="9">
        <v>46062</v>
      </c>
      <c r="D467" s="10">
        <v>26281</v>
      </c>
    </row>
    <row r="468" spans="1:4">
      <c r="A468" t="s">
        <v>5</v>
      </c>
      <c r="B468" t="s">
        <v>188</v>
      </c>
      <c r="C468" s="9">
        <v>46062</v>
      </c>
      <c r="D468" s="10">
        <v>42198</v>
      </c>
    </row>
    <row r="469" spans="1:4">
      <c r="A469" t="s">
        <v>5</v>
      </c>
      <c r="B469" t="s">
        <v>86</v>
      </c>
      <c r="C469" s="9">
        <v>46062</v>
      </c>
      <c r="D469" s="10">
        <v>36644</v>
      </c>
    </row>
    <row r="470" spans="1:4">
      <c r="A470" t="s">
        <v>5</v>
      </c>
      <c r="B470" t="s">
        <v>150</v>
      </c>
      <c r="C470" s="9">
        <v>46062</v>
      </c>
      <c r="D470" s="10">
        <v>42209</v>
      </c>
    </row>
    <row r="471" spans="1:4">
      <c r="A471" t="s">
        <v>5</v>
      </c>
      <c r="B471" t="s">
        <v>87</v>
      </c>
      <c r="C471" s="9">
        <v>46062</v>
      </c>
      <c r="D471" s="10">
        <v>47447</v>
      </c>
    </row>
    <row r="472" spans="1:4">
      <c r="A472" t="s">
        <v>5</v>
      </c>
      <c r="B472" t="s">
        <v>140</v>
      </c>
      <c r="C472" s="9">
        <v>46062</v>
      </c>
      <c r="D472" s="10">
        <v>49990</v>
      </c>
    </row>
    <row r="473" spans="1:4">
      <c r="A473" t="s">
        <v>27</v>
      </c>
      <c r="B473" t="s">
        <v>141</v>
      </c>
      <c r="C473" s="9">
        <v>46063</v>
      </c>
      <c r="D473" s="10">
        <v>13860</v>
      </c>
    </row>
    <row r="474" spans="1:4">
      <c r="A474" t="s">
        <v>38</v>
      </c>
      <c r="B474" t="s">
        <v>212</v>
      </c>
      <c r="C474" s="9">
        <v>46063</v>
      </c>
      <c r="D474" s="10">
        <v>14126</v>
      </c>
    </row>
    <row r="475" spans="1:4">
      <c r="A475" t="s">
        <v>4</v>
      </c>
      <c r="B475" t="s">
        <v>214</v>
      </c>
      <c r="C475" s="9">
        <v>46063</v>
      </c>
      <c r="D475" s="10">
        <v>28577</v>
      </c>
    </row>
    <row r="476" spans="1:4">
      <c r="A476" t="s">
        <v>25</v>
      </c>
      <c r="B476" t="s">
        <v>196</v>
      </c>
      <c r="C476" s="9">
        <v>46063</v>
      </c>
      <c r="D476" s="10">
        <v>18156</v>
      </c>
    </row>
    <row r="477" spans="1:4">
      <c r="A477" t="s">
        <v>8</v>
      </c>
      <c r="B477" t="s">
        <v>66</v>
      </c>
      <c r="C477" s="9">
        <v>46063</v>
      </c>
      <c r="D477" s="10">
        <v>16260</v>
      </c>
    </row>
    <row r="478" spans="1:4">
      <c r="A478" t="s">
        <v>6</v>
      </c>
      <c r="B478" t="s">
        <v>278</v>
      </c>
      <c r="C478" s="9">
        <v>46063</v>
      </c>
      <c r="D478" s="10">
        <v>23222</v>
      </c>
    </row>
    <row r="479" spans="1:4">
      <c r="A479" t="s">
        <v>9</v>
      </c>
      <c r="B479" t="s">
        <v>292</v>
      </c>
      <c r="C479" s="9">
        <v>46063</v>
      </c>
      <c r="D479" s="10">
        <v>44793</v>
      </c>
    </row>
    <row r="480" spans="1:4">
      <c r="A480" t="s">
        <v>5</v>
      </c>
      <c r="B480" t="s">
        <v>80</v>
      </c>
      <c r="C480" s="9">
        <v>46063</v>
      </c>
      <c r="D480" s="10">
        <v>32372</v>
      </c>
    </row>
    <row r="481" spans="1:4">
      <c r="A481" t="s">
        <v>5</v>
      </c>
      <c r="B481" t="s">
        <v>80</v>
      </c>
      <c r="C481" s="9">
        <v>46063</v>
      </c>
      <c r="D481" s="10">
        <v>34687</v>
      </c>
    </row>
    <row r="482" spans="1:4">
      <c r="A482" t="s">
        <v>5</v>
      </c>
      <c r="B482" t="s">
        <v>293</v>
      </c>
      <c r="C482" s="9">
        <v>46063</v>
      </c>
      <c r="D482" s="10">
        <v>31719</v>
      </c>
    </row>
    <row r="483" spans="1:4">
      <c r="A483" t="s">
        <v>5</v>
      </c>
      <c r="B483" t="s">
        <v>203</v>
      </c>
      <c r="C483" s="9">
        <v>46063</v>
      </c>
      <c r="D483" s="10">
        <v>33907</v>
      </c>
    </row>
    <row r="484" spans="1:4">
      <c r="A484" t="s">
        <v>5</v>
      </c>
      <c r="B484" t="s">
        <v>159</v>
      </c>
      <c r="C484" s="9">
        <v>46063</v>
      </c>
      <c r="D484" s="10">
        <v>48637</v>
      </c>
    </row>
    <row r="485" spans="1:4">
      <c r="A485" t="s">
        <v>5</v>
      </c>
      <c r="B485" t="s">
        <v>104</v>
      </c>
      <c r="C485" s="9">
        <v>46063</v>
      </c>
      <c r="D485" s="10">
        <v>35618</v>
      </c>
    </row>
    <row r="486" spans="1:4">
      <c r="A486" t="s">
        <v>4</v>
      </c>
      <c r="B486" t="s">
        <v>200</v>
      </c>
      <c r="C486" s="9">
        <v>46064</v>
      </c>
      <c r="D486" s="10">
        <v>8531</v>
      </c>
    </row>
    <row r="487" spans="1:4">
      <c r="A487" t="s">
        <v>6</v>
      </c>
      <c r="B487" t="s">
        <v>171</v>
      </c>
      <c r="C487" s="9">
        <v>46064</v>
      </c>
      <c r="D487" s="10">
        <v>21680</v>
      </c>
    </row>
    <row r="488" spans="1:4">
      <c r="A488" t="s">
        <v>29</v>
      </c>
      <c r="B488" t="s">
        <v>254</v>
      </c>
      <c r="C488" s="9">
        <v>46064</v>
      </c>
      <c r="D488" s="10">
        <v>16388</v>
      </c>
    </row>
    <row r="489" spans="1:4">
      <c r="A489" t="s">
        <v>9</v>
      </c>
      <c r="B489" t="s">
        <v>111</v>
      </c>
      <c r="C489" s="9">
        <v>46064</v>
      </c>
      <c r="D489" s="10">
        <v>24933</v>
      </c>
    </row>
    <row r="490" spans="1:4">
      <c r="A490" t="s">
        <v>9</v>
      </c>
      <c r="B490" t="s">
        <v>68</v>
      </c>
      <c r="C490" s="9">
        <v>46064</v>
      </c>
      <c r="D490" s="10">
        <v>37179</v>
      </c>
    </row>
    <row r="491" spans="1:4">
      <c r="A491" t="s">
        <v>5</v>
      </c>
      <c r="B491" t="s">
        <v>102</v>
      </c>
      <c r="C491" s="9">
        <v>46064</v>
      </c>
      <c r="D491" s="10">
        <v>36020</v>
      </c>
    </row>
    <row r="492" spans="1:4">
      <c r="A492" t="s">
        <v>5</v>
      </c>
      <c r="B492" t="s">
        <v>122</v>
      </c>
      <c r="C492" s="9">
        <v>46064</v>
      </c>
      <c r="D492" s="10">
        <v>45533</v>
      </c>
    </row>
    <row r="493" spans="1:4">
      <c r="A493" t="s">
        <v>5</v>
      </c>
      <c r="B493" t="s">
        <v>104</v>
      </c>
      <c r="C493" s="9">
        <v>46064</v>
      </c>
      <c r="D493" s="10">
        <v>46721</v>
      </c>
    </row>
    <row r="494" spans="1:4">
      <c r="A494" t="s">
        <v>5</v>
      </c>
      <c r="B494" t="s">
        <v>156</v>
      </c>
      <c r="C494" s="9">
        <v>46064</v>
      </c>
      <c r="D494" s="10">
        <v>29846</v>
      </c>
    </row>
    <row r="495" spans="1:4">
      <c r="A495" t="s">
        <v>4</v>
      </c>
      <c r="B495" t="s">
        <v>142</v>
      </c>
      <c r="C495" s="9">
        <v>46065</v>
      </c>
      <c r="D495" s="10">
        <v>27919</v>
      </c>
    </row>
    <row r="496" spans="1:4">
      <c r="A496" t="s">
        <v>26</v>
      </c>
      <c r="B496" t="s">
        <v>265</v>
      </c>
      <c r="C496" s="9">
        <v>46065</v>
      </c>
      <c r="D496" s="10">
        <v>5200</v>
      </c>
    </row>
    <row r="497" spans="1:4">
      <c r="A497" t="s">
        <v>8</v>
      </c>
      <c r="B497" t="s">
        <v>170</v>
      </c>
      <c r="C497" s="9">
        <v>46065</v>
      </c>
      <c r="D497" s="10">
        <v>16925</v>
      </c>
    </row>
    <row r="498" spans="1:4">
      <c r="A498" t="s">
        <v>34</v>
      </c>
      <c r="B498" t="s">
        <v>126</v>
      </c>
      <c r="C498" s="9">
        <v>46065</v>
      </c>
      <c r="D498" s="10">
        <v>29068</v>
      </c>
    </row>
    <row r="499" spans="1:4">
      <c r="A499" t="s">
        <v>6</v>
      </c>
      <c r="B499" t="s">
        <v>288</v>
      </c>
      <c r="C499" s="9">
        <v>46065</v>
      </c>
      <c r="D499" s="10">
        <v>24177</v>
      </c>
    </row>
    <row r="500" spans="1:4">
      <c r="A500" t="s">
        <v>5</v>
      </c>
      <c r="B500" t="s">
        <v>147</v>
      </c>
      <c r="C500" s="9">
        <v>46065</v>
      </c>
      <c r="D500" s="10">
        <v>33330</v>
      </c>
    </row>
    <row r="501" spans="1:4">
      <c r="A501" t="s">
        <v>5</v>
      </c>
      <c r="B501" t="s">
        <v>122</v>
      </c>
      <c r="C501" s="9">
        <v>46065</v>
      </c>
      <c r="D501" s="10">
        <v>36917</v>
      </c>
    </row>
    <row r="502" spans="1:4">
      <c r="A502" t="s">
        <v>5</v>
      </c>
      <c r="B502" t="s">
        <v>82</v>
      </c>
      <c r="C502" s="9">
        <v>46065</v>
      </c>
      <c r="D502" s="10">
        <v>39180</v>
      </c>
    </row>
    <row r="503" spans="1:4">
      <c r="A503" t="s">
        <v>5</v>
      </c>
      <c r="B503" t="s">
        <v>88</v>
      </c>
      <c r="C503" s="9">
        <v>46065</v>
      </c>
      <c r="D503" s="10">
        <v>61407</v>
      </c>
    </row>
    <row r="504" spans="1:4">
      <c r="A504" t="s">
        <v>5</v>
      </c>
      <c r="B504" t="s">
        <v>88</v>
      </c>
      <c r="C504" s="9">
        <v>46065</v>
      </c>
      <c r="D504" s="10">
        <v>49775</v>
      </c>
    </row>
    <row r="505" spans="1:4">
      <c r="A505" t="s">
        <v>27</v>
      </c>
      <c r="B505" t="s">
        <v>217</v>
      </c>
      <c r="C505" s="9">
        <v>46066</v>
      </c>
      <c r="D505" s="10">
        <v>13531</v>
      </c>
    </row>
    <row r="506" spans="1:4">
      <c r="A506" t="s">
        <v>4</v>
      </c>
      <c r="B506" t="s">
        <v>195</v>
      </c>
      <c r="C506" s="9">
        <v>46066</v>
      </c>
      <c r="D506" s="10">
        <v>42677</v>
      </c>
    </row>
    <row r="507" spans="1:4">
      <c r="A507" t="s">
        <v>4</v>
      </c>
      <c r="B507" t="s">
        <v>204</v>
      </c>
      <c r="C507" s="9">
        <v>46066</v>
      </c>
      <c r="D507" s="10">
        <v>36694</v>
      </c>
    </row>
    <row r="508" spans="1:4">
      <c r="A508" t="s">
        <v>26</v>
      </c>
      <c r="B508" t="s">
        <v>221</v>
      </c>
      <c r="C508" s="9">
        <v>46066</v>
      </c>
      <c r="D508" s="10">
        <v>14270</v>
      </c>
    </row>
    <row r="509" spans="1:4">
      <c r="A509" t="s">
        <v>6</v>
      </c>
      <c r="B509" t="s">
        <v>272</v>
      </c>
      <c r="C509" s="9">
        <v>46066</v>
      </c>
      <c r="D509" s="10">
        <v>18379</v>
      </c>
    </row>
    <row r="510" spans="1:4">
      <c r="A510" t="s">
        <v>7</v>
      </c>
      <c r="B510" t="s">
        <v>78</v>
      </c>
      <c r="C510" s="9">
        <v>46066</v>
      </c>
      <c r="D510" s="10">
        <v>24253</v>
      </c>
    </row>
    <row r="511" spans="1:4">
      <c r="A511" t="s">
        <v>7</v>
      </c>
      <c r="B511" t="s">
        <v>185</v>
      </c>
      <c r="C511" s="9">
        <v>46066</v>
      </c>
      <c r="D511" s="10">
        <v>24138</v>
      </c>
    </row>
    <row r="512" spans="1:4">
      <c r="A512" t="s">
        <v>9</v>
      </c>
      <c r="B512" t="s">
        <v>201</v>
      </c>
      <c r="C512" s="9">
        <v>46066</v>
      </c>
      <c r="D512" s="10">
        <v>43028</v>
      </c>
    </row>
    <row r="513" spans="1:4">
      <c r="A513" t="s">
        <v>9</v>
      </c>
      <c r="B513" t="s">
        <v>100</v>
      </c>
      <c r="C513" s="9">
        <v>46066</v>
      </c>
      <c r="D513" s="10">
        <v>25005</v>
      </c>
    </row>
    <row r="514" spans="1:4">
      <c r="A514" t="s">
        <v>5</v>
      </c>
      <c r="B514" t="s">
        <v>114</v>
      </c>
      <c r="C514" s="9">
        <v>46066</v>
      </c>
      <c r="D514" s="10">
        <v>30910</v>
      </c>
    </row>
    <row r="515" spans="1:4">
      <c r="A515" t="s">
        <v>5</v>
      </c>
      <c r="B515" t="s">
        <v>72</v>
      </c>
      <c r="C515" s="9">
        <v>46066</v>
      </c>
      <c r="D515" s="10">
        <v>48550</v>
      </c>
    </row>
    <row r="516" spans="1:4">
      <c r="A516" t="s">
        <v>5</v>
      </c>
      <c r="B516" t="s">
        <v>275</v>
      </c>
      <c r="C516" s="9">
        <v>46066</v>
      </c>
      <c r="D516" s="10">
        <v>36190</v>
      </c>
    </row>
    <row r="517" spans="1:4">
      <c r="A517" t="s">
        <v>5</v>
      </c>
      <c r="B517" t="s">
        <v>102</v>
      </c>
      <c r="C517" s="9">
        <v>46066</v>
      </c>
      <c r="D517" s="10">
        <v>26182</v>
      </c>
    </row>
    <row r="518" spans="1:4">
      <c r="A518" t="s">
        <v>5</v>
      </c>
      <c r="B518" t="s">
        <v>149</v>
      </c>
      <c r="C518" s="9">
        <v>46066</v>
      </c>
      <c r="D518" s="10">
        <v>32880</v>
      </c>
    </row>
    <row r="519" spans="1:4">
      <c r="A519" t="s">
        <v>5</v>
      </c>
      <c r="B519" t="s">
        <v>80</v>
      </c>
      <c r="C519" s="9">
        <v>46066</v>
      </c>
      <c r="D519" s="10">
        <v>32231</v>
      </c>
    </row>
    <row r="520" spans="1:4">
      <c r="A520" t="s">
        <v>5</v>
      </c>
      <c r="B520" t="s">
        <v>189</v>
      </c>
      <c r="C520" s="9">
        <v>46066</v>
      </c>
      <c r="D520" s="10">
        <v>30970</v>
      </c>
    </row>
    <row r="521" spans="1:4">
      <c r="A521" t="s">
        <v>5</v>
      </c>
      <c r="B521" t="s">
        <v>210</v>
      </c>
      <c r="C521" s="9">
        <v>46066</v>
      </c>
      <c r="D521" s="10">
        <v>38963</v>
      </c>
    </row>
    <row r="522" spans="1:4">
      <c r="A522" t="s">
        <v>5</v>
      </c>
      <c r="B522" t="s">
        <v>103</v>
      </c>
      <c r="C522" s="9">
        <v>46066</v>
      </c>
      <c r="D522" s="10">
        <v>32097</v>
      </c>
    </row>
    <row r="523" spans="1:4">
      <c r="A523" t="s">
        <v>5</v>
      </c>
      <c r="B523" t="s">
        <v>104</v>
      </c>
      <c r="C523" s="9">
        <v>46066</v>
      </c>
      <c r="D523" s="10">
        <v>45495</v>
      </c>
    </row>
    <row r="524" spans="1:4">
      <c r="A524" t="s">
        <v>27</v>
      </c>
      <c r="B524" t="s">
        <v>260</v>
      </c>
      <c r="C524" s="9">
        <v>46067</v>
      </c>
      <c r="D524" s="10">
        <v>20561</v>
      </c>
    </row>
    <row r="525" spans="1:4">
      <c r="A525" t="s">
        <v>4</v>
      </c>
      <c r="B525" t="s">
        <v>226</v>
      </c>
      <c r="C525" s="9">
        <v>46067</v>
      </c>
      <c r="D525" s="10">
        <v>25809</v>
      </c>
    </row>
    <row r="526" spans="1:4">
      <c r="A526" t="s">
        <v>4</v>
      </c>
      <c r="B526" t="s">
        <v>203</v>
      </c>
      <c r="C526" s="9">
        <v>46067</v>
      </c>
      <c r="D526" s="10">
        <v>42883</v>
      </c>
    </row>
    <row r="527" spans="1:4">
      <c r="A527" t="s">
        <v>8</v>
      </c>
      <c r="B527" t="s">
        <v>279</v>
      </c>
      <c r="C527" s="9">
        <v>46067</v>
      </c>
      <c r="D527" s="10">
        <v>16706</v>
      </c>
    </row>
    <row r="528" spans="1:4">
      <c r="A528" t="s">
        <v>8</v>
      </c>
      <c r="B528" t="s">
        <v>244</v>
      </c>
      <c r="C528" s="9">
        <v>46067</v>
      </c>
      <c r="D528" s="10">
        <v>14563</v>
      </c>
    </row>
    <row r="529" spans="1:4">
      <c r="A529" t="s">
        <v>6</v>
      </c>
      <c r="B529" t="s">
        <v>163</v>
      </c>
      <c r="C529" s="9">
        <v>46067</v>
      </c>
      <c r="D529" s="10">
        <v>17594</v>
      </c>
    </row>
    <row r="530" spans="1:4">
      <c r="A530" t="s">
        <v>7</v>
      </c>
      <c r="B530" t="s">
        <v>164</v>
      </c>
      <c r="C530" s="9">
        <v>46067</v>
      </c>
      <c r="D530" s="10">
        <v>18043</v>
      </c>
    </row>
    <row r="531" spans="1:4">
      <c r="A531" t="s">
        <v>9</v>
      </c>
      <c r="B531" t="s">
        <v>258</v>
      </c>
      <c r="C531" s="9">
        <v>46067</v>
      </c>
      <c r="D531" s="10">
        <v>37378</v>
      </c>
    </row>
    <row r="532" spans="1:4">
      <c r="A532" t="s">
        <v>9</v>
      </c>
      <c r="B532" t="s">
        <v>223</v>
      </c>
      <c r="C532" s="9">
        <v>46067</v>
      </c>
      <c r="D532" s="10">
        <v>31104</v>
      </c>
    </row>
    <row r="533" spans="1:4">
      <c r="A533" t="s">
        <v>5</v>
      </c>
      <c r="B533" t="s">
        <v>114</v>
      </c>
      <c r="C533" s="9">
        <v>46067</v>
      </c>
      <c r="D533" s="10">
        <v>34025</v>
      </c>
    </row>
    <row r="534" spans="1:4">
      <c r="A534" t="s">
        <v>5</v>
      </c>
      <c r="B534" t="s">
        <v>72</v>
      </c>
      <c r="C534" s="9">
        <v>46067</v>
      </c>
      <c r="D534" s="10">
        <v>47703</v>
      </c>
    </row>
    <row r="535" spans="1:4">
      <c r="A535" t="s">
        <v>5</v>
      </c>
      <c r="B535" t="s">
        <v>81</v>
      </c>
      <c r="C535" s="9">
        <v>46067</v>
      </c>
      <c r="D535" s="10">
        <v>45872</v>
      </c>
    </row>
    <row r="536" spans="1:4">
      <c r="A536" t="s">
        <v>5</v>
      </c>
      <c r="B536" t="s">
        <v>81</v>
      </c>
      <c r="C536" s="9">
        <v>46067</v>
      </c>
      <c r="D536" s="10">
        <v>35320</v>
      </c>
    </row>
    <row r="537" spans="1:4">
      <c r="A537" t="s">
        <v>5</v>
      </c>
      <c r="B537" t="s">
        <v>71</v>
      </c>
      <c r="C537" s="9">
        <v>46067</v>
      </c>
      <c r="D537" s="10">
        <v>34035</v>
      </c>
    </row>
    <row r="538" spans="1:4">
      <c r="A538" t="s">
        <v>5</v>
      </c>
      <c r="B538" t="s">
        <v>211</v>
      </c>
      <c r="C538" s="9">
        <v>46067</v>
      </c>
      <c r="D538" s="10">
        <v>32290</v>
      </c>
    </row>
    <row r="539" spans="1:4">
      <c r="A539" t="s">
        <v>5</v>
      </c>
      <c r="B539" t="s">
        <v>101</v>
      </c>
      <c r="C539" s="9">
        <v>46067</v>
      </c>
      <c r="D539" s="10">
        <v>24756</v>
      </c>
    </row>
    <row r="540" spans="1:4">
      <c r="A540" t="s">
        <v>27</v>
      </c>
      <c r="B540" t="s">
        <v>229</v>
      </c>
      <c r="C540" s="9">
        <v>46068</v>
      </c>
      <c r="D540" s="10">
        <v>14812</v>
      </c>
    </row>
    <row r="541" spans="1:4">
      <c r="A541" t="s">
        <v>4</v>
      </c>
      <c r="B541" t="s">
        <v>195</v>
      </c>
      <c r="C541" s="9">
        <v>46068</v>
      </c>
      <c r="D541" s="10">
        <v>33778</v>
      </c>
    </row>
    <row r="542" spans="1:4">
      <c r="A542" t="s">
        <v>4</v>
      </c>
      <c r="B542" t="s">
        <v>82</v>
      </c>
      <c r="C542" s="9">
        <v>46068</v>
      </c>
      <c r="D542" s="10">
        <v>52570</v>
      </c>
    </row>
    <row r="543" spans="1:4">
      <c r="A543" t="s">
        <v>29</v>
      </c>
      <c r="B543" t="s">
        <v>109</v>
      </c>
      <c r="C543" s="9">
        <v>46068</v>
      </c>
      <c r="D543" s="10">
        <v>21574</v>
      </c>
    </row>
    <row r="544" spans="1:4">
      <c r="A544" t="s">
        <v>9</v>
      </c>
      <c r="B544" t="s">
        <v>234</v>
      </c>
      <c r="C544" s="9">
        <v>46068</v>
      </c>
      <c r="D544" s="10">
        <v>47204</v>
      </c>
    </row>
    <row r="545" spans="1:4">
      <c r="A545" t="s">
        <v>9</v>
      </c>
      <c r="B545" t="s">
        <v>165</v>
      </c>
      <c r="C545" s="9">
        <v>46068</v>
      </c>
      <c r="D545" s="10">
        <v>30273</v>
      </c>
    </row>
    <row r="546" spans="1:4">
      <c r="A546" t="s">
        <v>5</v>
      </c>
      <c r="B546" t="s">
        <v>209</v>
      </c>
      <c r="C546" s="9">
        <v>46068</v>
      </c>
      <c r="D546" s="10">
        <v>42228</v>
      </c>
    </row>
    <row r="547" spans="1:4">
      <c r="A547" t="s">
        <v>5</v>
      </c>
      <c r="B547" t="s">
        <v>159</v>
      </c>
      <c r="C547" s="9">
        <v>46068</v>
      </c>
      <c r="D547" s="10">
        <v>35080</v>
      </c>
    </row>
    <row r="548" spans="1:4">
      <c r="A548" t="s">
        <v>4</v>
      </c>
      <c r="B548" t="s">
        <v>193</v>
      </c>
      <c r="C548" s="9">
        <v>46069</v>
      </c>
      <c r="D548" s="10">
        <v>27393</v>
      </c>
    </row>
    <row r="549" spans="1:4">
      <c r="A549" t="s">
        <v>28</v>
      </c>
      <c r="B549" t="s">
        <v>131</v>
      </c>
      <c r="C549" s="9">
        <v>46069</v>
      </c>
      <c r="D549" s="10">
        <v>12181</v>
      </c>
    </row>
    <row r="550" spans="1:4">
      <c r="A550" t="s">
        <v>6</v>
      </c>
      <c r="B550" t="s">
        <v>172</v>
      </c>
      <c r="C550" s="9">
        <v>46069</v>
      </c>
      <c r="D550" s="10">
        <v>18785</v>
      </c>
    </row>
    <row r="551" spans="1:4">
      <c r="A551" t="s">
        <v>7</v>
      </c>
      <c r="B551" t="s">
        <v>77</v>
      </c>
      <c r="C551" s="9">
        <v>46069</v>
      </c>
      <c r="D551" s="10">
        <v>23082</v>
      </c>
    </row>
    <row r="552" spans="1:4">
      <c r="A552" t="s">
        <v>7</v>
      </c>
      <c r="B552" t="s">
        <v>185</v>
      </c>
      <c r="C552" s="9">
        <v>46069</v>
      </c>
      <c r="D552" s="10">
        <v>32234</v>
      </c>
    </row>
    <row r="553" spans="1:4">
      <c r="A553" t="s">
        <v>5</v>
      </c>
      <c r="B553" t="s">
        <v>210</v>
      </c>
      <c r="C553" s="9">
        <v>46069</v>
      </c>
      <c r="D553" s="10">
        <v>45311</v>
      </c>
    </row>
    <row r="554" spans="1:4">
      <c r="A554" t="s">
        <v>5</v>
      </c>
      <c r="B554" t="s">
        <v>87</v>
      </c>
      <c r="C554" s="9">
        <v>46069</v>
      </c>
      <c r="D554" s="10">
        <v>50183</v>
      </c>
    </row>
    <row r="555" spans="1:4">
      <c r="A555" t="s">
        <v>5</v>
      </c>
      <c r="B555" t="s">
        <v>88</v>
      </c>
      <c r="C555" s="9">
        <v>46069</v>
      </c>
      <c r="D555" s="10">
        <v>45909</v>
      </c>
    </row>
    <row r="556" spans="1:4">
      <c r="A556" t="s">
        <v>5</v>
      </c>
      <c r="B556" t="s">
        <v>140</v>
      </c>
      <c r="C556" s="9">
        <v>46069</v>
      </c>
      <c r="D556" s="10">
        <v>44759</v>
      </c>
    </row>
    <row r="557" spans="1:4">
      <c r="A557" t="s">
        <v>27</v>
      </c>
      <c r="B557" t="s">
        <v>225</v>
      </c>
      <c r="C557" s="9">
        <v>46070</v>
      </c>
      <c r="D557" s="10">
        <v>11909</v>
      </c>
    </row>
    <row r="558" spans="1:4">
      <c r="A558" t="s">
        <v>27</v>
      </c>
      <c r="B558" t="s">
        <v>115</v>
      </c>
      <c r="C558" s="9">
        <v>46070</v>
      </c>
      <c r="D558" s="10">
        <v>15077</v>
      </c>
    </row>
    <row r="559" spans="1:4">
      <c r="A559" t="s">
        <v>4</v>
      </c>
      <c r="B559" t="s">
        <v>89</v>
      </c>
      <c r="C559" s="9">
        <v>46070</v>
      </c>
      <c r="D559" s="10">
        <v>38469</v>
      </c>
    </row>
    <row r="560" spans="1:4">
      <c r="A560" t="s">
        <v>28</v>
      </c>
      <c r="B560" t="s">
        <v>64</v>
      </c>
      <c r="C560" s="9">
        <v>46070</v>
      </c>
      <c r="D560" s="10">
        <v>12984</v>
      </c>
    </row>
    <row r="561" spans="1:4">
      <c r="A561" t="s">
        <v>6</v>
      </c>
      <c r="B561" t="s">
        <v>178</v>
      </c>
      <c r="C561" s="9">
        <v>46070</v>
      </c>
      <c r="D561" s="10">
        <v>30457</v>
      </c>
    </row>
    <row r="562" spans="1:4">
      <c r="A562" t="s">
        <v>7</v>
      </c>
      <c r="B562" t="s">
        <v>96</v>
      </c>
      <c r="C562" s="9">
        <v>46070</v>
      </c>
      <c r="D562" s="10">
        <v>24259</v>
      </c>
    </row>
    <row r="563" spans="1:4">
      <c r="A563" t="s">
        <v>9</v>
      </c>
      <c r="B563" t="s">
        <v>102</v>
      </c>
      <c r="C563" s="9">
        <v>46070</v>
      </c>
      <c r="D563" s="10">
        <v>37595</v>
      </c>
    </row>
    <row r="564" spans="1:4">
      <c r="A564" t="s">
        <v>9</v>
      </c>
      <c r="B564" t="s">
        <v>219</v>
      </c>
      <c r="C564" s="9">
        <v>46070</v>
      </c>
      <c r="D564" s="10">
        <v>36131</v>
      </c>
    </row>
    <row r="565" spans="1:4">
      <c r="A565" t="s">
        <v>5</v>
      </c>
      <c r="B565" t="s">
        <v>114</v>
      </c>
      <c r="C565" s="9">
        <v>46070</v>
      </c>
      <c r="D565" s="10">
        <v>43080</v>
      </c>
    </row>
    <row r="566" spans="1:4">
      <c r="A566" t="s">
        <v>5</v>
      </c>
      <c r="B566" t="s">
        <v>71</v>
      </c>
      <c r="C566" s="9">
        <v>46070</v>
      </c>
      <c r="D566" s="10">
        <v>41636</v>
      </c>
    </row>
    <row r="567" spans="1:4">
      <c r="A567" t="s">
        <v>5</v>
      </c>
      <c r="B567" t="s">
        <v>155</v>
      </c>
      <c r="C567" s="9">
        <v>46070</v>
      </c>
      <c r="D567" s="10">
        <v>31799</v>
      </c>
    </row>
    <row r="568" spans="1:4">
      <c r="A568" t="s">
        <v>5</v>
      </c>
      <c r="B568" t="s">
        <v>124</v>
      </c>
      <c r="C568" s="9">
        <v>46070</v>
      </c>
      <c r="D568" s="10">
        <v>51849</v>
      </c>
    </row>
    <row r="569" spans="1:4">
      <c r="A569" t="s">
        <v>25</v>
      </c>
      <c r="B569" t="s">
        <v>232</v>
      </c>
      <c r="C569" s="9">
        <v>46071</v>
      </c>
      <c r="D569" s="10">
        <v>29613</v>
      </c>
    </row>
    <row r="570" spans="1:4">
      <c r="A570" t="s">
        <v>28</v>
      </c>
      <c r="B570" t="s">
        <v>190</v>
      </c>
      <c r="C570" s="9">
        <v>46071</v>
      </c>
      <c r="D570" s="10">
        <v>14251</v>
      </c>
    </row>
    <row r="571" spans="1:4">
      <c r="A571" t="s">
        <v>30</v>
      </c>
      <c r="B571" t="s">
        <v>191</v>
      </c>
      <c r="C571" s="9">
        <v>46071</v>
      </c>
      <c r="D571" s="10">
        <v>9135</v>
      </c>
    </row>
    <row r="572" spans="1:4">
      <c r="A572" t="s">
        <v>8</v>
      </c>
      <c r="B572" t="s">
        <v>239</v>
      </c>
      <c r="C572" s="9">
        <v>46071</v>
      </c>
      <c r="D572" s="10">
        <v>23222</v>
      </c>
    </row>
    <row r="573" spans="1:4">
      <c r="A573" t="s">
        <v>32</v>
      </c>
      <c r="B573" t="s">
        <v>145</v>
      </c>
      <c r="C573" s="9">
        <v>46071</v>
      </c>
      <c r="D573" s="10">
        <v>7261</v>
      </c>
    </row>
    <row r="574" spans="1:4">
      <c r="A574" t="s">
        <v>6</v>
      </c>
      <c r="B574" t="s">
        <v>136</v>
      </c>
      <c r="C574" s="9">
        <v>46071</v>
      </c>
      <c r="D574" s="10">
        <v>33570</v>
      </c>
    </row>
    <row r="575" spans="1:4">
      <c r="A575" t="s">
        <v>9</v>
      </c>
      <c r="B575" t="s">
        <v>137</v>
      </c>
      <c r="C575" s="9">
        <v>46071</v>
      </c>
      <c r="D575" s="10">
        <v>31645</v>
      </c>
    </row>
    <row r="576" spans="1:4">
      <c r="A576" t="s">
        <v>9</v>
      </c>
      <c r="B576" t="s">
        <v>138</v>
      </c>
      <c r="C576" s="9">
        <v>46071</v>
      </c>
      <c r="D576" s="10">
        <v>17514</v>
      </c>
    </row>
    <row r="577" spans="1:4">
      <c r="A577" t="s">
        <v>9</v>
      </c>
      <c r="B577" t="s">
        <v>176</v>
      </c>
      <c r="C577" s="9">
        <v>46071</v>
      </c>
      <c r="D577" s="10">
        <v>24965</v>
      </c>
    </row>
    <row r="578" spans="1:4">
      <c r="A578" t="s">
        <v>9</v>
      </c>
      <c r="B578" t="s">
        <v>166</v>
      </c>
      <c r="C578" s="9">
        <v>46071</v>
      </c>
      <c r="D578" s="10">
        <v>26753</v>
      </c>
    </row>
    <row r="579" spans="1:4">
      <c r="A579" t="s">
        <v>9</v>
      </c>
      <c r="B579" t="s">
        <v>166</v>
      </c>
      <c r="C579" s="9">
        <v>46071</v>
      </c>
      <c r="D579" s="10">
        <v>35916</v>
      </c>
    </row>
    <row r="580" spans="1:4">
      <c r="A580" t="s">
        <v>5</v>
      </c>
      <c r="B580" t="s">
        <v>224</v>
      </c>
      <c r="C580" s="9">
        <v>46071</v>
      </c>
      <c r="D580" s="10">
        <v>61684</v>
      </c>
    </row>
    <row r="581" spans="1:4">
      <c r="A581" t="s">
        <v>5</v>
      </c>
      <c r="B581" t="s">
        <v>154</v>
      </c>
      <c r="C581" s="9">
        <v>46071</v>
      </c>
      <c r="D581" s="10">
        <v>57247</v>
      </c>
    </row>
    <row r="582" spans="1:4">
      <c r="A582" t="s">
        <v>5</v>
      </c>
      <c r="B582" t="s">
        <v>69</v>
      </c>
      <c r="C582" s="9">
        <v>46071</v>
      </c>
      <c r="D582" s="10">
        <v>41395</v>
      </c>
    </row>
    <row r="583" spans="1:4">
      <c r="A583" t="s">
        <v>5</v>
      </c>
      <c r="B583" t="s">
        <v>147</v>
      </c>
      <c r="C583" s="9">
        <v>46071</v>
      </c>
      <c r="D583" s="10">
        <v>41691</v>
      </c>
    </row>
    <row r="584" spans="1:4">
      <c r="A584" t="s">
        <v>5</v>
      </c>
      <c r="B584" t="s">
        <v>168</v>
      </c>
      <c r="C584" s="9">
        <v>46071</v>
      </c>
      <c r="D584" s="10">
        <v>42857</v>
      </c>
    </row>
    <row r="585" spans="1:4">
      <c r="A585" t="s">
        <v>5</v>
      </c>
      <c r="B585" t="s">
        <v>122</v>
      </c>
      <c r="C585" s="9">
        <v>46071</v>
      </c>
      <c r="D585" s="10">
        <v>42163</v>
      </c>
    </row>
    <row r="586" spans="1:4">
      <c r="A586" t="s">
        <v>4</v>
      </c>
      <c r="B586" t="s">
        <v>213</v>
      </c>
      <c r="C586" s="9">
        <v>46072</v>
      </c>
      <c r="D586" s="10">
        <v>36241</v>
      </c>
    </row>
    <row r="587" spans="1:4">
      <c r="A587" t="s">
        <v>4</v>
      </c>
      <c r="B587" t="s">
        <v>214</v>
      </c>
      <c r="C587" s="9">
        <v>46072</v>
      </c>
      <c r="D587" s="10">
        <v>21712</v>
      </c>
    </row>
    <row r="588" spans="1:4">
      <c r="A588" t="s">
        <v>31</v>
      </c>
      <c r="B588" t="s">
        <v>107</v>
      </c>
      <c r="C588" s="9">
        <v>46072</v>
      </c>
      <c r="D588" s="10">
        <v>13796</v>
      </c>
    </row>
    <row r="589" spans="1:4">
      <c r="A589" t="s">
        <v>30</v>
      </c>
      <c r="B589" t="s">
        <v>236</v>
      </c>
      <c r="C589" s="9">
        <v>46072</v>
      </c>
      <c r="D589" s="10">
        <v>12612</v>
      </c>
    </row>
    <row r="590" spans="1:4">
      <c r="A590" t="s">
        <v>9</v>
      </c>
      <c r="B590" t="s">
        <v>137</v>
      </c>
      <c r="C590" s="9">
        <v>46072</v>
      </c>
      <c r="D590" s="10">
        <v>25097</v>
      </c>
    </row>
    <row r="591" spans="1:4">
      <c r="A591" t="s">
        <v>9</v>
      </c>
      <c r="B591" t="s">
        <v>137</v>
      </c>
      <c r="C591" s="9">
        <v>46072</v>
      </c>
      <c r="D591" s="10">
        <v>26556</v>
      </c>
    </row>
    <row r="592" spans="1:4">
      <c r="A592" t="s">
        <v>5</v>
      </c>
      <c r="B592" t="s">
        <v>159</v>
      </c>
      <c r="C592" s="9">
        <v>46072</v>
      </c>
      <c r="D592" s="10">
        <v>40230</v>
      </c>
    </row>
    <row r="593" spans="1:4">
      <c r="A593" t="s">
        <v>4</v>
      </c>
      <c r="B593" t="s">
        <v>142</v>
      </c>
      <c r="C593" s="9">
        <v>46073</v>
      </c>
      <c r="D593" s="10">
        <v>36102</v>
      </c>
    </row>
    <row r="594" spans="1:4">
      <c r="A594" t="s">
        <v>4</v>
      </c>
      <c r="B594" t="s">
        <v>242</v>
      </c>
      <c r="C594" s="9">
        <v>46073</v>
      </c>
      <c r="D594" s="10">
        <v>39579</v>
      </c>
    </row>
    <row r="595" spans="1:4">
      <c r="A595" t="s">
        <v>4</v>
      </c>
      <c r="B595" t="s">
        <v>261</v>
      </c>
      <c r="C595" s="9">
        <v>46073</v>
      </c>
      <c r="D595" s="10">
        <v>7504</v>
      </c>
    </row>
    <row r="596" spans="1:4">
      <c r="A596" t="s">
        <v>28</v>
      </c>
      <c r="B596" t="s">
        <v>74</v>
      </c>
      <c r="C596" s="9">
        <v>46073</v>
      </c>
      <c r="D596" s="10">
        <v>14499</v>
      </c>
    </row>
    <row r="597" spans="1:4">
      <c r="A597" t="s">
        <v>8</v>
      </c>
      <c r="B597" t="s">
        <v>237</v>
      </c>
      <c r="C597" s="9">
        <v>46073</v>
      </c>
      <c r="D597" s="10">
        <v>18009</v>
      </c>
    </row>
    <row r="598" spans="1:4">
      <c r="A598" t="s">
        <v>29</v>
      </c>
      <c r="B598" t="s">
        <v>133</v>
      </c>
      <c r="C598" s="9">
        <v>46073</v>
      </c>
      <c r="D598" s="10">
        <v>13932</v>
      </c>
    </row>
    <row r="599" spans="1:4">
      <c r="A599" t="s">
        <v>9</v>
      </c>
      <c r="B599" t="s">
        <v>240</v>
      </c>
      <c r="C599" s="9">
        <v>46073</v>
      </c>
      <c r="D599" s="10">
        <v>32236</v>
      </c>
    </row>
    <row r="600" spans="1:4">
      <c r="A600" t="s">
        <v>5</v>
      </c>
      <c r="B600" t="s">
        <v>187</v>
      </c>
      <c r="C600" s="9">
        <v>46073</v>
      </c>
      <c r="D600" s="10">
        <v>35278</v>
      </c>
    </row>
    <row r="601" spans="1:4">
      <c r="A601" t="s">
        <v>5</v>
      </c>
      <c r="B601" t="s">
        <v>70</v>
      </c>
      <c r="C601" s="9">
        <v>46073</v>
      </c>
      <c r="D601" s="10">
        <v>42824</v>
      </c>
    </row>
    <row r="602" spans="1:4">
      <c r="A602" t="s">
        <v>5</v>
      </c>
      <c r="B602" t="s">
        <v>149</v>
      </c>
      <c r="C602" s="9">
        <v>46073</v>
      </c>
      <c r="D602" s="10">
        <v>39074</v>
      </c>
    </row>
    <row r="603" spans="1:4">
      <c r="A603" t="s">
        <v>5</v>
      </c>
      <c r="B603" t="s">
        <v>276</v>
      </c>
      <c r="C603" s="9">
        <v>46073</v>
      </c>
      <c r="D603" s="10">
        <v>48808</v>
      </c>
    </row>
    <row r="604" spans="1:4">
      <c r="A604" t="s">
        <v>4</v>
      </c>
      <c r="B604" t="s">
        <v>158</v>
      </c>
      <c r="C604" s="9">
        <v>46074</v>
      </c>
      <c r="D604" s="10">
        <v>27537</v>
      </c>
    </row>
    <row r="605" spans="1:4">
      <c r="A605" t="s">
        <v>31</v>
      </c>
      <c r="B605" t="s">
        <v>90</v>
      </c>
      <c r="C605" s="9">
        <v>46074</v>
      </c>
      <c r="D605" s="10">
        <v>13269</v>
      </c>
    </row>
    <row r="606" spans="1:4">
      <c r="A606" t="s">
        <v>25</v>
      </c>
      <c r="B606" t="s">
        <v>218</v>
      </c>
      <c r="C606" s="9">
        <v>46074</v>
      </c>
      <c r="D606" s="10">
        <v>5200</v>
      </c>
    </row>
    <row r="607" spans="1:4">
      <c r="A607" t="s">
        <v>28</v>
      </c>
      <c r="B607" t="s">
        <v>269</v>
      </c>
      <c r="C607" s="9">
        <v>46074</v>
      </c>
      <c r="D607" s="10">
        <v>15577</v>
      </c>
    </row>
    <row r="608" spans="1:4">
      <c r="A608" t="s">
        <v>26</v>
      </c>
      <c r="B608" t="s">
        <v>151</v>
      </c>
      <c r="C608" s="9">
        <v>46074</v>
      </c>
      <c r="D608" s="10">
        <v>15421</v>
      </c>
    </row>
    <row r="609" spans="1:4">
      <c r="A609" t="s">
        <v>8</v>
      </c>
      <c r="B609" t="s">
        <v>238</v>
      </c>
      <c r="C609" s="9">
        <v>46074</v>
      </c>
      <c r="D609" s="10">
        <v>16324</v>
      </c>
    </row>
    <row r="610" spans="1:4">
      <c r="A610" t="s">
        <v>6</v>
      </c>
      <c r="B610" t="s">
        <v>61</v>
      </c>
      <c r="C610" s="9">
        <v>46074</v>
      </c>
      <c r="D610" s="10">
        <v>18692</v>
      </c>
    </row>
    <row r="611" spans="1:4">
      <c r="A611" t="s">
        <v>7</v>
      </c>
      <c r="B611" t="s">
        <v>215</v>
      </c>
      <c r="C611" s="9">
        <v>46074</v>
      </c>
      <c r="D611" s="10">
        <v>20419</v>
      </c>
    </row>
    <row r="612" spans="1:4">
      <c r="A612" t="s">
        <v>9</v>
      </c>
      <c r="B612" t="s">
        <v>146</v>
      </c>
      <c r="C612" s="9">
        <v>46074</v>
      </c>
      <c r="D612" s="10">
        <v>45736</v>
      </c>
    </row>
    <row r="613" spans="1:4">
      <c r="A613" t="s">
        <v>9</v>
      </c>
      <c r="B613" t="s">
        <v>67</v>
      </c>
      <c r="C613" s="9">
        <v>46074</v>
      </c>
      <c r="D613" s="10">
        <v>33523</v>
      </c>
    </row>
    <row r="614" spans="1:4">
      <c r="A614" t="s">
        <v>9</v>
      </c>
      <c r="B614" t="s">
        <v>79</v>
      </c>
      <c r="C614" s="9">
        <v>46074</v>
      </c>
      <c r="D614" s="10">
        <v>30418</v>
      </c>
    </row>
    <row r="615" spans="1:4">
      <c r="A615" t="s">
        <v>5</v>
      </c>
      <c r="B615" t="s">
        <v>139</v>
      </c>
      <c r="C615" s="9">
        <v>46074</v>
      </c>
      <c r="D615" s="10">
        <v>35453</v>
      </c>
    </row>
    <row r="616" spans="1:4">
      <c r="A616" t="s">
        <v>5</v>
      </c>
      <c r="B616" t="s">
        <v>189</v>
      </c>
      <c r="C616" s="9">
        <v>46074</v>
      </c>
      <c r="D616" s="10">
        <v>42561</v>
      </c>
    </row>
    <row r="617" spans="1:4">
      <c r="A617" t="s">
        <v>25</v>
      </c>
      <c r="B617" t="s">
        <v>282</v>
      </c>
      <c r="C617" s="9">
        <v>46075</v>
      </c>
      <c r="D617" s="10">
        <v>25436</v>
      </c>
    </row>
    <row r="618" spans="1:4">
      <c r="A618" t="s">
        <v>25</v>
      </c>
      <c r="B618" t="s">
        <v>277</v>
      </c>
      <c r="C618" s="9">
        <v>46075</v>
      </c>
      <c r="D618" s="10">
        <v>12603</v>
      </c>
    </row>
    <row r="619" spans="1:4">
      <c r="A619" t="s">
        <v>26</v>
      </c>
      <c r="B619" t="s">
        <v>249</v>
      </c>
      <c r="C619" s="9">
        <v>46075</v>
      </c>
      <c r="D619" s="10">
        <v>15533</v>
      </c>
    </row>
    <row r="620" spans="1:4">
      <c r="A620" t="s">
        <v>9</v>
      </c>
      <c r="B620" t="s">
        <v>192</v>
      </c>
      <c r="C620" s="9">
        <v>46075</v>
      </c>
      <c r="D620" s="10">
        <v>41360</v>
      </c>
    </row>
    <row r="621" spans="1:4">
      <c r="A621" t="s">
        <v>9</v>
      </c>
      <c r="B621" t="s">
        <v>202</v>
      </c>
      <c r="C621" s="9">
        <v>46075</v>
      </c>
      <c r="D621" s="10">
        <v>45276</v>
      </c>
    </row>
    <row r="622" spans="1:4">
      <c r="A622" t="s">
        <v>5</v>
      </c>
      <c r="B622" t="s">
        <v>69</v>
      </c>
      <c r="C622" s="9">
        <v>46075</v>
      </c>
      <c r="D622" s="10">
        <v>48601</v>
      </c>
    </row>
    <row r="623" spans="1:4">
      <c r="A623" t="s">
        <v>5</v>
      </c>
      <c r="B623" t="s">
        <v>71</v>
      </c>
      <c r="C623" s="9">
        <v>46075</v>
      </c>
      <c r="D623" s="10">
        <v>39024</v>
      </c>
    </row>
    <row r="624" spans="1:4">
      <c r="A624" t="s">
        <v>25</v>
      </c>
      <c r="B624" t="s">
        <v>117</v>
      </c>
      <c r="C624" s="9">
        <v>46076</v>
      </c>
      <c r="D624" s="10">
        <v>14589</v>
      </c>
    </row>
    <row r="625" spans="1:4">
      <c r="A625" t="s">
        <v>25</v>
      </c>
      <c r="B625" t="s">
        <v>284</v>
      </c>
      <c r="C625" s="9">
        <v>46076</v>
      </c>
      <c r="D625" s="10">
        <v>5200</v>
      </c>
    </row>
    <row r="626" spans="1:4">
      <c r="A626" t="s">
        <v>25</v>
      </c>
      <c r="B626" t="s">
        <v>73</v>
      </c>
      <c r="C626" s="9">
        <v>46076</v>
      </c>
      <c r="D626" s="10">
        <v>16315</v>
      </c>
    </row>
    <row r="627" spans="1:4">
      <c r="A627" t="s">
        <v>26</v>
      </c>
      <c r="B627" t="s">
        <v>143</v>
      </c>
      <c r="C627" s="9">
        <v>46076</v>
      </c>
      <c r="D627" s="10">
        <v>16450</v>
      </c>
    </row>
    <row r="628" spans="1:4">
      <c r="A628" t="s">
        <v>26</v>
      </c>
      <c r="B628" t="s">
        <v>271</v>
      </c>
      <c r="C628" s="9">
        <v>46076</v>
      </c>
      <c r="D628" s="10">
        <v>5200</v>
      </c>
    </row>
    <row r="629" spans="1:4">
      <c r="A629" t="s">
        <v>8</v>
      </c>
      <c r="B629" t="s">
        <v>93</v>
      </c>
      <c r="C629" s="9">
        <v>46076</v>
      </c>
      <c r="D629" s="10">
        <v>18758</v>
      </c>
    </row>
    <row r="630" spans="1:4">
      <c r="A630" t="s">
        <v>6</v>
      </c>
      <c r="B630" t="s">
        <v>199</v>
      </c>
      <c r="C630" s="9">
        <v>46076</v>
      </c>
      <c r="D630" s="10">
        <v>30439</v>
      </c>
    </row>
    <row r="631" spans="1:4">
      <c r="A631" t="s">
        <v>6</v>
      </c>
      <c r="B631" t="s">
        <v>83</v>
      </c>
      <c r="C631" s="9">
        <v>46076</v>
      </c>
      <c r="D631" s="10">
        <v>18117</v>
      </c>
    </row>
    <row r="632" spans="1:4">
      <c r="A632" t="s">
        <v>29</v>
      </c>
      <c r="B632" t="s">
        <v>152</v>
      </c>
      <c r="C632" s="9">
        <v>46076</v>
      </c>
      <c r="D632" s="10">
        <v>21438</v>
      </c>
    </row>
    <row r="633" spans="1:4">
      <c r="A633" t="s">
        <v>7</v>
      </c>
      <c r="B633" t="s">
        <v>119</v>
      </c>
      <c r="C633" s="9">
        <v>46076</v>
      </c>
      <c r="D633" s="10">
        <v>22262</v>
      </c>
    </row>
    <row r="634" spans="1:4">
      <c r="A634" t="s">
        <v>5</v>
      </c>
      <c r="B634" t="s">
        <v>188</v>
      </c>
      <c r="C634" s="9">
        <v>46076</v>
      </c>
      <c r="D634" s="10">
        <v>27855</v>
      </c>
    </row>
    <row r="635" spans="1:4">
      <c r="A635" t="s">
        <v>5</v>
      </c>
      <c r="B635" t="s">
        <v>139</v>
      </c>
      <c r="C635" s="9">
        <v>46076</v>
      </c>
      <c r="D635" s="10">
        <v>35340</v>
      </c>
    </row>
    <row r="636" spans="1:4">
      <c r="A636" t="s">
        <v>5</v>
      </c>
      <c r="B636" t="s">
        <v>148</v>
      </c>
      <c r="C636" s="9">
        <v>46076</v>
      </c>
      <c r="D636" s="10">
        <v>39318</v>
      </c>
    </row>
    <row r="637" spans="1:4">
      <c r="A637" t="s">
        <v>5</v>
      </c>
      <c r="B637" t="s">
        <v>104</v>
      </c>
      <c r="C637" s="9">
        <v>46076</v>
      </c>
      <c r="D637" s="10">
        <v>32862</v>
      </c>
    </row>
    <row r="638" spans="1:4">
      <c r="A638" t="s">
        <v>35</v>
      </c>
      <c r="B638" t="s">
        <v>290</v>
      </c>
      <c r="C638" s="9">
        <v>46077</v>
      </c>
      <c r="D638" s="10">
        <v>17522</v>
      </c>
    </row>
    <row r="639" spans="1:4">
      <c r="A639" t="s">
        <v>4</v>
      </c>
      <c r="B639" t="s">
        <v>248</v>
      </c>
      <c r="C639" s="9">
        <v>46077</v>
      </c>
      <c r="D639" s="10">
        <v>41201</v>
      </c>
    </row>
    <row r="640" spans="1:4">
      <c r="A640" t="s">
        <v>4</v>
      </c>
      <c r="B640" t="s">
        <v>105</v>
      </c>
      <c r="C640" s="9">
        <v>46077</v>
      </c>
      <c r="D640" s="10">
        <v>26885</v>
      </c>
    </row>
    <row r="641" spans="1:4">
      <c r="A641" t="s">
        <v>25</v>
      </c>
      <c r="B641" t="s">
        <v>264</v>
      </c>
      <c r="C641" s="9">
        <v>46077</v>
      </c>
      <c r="D641" s="10">
        <v>5200</v>
      </c>
    </row>
    <row r="642" spans="1:4">
      <c r="A642" t="s">
        <v>7</v>
      </c>
      <c r="B642" t="s">
        <v>226</v>
      </c>
      <c r="C642" s="9">
        <v>46077</v>
      </c>
      <c r="D642" s="10">
        <v>29900</v>
      </c>
    </row>
    <row r="643" spans="1:4">
      <c r="A643" t="s">
        <v>7</v>
      </c>
      <c r="B643" t="s">
        <v>174</v>
      </c>
      <c r="C643" s="9">
        <v>46077</v>
      </c>
      <c r="D643" s="10">
        <v>29354</v>
      </c>
    </row>
    <row r="644" spans="1:4">
      <c r="A644" t="s">
        <v>9</v>
      </c>
      <c r="B644" t="s">
        <v>179</v>
      </c>
      <c r="C644" s="9">
        <v>46077</v>
      </c>
      <c r="D644" s="10">
        <v>54671</v>
      </c>
    </row>
    <row r="645" spans="1:4">
      <c r="A645" t="s">
        <v>9</v>
      </c>
      <c r="B645" t="s">
        <v>121</v>
      </c>
      <c r="C645" s="9">
        <v>46077</v>
      </c>
      <c r="D645" s="10">
        <v>35105</v>
      </c>
    </row>
    <row r="646" spans="1:4">
      <c r="A646" t="s">
        <v>5</v>
      </c>
      <c r="B646" t="s">
        <v>72</v>
      </c>
      <c r="C646" s="9">
        <v>46077</v>
      </c>
      <c r="D646" s="10">
        <v>57170</v>
      </c>
    </row>
    <row r="647" spans="1:4">
      <c r="A647" t="s">
        <v>5</v>
      </c>
      <c r="B647" t="s">
        <v>167</v>
      </c>
      <c r="C647" s="9">
        <v>46077</v>
      </c>
      <c r="D647" s="10">
        <v>30301</v>
      </c>
    </row>
    <row r="648" spans="1:4">
      <c r="A648" t="s">
        <v>5</v>
      </c>
      <c r="B648" t="s">
        <v>167</v>
      </c>
      <c r="C648" s="9">
        <v>46077</v>
      </c>
      <c r="D648" s="10">
        <v>40405</v>
      </c>
    </row>
    <row r="649" spans="1:4">
      <c r="A649" t="s">
        <v>5</v>
      </c>
      <c r="B649" t="s">
        <v>154</v>
      </c>
      <c r="C649" s="9">
        <v>46077</v>
      </c>
      <c r="D649" s="10">
        <v>38787</v>
      </c>
    </row>
    <row r="650" spans="1:4">
      <c r="A650" t="s">
        <v>5</v>
      </c>
      <c r="B650" t="s">
        <v>241</v>
      </c>
      <c r="C650" s="9">
        <v>46077</v>
      </c>
      <c r="D650" s="10">
        <v>36516</v>
      </c>
    </row>
    <row r="651" spans="1:4">
      <c r="A651" t="s">
        <v>5</v>
      </c>
      <c r="B651" t="s">
        <v>81</v>
      </c>
      <c r="C651" s="9">
        <v>46077</v>
      </c>
      <c r="D651" s="10">
        <v>42441</v>
      </c>
    </row>
    <row r="652" spans="1:4">
      <c r="A652" t="s">
        <v>5</v>
      </c>
      <c r="B652" t="s">
        <v>86</v>
      </c>
      <c r="C652" s="9">
        <v>46077</v>
      </c>
      <c r="D652" s="10">
        <v>52031</v>
      </c>
    </row>
    <row r="653" spans="1:4">
      <c r="A653" t="s">
        <v>5</v>
      </c>
      <c r="B653" t="s">
        <v>150</v>
      </c>
      <c r="C653" s="9">
        <v>46077</v>
      </c>
      <c r="D653" s="10">
        <v>39719</v>
      </c>
    </row>
    <row r="654" spans="1:4">
      <c r="A654" t="s">
        <v>5</v>
      </c>
      <c r="B654" t="s">
        <v>214</v>
      </c>
      <c r="C654" s="9">
        <v>46077</v>
      </c>
      <c r="D654" s="10">
        <v>34388</v>
      </c>
    </row>
    <row r="655" spans="1:4">
      <c r="A655" t="s">
        <v>4</v>
      </c>
      <c r="B655" t="s">
        <v>247</v>
      </c>
      <c r="C655" s="9">
        <v>46078</v>
      </c>
      <c r="D655" s="10">
        <v>43098</v>
      </c>
    </row>
    <row r="656" spans="1:4">
      <c r="A656" t="s">
        <v>4</v>
      </c>
      <c r="B656" t="s">
        <v>57</v>
      </c>
      <c r="C656" s="9">
        <v>46078</v>
      </c>
      <c r="D656" s="10">
        <v>38894</v>
      </c>
    </row>
    <row r="657" spans="1:4">
      <c r="A657" t="s">
        <v>25</v>
      </c>
      <c r="B657" t="s">
        <v>205</v>
      </c>
      <c r="C657" s="9">
        <v>46078</v>
      </c>
      <c r="D657" s="10">
        <v>10178</v>
      </c>
    </row>
    <row r="658" spans="1:4">
      <c r="A658" t="s">
        <v>34</v>
      </c>
      <c r="B658" t="s">
        <v>285</v>
      </c>
      <c r="C658" s="9">
        <v>46078</v>
      </c>
      <c r="D658" s="10">
        <v>28121</v>
      </c>
    </row>
    <row r="659" spans="1:4">
      <c r="A659" t="s">
        <v>7</v>
      </c>
      <c r="B659" t="s">
        <v>273</v>
      </c>
      <c r="C659" s="9">
        <v>46078</v>
      </c>
      <c r="D659" s="10">
        <v>8474</v>
      </c>
    </row>
    <row r="660" spans="1:4">
      <c r="A660" t="s">
        <v>9</v>
      </c>
      <c r="B660" t="s">
        <v>188</v>
      </c>
      <c r="C660" s="9">
        <v>46078</v>
      </c>
      <c r="D660" s="10">
        <v>28383</v>
      </c>
    </row>
    <row r="661" spans="1:4">
      <c r="A661" t="s">
        <v>9</v>
      </c>
      <c r="B661" t="s">
        <v>113</v>
      </c>
      <c r="C661" s="9">
        <v>46078</v>
      </c>
      <c r="D661" s="10">
        <v>49497</v>
      </c>
    </row>
    <row r="662" spans="1:4">
      <c r="A662" t="s">
        <v>5</v>
      </c>
      <c r="B662" t="s">
        <v>187</v>
      </c>
      <c r="C662" s="9">
        <v>46078</v>
      </c>
      <c r="D662" s="10">
        <v>33087</v>
      </c>
    </row>
    <row r="663" spans="1:4">
      <c r="A663" t="s">
        <v>5</v>
      </c>
      <c r="B663" t="s">
        <v>123</v>
      </c>
      <c r="C663" s="9">
        <v>46078</v>
      </c>
      <c r="D663" s="10">
        <v>32148</v>
      </c>
    </row>
    <row r="664" spans="1:4">
      <c r="A664" t="s">
        <v>5</v>
      </c>
      <c r="B664" t="s">
        <v>189</v>
      </c>
      <c r="C664" s="9">
        <v>46078</v>
      </c>
      <c r="D664" s="10">
        <v>41766</v>
      </c>
    </row>
    <row r="665" spans="1:4">
      <c r="A665" t="s">
        <v>5</v>
      </c>
      <c r="B665" t="s">
        <v>203</v>
      </c>
      <c r="C665" s="9">
        <v>46078</v>
      </c>
      <c r="D665" s="10">
        <v>34999</v>
      </c>
    </row>
    <row r="666" spans="1:4">
      <c r="A666" t="s">
        <v>5</v>
      </c>
      <c r="B666" t="s">
        <v>128</v>
      </c>
      <c r="C666" s="9">
        <v>46078</v>
      </c>
      <c r="D666" s="10">
        <v>40855</v>
      </c>
    </row>
    <row r="667" spans="1:4">
      <c r="A667" t="s">
        <v>31</v>
      </c>
      <c r="B667" t="s">
        <v>129</v>
      </c>
      <c r="C667" s="9">
        <v>46079</v>
      </c>
      <c r="D667" s="10">
        <v>13640</v>
      </c>
    </row>
    <row r="668" spans="1:4">
      <c r="A668" t="s">
        <v>31</v>
      </c>
      <c r="B668" t="s">
        <v>130</v>
      </c>
      <c r="C668" s="9">
        <v>46079</v>
      </c>
      <c r="D668" s="10">
        <v>23476</v>
      </c>
    </row>
    <row r="669" spans="1:4">
      <c r="A669" t="s">
        <v>26</v>
      </c>
      <c r="B669" t="s">
        <v>291</v>
      </c>
      <c r="C669" s="9">
        <v>46079</v>
      </c>
      <c r="D669" s="10">
        <v>15545</v>
      </c>
    </row>
    <row r="670" spans="1:4">
      <c r="A670" t="s">
        <v>8</v>
      </c>
      <c r="B670" t="s">
        <v>65</v>
      </c>
      <c r="C670" s="9">
        <v>46079</v>
      </c>
      <c r="D670" s="10">
        <v>17772</v>
      </c>
    </row>
    <row r="671" spans="1:4">
      <c r="A671" t="s">
        <v>8</v>
      </c>
      <c r="B671" t="s">
        <v>125</v>
      </c>
      <c r="C671" s="9">
        <v>46079</v>
      </c>
      <c r="D671" s="10">
        <v>15958</v>
      </c>
    </row>
    <row r="672" spans="1:4">
      <c r="A672" t="s">
        <v>9</v>
      </c>
      <c r="B672" t="s">
        <v>219</v>
      </c>
      <c r="C672" s="9">
        <v>46079</v>
      </c>
      <c r="D672" s="10">
        <v>31756</v>
      </c>
    </row>
    <row r="673" spans="1:4">
      <c r="A673" t="s">
        <v>5</v>
      </c>
      <c r="B673" t="s">
        <v>59</v>
      </c>
      <c r="C673" s="9">
        <v>46079</v>
      </c>
      <c r="D673" s="10">
        <v>41878</v>
      </c>
    </row>
    <row r="674" spans="1:4">
      <c r="A674" t="s">
        <v>5</v>
      </c>
      <c r="B674" t="s">
        <v>147</v>
      </c>
      <c r="C674" s="9">
        <v>46079</v>
      </c>
      <c r="D674" s="10">
        <v>36249</v>
      </c>
    </row>
    <row r="675" spans="1:4">
      <c r="A675" t="s">
        <v>5</v>
      </c>
      <c r="B675" t="s">
        <v>148</v>
      </c>
      <c r="C675" s="9">
        <v>46079</v>
      </c>
      <c r="D675" s="10">
        <v>41327</v>
      </c>
    </row>
    <row r="676" spans="1:4">
      <c r="A676" t="s">
        <v>5</v>
      </c>
      <c r="B676" t="s">
        <v>210</v>
      </c>
      <c r="C676" s="9">
        <v>46079</v>
      </c>
      <c r="D676" s="10">
        <v>48718</v>
      </c>
    </row>
    <row r="677" spans="1:4">
      <c r="A677" t="s">
        <v>4</v>
      </c>
      <c r="B677" t="s">
        <v>157</v>
      </c>
      <c r="C677" s="9">
        <v>46080</v>
      </c>
      <c r="D677" s="10">
        <v>28764</v>
      </c>
    </row>
    <row r="678" spans="1:4">
      <c r="A678" t="s">
        <v>30</v>
      </c>
      <c r="B678" t="s">
        <v>108</v>
      </c>
      <c r="C678" s="9">
        <v>46080</v>
      </c>
      <c r="D678" s="10">
        <v>9731</v>
      </c>
    </row>
    <row r="679" spans="1:4">
      <c r="A679" t="s">
        <v>6</v>
      </c>
      <c r="B679" t="s">
        <v>289</v>
      </c>
      <c r="C679" s="9">
        <v>46080</v>
      </c>
      <c r="D679" s="10">
        <v>7046</v>
      </c>
    </row>
    <row r="680" spans="1:4">
      <c r="A680" t="s">
        <v>7</v>
      </c>
      <c r="B680" t="s">
        <v>96</v>
      </c>
      <c r="C680" s="9">
        <v>46080</v>
      </c>
      <c r="D680" s="10">
        <v>17985</v>
      </c>
    </row>
    <row r="681" spans="1:4">
      <c r="A681" t="s">
        <v>7</v>
      </c>
      <c r="B681" t="s">
        <v>222</v>
      </c>
      <c r="C681" s="9">
        <v>46080</v>
      </c>
      <c r="D681" s="10">
        <v>23355</v>
      </c>
    </row>
    <row r="682" spans="1:4">
      <c r="A682" t="s">
        <v>9</v>
      </c>
      <c r="B682" t="s">
        <v>112</v>
      </c>
      <c r="C682" s="9">
        <v>46080</v>
      </c>
      <c r="D682" s="10">
        <v>29173</v>
      </c>
    </row>
    <row r="683" spans="1:4">
      <c r="A683" t="s">
        <v>9</v>
      </c>
      <c r="B683" t="s">
        <v>100</v>
      </c>
      <c r="C683" s="9">
        <v>46080</v>
      </c>
      <c r="D683" s="10">
        <v>19300</v>
      </c>
    </row>
    <row r="684" spans="1:4">
      <c r="A684" t="s">
        <v>5</v>
      </c>
      <c r="B684" t="s">
        <v>62</v>
      </c>
      <c r="C684" s="9">
        <v>46080</v>
      </c>
      <c r="D684" s="10">
        <v>67248</v>
      </c>
    </row>
    <row r="685" spans="1:4">
      <c r="A685" t="s">
        <v>5</v>
      </c>
      <c r="B685" t="s">
        <v>167</v>
      </c>
      <c r="C685" s="9">
        <v>46080</v>
      </c>
      <c r="D685" s="10">
        <v>34685</v>
      </c>
    </row>
    <row r="686" spans="1:4">
      <c r="A686" t="s">
        <v>5</v>
      </c>
      <c r="B686" t="s">
        <v>241</v>
      </c>
      <c r="C686" s="9">
        <v>46080</v>
      </c>
      <c r="D686" s="10">
        <v>43040</v>
      </c>
    </row>
    <row r="687" spans="1:4">
      <c r="A687" t="s">
        <v>5</v>
      </c>
      <c r="B687" t="s">
        <v>211</v>
      </c>
      <c r="C687" s="9">
        <v>46080</v>
      </c>
      <c r="D687" s="10">
        <v>40774</v>
      </c>
    </row>
    <row r="688" spans="1:4">
      <c r="A688" t="s">
        <v>5</v>
      </c>
      <c r="B688" t="s">
        <v>82</v>
      </c>
      <c r="C688" s="9">
        <v>46080</v>
      </c>
      <c r="D688" s="10">
        <v>51604</v>
      </c>
    </row>
    <row r="689" spans="1:4">
      <c r="A689" t="s">
        <v>27</v>
      </c>
      <c r="B689" t="s">
        <v>58</v>
      </c>
      <c r="C689" s="9">
        <v>46081</v>
      </c>
      <c r="D689" s="10">
        <v>25985</v>
      </c>
    </row>
    <row r="690" spans="1:4">
      <c r="A690" t="s">
        <v>4</v>
      </c>
      <c r="B690" t="s">
        <v>157</v>
      </c>
      <c r="C690" s="9">
        <v>46081</v>
      </c>
      <c r="D690" s="10">
        <v>25025</v>
      </c>
    </row>
    <row r="691" spans="1:4">
      <c r="A691" t="s">
        <v>4</v>
      </c>
      <c r="B691" t="s">
        <v>263</v>
      </c>
      <c r="C691" s="9">
        <v>46081</v>
      </c>
      <c r="D691" s="10">
        <v>32055</v>
      </c>
    </row>
    <row r="692" spans="1:4">
      <c r="A692" t="s">
        <v>26</v>
      </c>
      <c r="B692" t="s">
        <v>162</v>
      </c>
      <c r="C692" s="9">
        <v>46081</v>
      </c>
      <c r="D692" s="10">
        <v>15979</v>
      </c>
    </row>
    <row r="693" spans="1:4">
      <c r="A693" t="s">
        <v>8</v>
      </c>
      <c r="B693" t="s">
        <v>250</v>
      </c>
      <c r="C693" s="9">
        <v>46081</v>
      </c>
      <c r="D693" s="10">
        <v>35526</v>
      </c>
    </row>
    <row r="694" spans="1:4">
      <c r="A694" t="s">
        <v>6</v>
      </c>
      <c r="B694" t="s">
        <v>75</v>
      </c>
      <c r="C694" s="9">
        <v>46081</v>
      </c>
      <c r="D694" s="10">
        <v>19114</v>
      </c>
    </row>
    <row r="695" spans="1:4">
      <c r="A695" t="s">
        <v>37</v>
      </c>
      <c r="B695" t="s">
        <v>186</v>
      </c>
      <c r="C695" s="9">
        <v>46081</v>
      </c>
      <c r="D695" s="10">
        <v>13668</v>
      </c>
    </row>
    <row r="696" spans="1:4">
      <c r="A696" t="s">
        <v>9</v>
      </c>
      <c r="B696" t="s">
        <v>159</v>
      </c>
      <c r="C696" s="9">
        <v>46081</v>
      </c>
      <c r="D696" s="10">
        <v>36463</v>
      </c>
    </row>
    <row r="697" spans="1:4">
      <c r="A697" t="s">
        <v>9</v>
      </c>
      <c r="B697" t="s">
        <v>101</v>
      </c>
      <c r="C697" s="9">
        <v>46081</v>
      </c>
      <c r="D697" s="10">
        <v>32714</v>
      </c>
    </row>
    <row r="698" spans="1:4">
      <c r="A698" t="s">
        <v>5</v>
      </c>
      <c r="B698" t="s">
        <v>104</v>
      </c>
      <c r="C698" s="9">
        <v>46081</v>
      </c>
      <c r="D698" s="10">
        <v>45655</v>
      </c>
    </row>
    <row r="699" spans="1:4">
      <c r="A699" t="s">
        <v>5</v>
      </c>
      <c r="B699" t="s">
        <v>124</v>
      </c>
      <c r="C699" s="9">
        <v>46081</v>
      </c>
      <c r="D699" s="10">
        <v>36763</v>
      </c>
    </row>
    <row r="700" spans="1:4">
      <c r="A700" t="s">
        <v>27</v>
      </c>
      <c r="B700" t="s">
        <v>217</v>
      </c>
      <c r="C700" s="9">
        <v>46082</v>
      </c>
      <c r="D700" s="10">
        <v>14038</v>
      </c>
    </row>
    <row r="701" spans="1:4">
      <c r="A701" t="s">
        <v>4</v>
      </c>
      <c r="B701" t="s">
        <v>262</v>
      </c>
      <c r="C701" s="9">
        <v>46082</v>
      </c>
      <c r="D701" s="10">
        <v>22077</v>
      </c>
    </row>
    <row r="702" spans="1:4">
      <c r="A702" t="s">
        <v>31</v>
      </c>
      <c r="B702" t="s">
        <v>266</v>
      </c>
      <c r="C702" s="9">
        <v>46082</v>
      </c>
      <c r="D702" s="10">
        <v>12463</v>
      </c>
    </row>
    <row r="703" spans="1:4">
      <c r="A703" t="s">
        <v>25</v>
      </c>
      <c r="B703" t="s">
        <v>196</v>
      </c>
      <c r="C703" s="9">
        <v>46082</v>
      </c>
      <c r="D703" s="10">
        <v>20145</v>
      </c>
    </row>
    <row r="704" spans="1:4">
      <c r="A704" t="s">
        <v>26</v>
      </c>
      <c r="B704" t="s">
        <v>162</v>
      </c>
      <c r="C704" s="9">
        <v>46082</v>
      </c>
      <c r="D704" s="10">
        <v>18822</v>
      </c>
    </row>
    <row r="705" spans="1:4">
      <c r="A705" t="s">
        <v>26</v>
      </c>
      <c r="B705" t="s">
        <v>271</v>
      </c>
      <c r="C705" s="9">
        <v>46082</v>
      </c>
      <c r="D705" s="10">
        <v>10384</v>
      </c>
    </row>
    <row r="706" spans="1:4">
      <c r="A706" t="s">
        <v>26</v>
      </c>
      <c r="B706" t="s">
        <v>109</v>
      </c>
      <c r="C706" s="9">
        <v>46082</v>
      </c>
      <c r="D706" s="10">
        <v>7902</v>
      </c>
    </row>
    <row r="707" spans="1:4">
      <c r="A707" t="s">
        <v>6</v>
      </c>
      <c r="B707" t="s">
        <v>282</v>
      </c>
      <c r="C707" s="9">
        <v>46082</v>
      </c>
      <c r="D707" s="10">
        <v>17406</v>
      </c>
    </row>
    <row r="708" spans="1:4">
      <c r="A708" t="s">
        <v>7</v>
      </c>
      <c r="B708" t="s">
        <v>288</v>
      </c>
      <c r="C708" s="9">
        <v>46082</v>
      </c>
      <c r="D708" s="10">
        <v>22881</v>
      </c>
    </row>
    <row r="709" spans="1:4">
      <c r="A709" t="s">
        <v>9</v>
      </c>
      <c r="B709" t="s">
        <v>228</v>
      </c>
      <c r="C709" s="9">
        <v>46082</v>
      </c>
      <c r="D709" s="10">
        <v>42201</v>
      </c>
    </row>
    <row r="710" spans="1:4">
      <c r="A710" t="s">
        <v>9</v>
      </c>
      <c r="B710" t="s">
        <v>192</v>
      </c>
      <c r="C710" s="9">
        <v>46082</v>
      </c>
      <c r="D710" s="10">
        <v>27272</v>
      </c>
    </row>
    <row r="711" spans="1:4">
      <c r="A711" t="s">
        <v>9</v>
      </c>
      <c r="B711" t="s">
        <v>292</v>
      </c>
      <c r="C711" s="9">
        <v>46082</v>
      </c>
      <c r="D711" s="10">
        <v>32792</v>
      </c>
    </row>
    <row r="712" spans="1:4">
      <c r="A712" t="s">
        <v>5</v>
      </c>
      <c r="B712" t="s">
        <v>187</v>
      </c>
      <c r="C712" s="9">
        <v>46082</v>
      </c>
      <c r="D712" s="10">
        <v>39548</v>
      </c>
    </row>
    <row r="713" spans="1:4">
      <c r="A713" t="s">
        <v>5</v>
      </c>
      <c r="B713" t="s">
        <v>114</v>
      </c>
      <c r="C713" s="9">
        <v>46082</v>
      </c>
      <c r="D713" s="10">
        <v>36018</v>
      </c>
    </row>
    <row r="714" spans="1:4">
      <c r="A714" t="s">
        <v>5</v>
      </c>
      <c r="B714" t="s">
        <v>102</v>
      </c>
      <c r="C714" s="9">
        <v>46082</v>
      </c>
      <c r="D714" s="10">
        <v>49331</v>
      </c>
    </row>
    <row r="715" spans="1:4">
      <c r="A715" t="s">
        <v>5</v>
      </c>
      <c r="B715" t="s">
        <v>86</v>
      </c>
      <c r="C715" s="9">
        <v>46082</v>
      </c>
      <c r="D715" s="10">
        <v>35626</v>
      </c>
    </row>
    <row r="716" spans="1:4">
      <c r="A716" t="s">
        <v>5</v>
      </c>
      <c r="B716" t="s">
        <v>103</v>
      </c>
      <c r="C716" s="9">
        <v>46082</v>
      </c>
      <c r="D716" s="10">
        <v>48230</v>
      </c>
    </row>
    <row r="717" spans="1:4">
      <c r="A717" t="s">
        <v>5</v>
      </c>
      <c r="B717" t="s">
        <v>88</v>
      </c>
      <c r="C717" s="9">
        <v>46082</v>
      </c>
      <c r="D717" s="10">
        <v>55199</v>
      </c>
    </row>
    <row r="718" spans="1:4">
      <c r="A718" t="s">
        <v>31</v>
      </c>
      <c r="B718" t="s">
        <v>129</v>
      </c>
      <c r="C718" s="9">
        <v>46083</v>
      </c>
      <c r="D718" s="10">
        <v>13117</v>
      </c>
    </row>
    <row r="719" spans="1:4">
      <c r="A719" t="s">
        <v>25</v>
      </c>
      <c r="B719" t="s">
        <v>117</v>
      </c>
      <c r="C719" s="9">
        <v>46083</v>
      </c>
      <c r="D719" s="10">
        <v>14274</v>
      </c>
    </row>
    <row r="720" spans="1:4">
      <c r="A720" t="s">
        <v>25</v>
      </c>
      <c r="B720" t="s">
        <v>220</v>
      </c>
      <c r="C720" s="9">
        <v>46083</v>
      </c>
      <c r="D720" s="10">
        <v>15854</v>
      </c>
    </row>
    <row r="721" spans="1:4">
      <c r="A721" t="s">
        <v>34</v>
      </c>
      <c r="B721" t="s">
        <v>126</v>
      </c>
      <c r="C721" s="9">
        <v>46083</v>
      </c>
      <c r="D721" s="10">
        <v>5200</v>
      </c>
    </row>
    <row r="722" spans="1:4">
      <c r="A722" t="s">
        <v>4</v>
      </c>
      <c r="B722" t="s">
        <v>226</v>
      </c>
      <c r="C722" s="9">
        <v>46084</v>
      </c>
      <c r="D722" s="10">
        <v>29859</v>
      </c>
    </row>
    <row r="723" spans="1:4">
      <c r="A723" t="s">
        <v>4</v>
      </c>
      <c r="B723" t="s">
        <v>194</v>
      </c>
      <c r="C723" s="9">
        <v>46084</v>
      </c>
      <c r="D723" s="10">
        <v>30491</v>
      </c>
    </row>
    <row r="724" spans="1:4">
      <c r="A724" t="s">
        <v>4</v>
      </c>
      <c r="B724" t="s">
        <v>128</v>
      </c>
      <c r="C724" s="9">
        <v>46084</v>
      </c>
      <c r="D724" s="10">
        <v>37692</v>
      </c>
    </row>
    <row r="725" spans="1:4">
      <c r="A725" t="s">
        <v>31</v>
      </c>
      <c r="B725" t="s">
        <v>107</v>
      </c>
      <c r="C725" s="9">
        <v>46084</v>
      </c>
      <c r="D725" s="10">
        <v>16061</v>
      </c>
    </row>
    <row r="726" spans="1:4">
      <c r="A726" t="s">
        <v>7</v>
      </c>
      <c r="B726" t="s">
        <v>173</v>
      </c>
      <c r="C726" s="9">
        <v>46084</v>
      </c>
      <c r="D726" s="10">
        <v>16464</v>
      </c>
    </row>
    <row r="727" spans="1:4">
      <c r="A727" t="s">
        <v>7</v>
      </c>
      <c r="B727" t="s">
        <v>174</v>
      </c>
      <c r="C727" s="9">
        <v>46084</v>
      </c>
      <c r="D727" s="10">
        <v>30275</v>
      </c>
    </row>
    <row r="728" spans="1:4">
      <c r="A728" t="s">
        <v>9</v>
      </c>
      <c r="B728" t="s">
        <v>112</v>
      </c>
      <c r="C728" s="9">
        <v>46084</v>
      </c>
      <c r="D728" s="10">
        <v>43731</v>
      </c>
    </row>
    <row r="729" spans="1:4">
      <c r="A729" t="s">
        <v>9</v>
      </c>
      <c r="B729" t="s">
        <v>138</v>
      </c>
      <c r="C729" s="9">
        <v>46084</v>
      </c>
      <c r="D729" s="10">
        <v>36433</v>
      </c>
    </row>
    <row r="730" spans="1:4">
      <c r="A730" t="s">
        <v>5</v>
      </c>
      <c r="B730" t="s">
        <v>114</v>
      </c>
      <c r="C730" s="9">
        <v>46084</v>
      </c>
      <c r="D730" s="10">
        <v>38610</v>
      </c>
    </row>
    <row r="731" spans="1:4">
      <c r="A731" t="s">
        <v>5</v>
      </c>
      <c r="B731" t="s">
        <v>167</v>
      </c>
      <c r="C731" s="9">
        <v>46084</v>
      </c>
      <c r="D731" s="10">
        <v>36668</v>
      </c>
    </row>
    <row r="732" spans="1:4">
      <c r="A732" t="s">
        <v>5</v>
      </c>
      <c r="B732" t="s">
        <v>275</v>
      </c>
      <c r="C732" s="9">
        <v>46084</v>
      </c>
      <c r="D732" s="10">
        <v>58825</v>
      </c>
    </row>
    <row r="733" spans="1:4">
      <c r="A733" t="s">
        <v>5</v>
      </c>
      <c r="B733" t="s">
        <v>69</v>
      </c>
      <c r="C733" s="9">
        <v>46084</v>
      </c>
      <c r="D733" s="10">
        <v>35455</v>
      </c>
    </row>
    <row r="734" spans="1:4">
      <c r="A734" t="s">
        <v>5</v>
      </c>
      <c r="B734" t="s">
        <v>147</v>
      </c>
      <c r="C734" s="9">
        <v>46084</v>
      </c>
      <c r="D734" s="10">
        <v>46371</v>
      </c>
    </row>
    <row r="735" spans="1:4">
      <c r="A735" t="s">
        <v>5</v>
      </c>
      <c r="B735" t="s">
        <v>210</v>
      </c>
      <c r="C735" s="9">
        <v>46084</v>
      </c>
      <c r="D735" s="10">
        <v>65903</v>
      </c>
    </row>
    <row r="736" spans="1:4">
      <c r="A736" t="s">
        <v>5</v>
      </c>
      <c r="B736" t="s">
        <v>104</v>
      </c>
      <c r="C736" s="9">
        <v>46084</v>
      </c>
      <c r="D736" s="10">
        <v>41018</v>
      </c>
    </row>
    <row r="737" spans="1:4">
      <c r="A737" t="s">
        <v>4</v>
      </c>
      <c r="B737" t="s">
        <v>105</v>
      </c>
      <c r="C737" s="9">
        <v>46085</v>
      </c>
      <c r="D737" s="10">
        <v>26811</v>
      </c>
    </row>
    <row r="738" spans="1:4">
      <c r="A738" t="s">
        <v>31</v>
      </c>
      <c r="B738" t="s">
        <v>130</v>
      </c>
      <c r="C738" s="9">
        <v>46085</v>
      </c>
      <c r="D738" s="10">
        <v>21980</v>
      </c>
    </row>
    <row r="739" spans="1:4">
      <c r="A739" t="s">
        <v>31</v>
      </c>
      <c r="B739" t="s">
        <v>90</v>
      </c>
      <c r="C739" s="9">
        <v>46085</v>
      </c>
      <c r="D739" s="10">
        <v>14924</v>
      </c>
    </row>
    <row r="740" spans="1:4">
      <c r="A740" t="s">
        <v>25</v>
      </c>
      <c r="B740" t="s">
        <v>279</v>
      </c>
      <c r="C740" s="9">
        <v>46085</v>
      </c>
      <c r="D740" s="10">
        <v>16333</v>
      </c>
    </row>
    <row r="741" spans="1:4">
      <c r="A741" t="s">
        <v>25</v>
      </c>
      <c r="B741" t="s">
        <v>161</v>
      </c>
      <c r="C741" s="9">
        <v>46085</v>
      </c>
      <c r="D741" s="10">
        <v>15325</v>
      </c>
    </row>
    <row r="742" spans="1:4">
      <c r="A742" t="s">
        <v>8</v>
      </c>
      <c r="B742" t="s">
        <v>66</v>
      </c>
      <c r="C742" s="9">
        <v>46085</v>
      </c>
      <c r="D742" s="10">
        <v>16042</v>
      </c>
    </row>
    <row r="743" spans="1:4">
      <c r="A743" t="s">
        <v>6</v>
      </c>
      <c r="B743" t="s">
        <v>199</v>
      </c>
      <c r="C743" s="9">
        <v>46085</v>
      </c>
      <c r="D743" s="10">
        <v>28650</v>
      </c>
    </row>
    <row r="744" spans="1:4">
      <c r="A744" t="s">
        <v>7</v>
      </c>
      <c r="B744" t="s">
        <v>257</v>
      </c>
      <c r="C744" s="9">
        <v>46085</v>
      </c>
      <c r="D744" s="10">
        <v>28247</v>
      </c>
    </row>
    <row r="745" spans="1:4">
      <c r="A745" t="s">
        <v>7</v>
      </c>
      <c r="B745" t="s">
        <v>165</v>
      </c>
      <c r="C745" s="9">
        <v>46085</v>
      </c>
      <c r="D745" s="10">
        <v>26458</v>
      </c>
    </row>
    <row r="746" spans="1:4">
      <c r="A746" t="s">
        <v>5</v>
      </c>
      <c r="B746" t="s">
        <v>62</v>
      </c>
      <c r="C746" s="9">
        <v>46085</v>
      </c>
      <c r="D746" s="10">
        <v>51617</v>
      </c>
    </row>
    <row r="747" spans="1:4">
      <c r="A747" t="s">
        <v>5</v>
      </c>
      <c r="B747" t="s">
        <v>188</v>
      </c>
      <c r="C747" s="9">
        <v>46085</v>
      </c>
      <c r="D747" s="10">
        <v>39933</v>
      </c>
    </row>
    <row r="748" spans="1:4">
      <c r="A748" t="s">
        <v>25</v>
      </c>
      <c r="B748" t="s">
        <v>232</v>
      </c>
      <c r="C748" s="9">
        <v>46086</v>
      </c>
      <c r="D748" s="10">
        <v>5200</v>
      </c>
    </row>
    <row r="749" spans="1:4">
      <c r="A749" t="s">
        <v>29</v>
      </c>
      <c r="B749" t="s">
        <v>135</v>
      </c>
      <c r="C749" s="9">
        <v>46086</v>
      </c>
      <c r="D749" s="10">
        <v>24125</v>
      </c>
    </row>
    <row r="750" spans="1:4">
      <c r="A750" t="s">
        <v>7</v>
      </c>
      <c r="B750" t="s">
        <v>77</v>
      </c>
      <c r="C750" s="9">
        <v>46086</v>
      </c>
      <c r="D750" s="10">
        <v>6212</v>
      </c>
    </row>
    <row r="751" spans="1:4">
      <c r="A751" t="s">
        <v>7</v>
      </c>
      <c r="B751" t="s">
        <v>208</v>
      </c>
      <c r="C751" s="9">
        <v>46086</v>
      </c>
      <c r="D751" s="10">
        <v>28313</v>
      </c>
    </row>
    <row r="752" spans="1:4">
      <c r="A752" t="s">
        <v>9</v>
      </c>
      <c r="B752" t="s">
        <v>121</v>
      </c>
      <c r="C752" s="9">
        <v>46086</v>
      </c>
      <c r="D752" s="10">
        <v>13677</v>
      </c>
    </row>
    <row r="753" spans="1:4">
      <c r="A753" t="s">
        <v>9</v>
      </c>
      <c r="B753" t="s">
        <v>239</v>
      </c>
      <c r="C753" s="9">
        <v>46086</v>
      </c>
      <c r="D753" s="10">
        <v>17947</v>
      </c>
    </row>
    <row r="754" spans="1:4">
      <c r="A754" t="s">
        <v>5</v>
      </c>
      <c r="B754" t="s">
        <v>203</v>
      </c>
      <c r="C754" s="9">
        <v>46086</v>
      </c>
      <c r="D754" s="10">
        <v>46643</v>
      </c>
    </row>
    <row r="755" spans="1:4">
      <c r="A755" t="s">
        <v>5</v>
      </c>
      <c r="B755" t="s">
        <v>156</v>
      </c>
      <c r="C755" s="9">
        <v>46086</v>
      </c>
      <c r="D755" s="10">
        <v>46005</v>
      </c>
    </row>
    <row r="756" spans="1:4">
      <c r="A756" t="s">
        <v>5</v>
      </c>
      <c r="B756" t="s">
        <v>156</v>
      </c>
      <c r="C756" s="9">
        <v>46086</v>
      </c>
      <c r="D756" s="10">
        <v>46667</v>
      </c>
    </row>
    <row r="757" spans="1:4">
      <c r="A757" t="s">
        <v>4</v>
      </c>
      <c r="B757" t="s">
        <v>283</v>
      </c>
      <c r="C757" s="9">
        <v>46087</v>
      </c>
      <c r="D757" s="10">
        <v>38389</v>
      </c>
    </row>
    <row r="758" spans="1:4">
      <c r="A758" t="s">
        <v>25</v>
      </c>
      <c r="B758" t="s">
        <v>284</v>
      </c>
      <c r="C758" s="9">
        <v>46087</v>
      </c>
      <c r="D758" s="10">
        <v>5200</v>
      </c>
    </row>
    <row r="759" spans="1:4">
      <c r="A759" t="s">
        <v>26</v>
      </c>
      <c r="B759" t="s">
        <v>197</v>
      </c>
      <c r="C759" s="9">
        <v>46087</v>
      </c>
      <c r="D759" s="10">
        <v>14633</v>
      </c>
    </row>
    <row r="760" spans="1:4">
      <c r="A760" t="s">
        <v>33</v>
      </c>
      <c r="B760" t="s">
        <v>267</v>
      </c>
      <c r="C760" s="9">
        <v>46087</v>
      </c>
      <c r="D760" s="10">
        <v>10133</v>
      </c>
    </row>
    <row r="761" spans="1:4">
      <c r="A761" t="s">
        <v>7</v>
      </c>
      <c r="B761" t="s">
        <v>57</v>
      </c>
      <c r="C761" s="9">
        <v>46087</v>
      </c>
      <c r="D761" s="10">
        <v>40832</v>
      </c>
    </row>
    <row r="762" spans="1:4">
      <c r="A762" t="s">
        <v>9</v>
      </c>
      <c r="B762" t="s">
        <v>156</v>
      </c>
      <c r="C762" s="9">
        <v>46087</v>
      </c>
      <c r="D762" s="10">
        <v>39170</v>
      </c>
    </row>
    <row r="763" spans="1:4">
      <c r="A763" t="s">
        <v>5</v>
      </c>
      <c r="B763" t="s">
        <v>167</v>
      </c>
      <c r="C763" s="9">
        <v>46087</v>
      </c>
      <c r="D763" s="10">
        <v>33506</v>
      </c>
    </row>
    <row r="764" spans="1:4">
      <c r="A764" t="s">
        <v>5</v>
      </c>
      <c r="B764" t="s">
        <v>188</v>
      </c>
      <c r="C764" s="9">
        <v>46087</v>
      </c>
      <c r="D764" s="10">
        <v>41141</v>
      </c>
    </row>
    <row r="765" spans="1:4">
      <c r="A765" t="s">
        <v>5</v>
      </c>
      <c r="B765" t="s">
        <v>155</v>
      </c>
      <c r="C765" s="9">
        <v>46087</v>
      </c>
      <c r="D765" s="10">
        <v>64730</v>
      </c>
    </row>
    <row r="766" spans="1:4">
      <c r="A766" t="s">
        <v>5</v>
      </c>
      <c r="B766" t="s">
        <v>202</v>
      </c>
      <c r="C766" s="9">
        <v>46087</v>
      </c>
      <c r="D766" s="10">
        <v>46592</v>
      </c>
    </row>
    <row r="767" spans="1:4">
      <c r="A767" t="s">
        <v>8</v>
      </c>
      <c r="B767" t="s">
        <v>238</v>
      </c>
      <c r="C767" s="9">
        <v>46088</v>
      </c>
      <c r="D767" s="10">
        <v>16131</v>
      </c>
    </row>
    <row r="768" spans="1:4">
      <c r="A768" t="s">
        <v>6</v>
      </c>
      <c r="B768" t="s">
        <v>184</v>
      </c>
      <c r="C768" s="9">
        <v>46088</v>
      </c>
      <c r="D768" s="10">
        <v>18037</v>
      </c>
    </row>
    <row r="769" spans="1:4">
      <c r="A769" t="s">
        <v>29</v>
      </c>
      <c r="B769" t="s">
        <v>225</v>
      </c>
      <c r="C769" s="9">
        <v>46088</v>
      </c>
      <c r="D769" s="10">
        <v>11716</v>
      </c>
    </row>
    <row r="770" spans="1:4">
      <c r="A770" t="s">
        <v>7</v>
      </c>
      <c r="B770" t="s">
        <v>273</v>
      </c>
      <c r="C770" s="9">
        <v>46088</v>
      </c>
      <c r="D770" s="10">
        <v>10497</v>
      </c>
    </row>
    <row r="771" spans="1:4">
      <c r="A771" t="s">
        <v>9</v>
      </c>
      <c r="B771" t="s">
        <v>106</v>
      </c>
      <c r="C771" s="9">
        <v>46088</v>
      </c>
      <c r="D771" s="10">
        <v>30622</v>
      </c>
    </row>
    <row r="772" spans="1:4">
      <c r="A772" t="s">
        <v>5</v>
      </c>
      <c r="B772" t="s">
        <v>155</v>
      </c>
      <c r="C772" s="9">
        <v>46088</v>
      </c>
      <c r="D772" s="10">
        <v>43721</v>
      </c>
    </row>
    <row r="773" spans="1:4">
      <c r="A773" t="s">
        <v>5</v>
      </c>
      <c r="B773" t="s">
        <v>156</v>
      </c>
      <c r="C773" s="9">
        <v>46088</v>
      </c>
      <c r="D773" s="10">
        <v>39111</v>
      </c>
    </row>
    <row r="774" spans="1:4">
      <c r="A774" t="s">
        <v>27</v>
      </c>
      <c r="B774" t="s">
        <v>141</v>
      </c>
      <c r="C774" s="9">
        <v>46089</v>
      </c>
      <c r="D774" s="10">
        <v>11132</v>
      </c>
    </row>
    <row r="775" spans="1:4">
      <c r="A775" t="s">
        <v>4</v>
      </c>
      <c r="B775" t="s">
        <v>193</v>
      </c>
      <c r="C775" s="9">
        <v>46089</v>
      </c>
      <c r="D775" s="10">
        <v>28841</v>
      </c>
    </row>
    <row r="776" spans="1:4">
      <c r="A776" t="s">
        <v>4</v>
      </c>
      <c r="B776" t="s">
        <v>137</v>
      </c>
      <c r="C776" s="9">
        <v>46089</v>
      </c>
      <c r="D776" s="10">
        <v>34102</v>
      </c>
    </row>
    <row r="777" spans="1:4">
      <c r="A777" t="s">
        <v>4</v>
      </c>
      <c r="B777" t="s">
        <v>276</v>
      </c>
      <c r="C777" s="9">
        <v>46089</v>
      </c>
      <c r="D777" s="10">
        <v>21355</v>
      </c>
    </row>
    <row r="778" spans="1:4">
      <c r="A778" t="s">
        <v>4</v>
      </c>
      <c r="B778" t="s">
        <v>71</v>
      </c>
      <c r="C778" s="9">
        <v>46089</v>
      </c>
      <c r="D778" s="10">
        <v>40154</v>
      </c>
    </row>
    <row r="779" spans="1:4">
      <c r="A779" t="s">
        <v>28</v>
      </c>
      <c r="B779" t="s">
        <v>269</v>
      </c>
      <c r="C779" s="9">
        <v>46089</v>
      </c>
      <c r="D779" s="10">
        <v>10701</v>
      </c>
    </row>
    <row r="780" spans="1:4">
      <c r="A780" t="s">
        <v>7</v>
      </c>
      <c r="B780" t="s">
        <v>97</v>
      </c>
      <c r="C780" s="9">
        <v>46089</v>
      </c>
      <c r="D780" s="10">
        <v>24190</v>
      </c>
    </row>
    <row r="781" spans="1:4">
      <c r="A781" t="s">
        <v>9</v>
      </c>
      <c r="B781" t="s">
        <v>137</v>
      </c>
      <c r="C781" s="9">
        <v>46089</v>
      </c>
      <c r="D781" s="10">
        <v>29983</v>
      </c>
    </row>
    <row r="782" spans="1:4">
      <c r="A782" t="s">
        <v>9</v>
      </c>
      <c r="B782" t="s">
        <v>219</v>
      </c>
      <c r="C782" s="9">
        <v>46089</v>
      </c>
      <c r="D782" s="10">
        <v>35444</v>
      </c>
    </row>
    <row r="783" spans="1:4">
      <c r="A783" t="s">
        <v>5</v>
      </c>
      <c r="B783" t="s">
        <v>241</v>
      </c>
      <c r="C783" s="9">
        <v>46089</v>
      </c>
      <c r="D783" s="10">
        <v>41635</v>
      </c>
    </row>
    <row r="784" spans="1:4">
      <c r="A784" t="s">
        <v>5</v>
      </c>
      <c r="B784" t="s">
        <v>293</v>
      </c>
      <c r="C784" s="9">
        <v>46089</v>
      </c>
      <c r="D784" s="10">
        <v>34802</v>
      </c>
    </row>
    <row r="785" spans="1:4">
      <c r="A785" t="s">
        <v>5</v>
      </c>
      <c r="B785" t="s">
        <v>82</v>
      </c>
      <c r="C785" s="9">
        <v>46089</v>
      </c>
      <c r="D785" s="10">
        <v>53356</v>
      </c>
    </row>
    <row r="786" spans="1:4">
      <c r="A786" t="s">
        <v>4</v>
      </c>
      <c r="B786" t="s">
        <v>263</v>
      </c>
      <c r="C786" s="9">
        <v>46090</v>
      </c>
      <c r="D786" s="10">
        <v>32918</v>
      </c>
    </row>
    <row r="787" spans="1:4">
      <c r="A787" t="s">
        <v>25</v>
      </c>
      <c r="B787" t="s">
        <v>160</v>
      </c>
      <c r="C787" s="9">
        <v>46090</v>
      </c>
      <c r="D787" s="10">
        <v>16181</v>
      </c>
    </row>
    <row r="788" spans="1:4">
      <c r="A788" t="s">
        <v>36</v>
      </c>
      <c r="B788" t="s">
        <v>280</v>
      </c>
      <c r="C788" s="9">
        <v>46090</v>
      </c>
      <c r="D788" s="10">
        <v>17101</v>
      </c>
    </row>
    <row r="789" spans="1:4">
      <c r="A789" t="s">
        <v>30</v>
      </c>
      <c r="B789" t="s">
        <v>60</v>
      </c>
      <c r="C789" s="9">
        <v>46090</v>
      </c>
      <c r="D789" s="10">
        <v>5855</v>
      </c>
    </row>
    <row r="790" spans="1:4">
      <c r="A790" t="s">
        <v>8</v>
      </c>
      <c r="B790" t="s">
        <v>132</v>
      </c>
      <c r="C790" s="9">
        <v>46090</v>
      </c>
      <c r="D790" s="10">
        <v>16228</v>
      </c>
    </row>
    <row r="791" spans="1:4">
      <c r="A791" t="s">
        <v>9</v>
      </c>
      <c r="B791" t="s">
        <v>164</v>
      </c>
      <c r="C791" s="9">
        <v>46090</v>
      </c>
      <c r="D791" s="10">
        <v>29534</v>
      </c>
    </row>
    <row r="792" spans="1:4">
      <c r="A792" t="s">
        <v>9</v>
      </c>
      <c r="B792" t="s">
        <v>240</v>
      </c>
      <c r="C792" s="9">
        <v>46090</v>
      </c>
      <c r="D792" s="10">
        <v>52205</v>
      </c>
    </row>
    <row r="793" spans="1:4">
      <c r="A793" t="s">
        <v>5</v>
      </c>
      <c r="B793" t="s">
        <v>114</v>
      </c>
      <c r="C793" s="9">
        <v>46090</v>
      </c>
      <c r="D793" s="10">
        <v>31394</v>
      </c>
    </row>
    <row r="794" spans="1:4">
      <c r="A794" t="s">
        <v>5</v>
      </c>
      <c r="B794" t="s">
        <v>123</v>
      </c>
      <c r="C794" s="9">
        <v>46090</v>
      </c>
      <c r="D794" s="10">
        <v>41752</v>
      </c>
    </row>
    <row r="795" spans="1:4">
      <c r="A795" t="s">
        <v>5</v>
      </c>
      <c r="B795" t="s">
        <v>71</v>
      </c>
      <c r="C795" s="9">
        <v>46090</v>
      </c>
      <c r="D795" s="10">
        <v>25916</v>
      </c>
    </row>
    <row r="796" spans="1:4">
      <c r="A796" t="s">
        <v>27</v>
      </c>
      <c r="B796" t="s">
        <v>151</v>
      </c>
      <c r="C796" s="9">
        <v>46091</v>
      </c>
      <c r="D796" s="10">
        <v>18415</v>
      </c>
    </row>
    <row r="797" spans="1:4">
      <c r="A797" t="s">
        <v>28</v>
      </c>
      <c r="B797" t="s">
        <v>190</v>
      </c>
      <c r="C797" s="9">
        <v>46091</v>
      </c>
      <c r="D797" s="10">
        <v>14835</v>
      </c>
    </row>
    <row r="798" spans="1:4">
      <c r="A798" t="s">
        <v>28</v>
      </c>
      <c r="B798" t="s">
        <v>183</v>
      </c>
      <c r="C798" s="9">
        <v>46091</v>
      </c>
      <c r="D798" s="10">
        <v>12835</v>
      </c>
    </row>
    <row r="799" spans="1:4">
      <c r="A799" t="s">
        <v>6</v>
      </c>
      <c r="B799" t="s">
        <v>287</v>
      </c>
      <c r="C799" s="9">
        <v>46091</v>
      </c>
      <c r="D799" s="10">
        <v>18967</v>
      </c>
    </row>
    <row r="800" spans="1:4">
      <c r="A800" t="s">
        <v>6</v>
      </c>
      <c r="B800" t="s">
        <v>75</v>
      </c>
      <c r="C800" s="9">
        <v>46091</v>
      </c>
      <c r="D800" s="10">
        <v>21275</v>
      </c>
    </row>
    <row r="801" spans="1:4">
      <c r="A801" t="s">
        <v>33</v>
      </c>
      <c r="B801" t="s">
        <v>245</v>
      </c>
      <c r="C801" s="9">
        <v>46091</v>
      </c>
      <c r="D801" s="10">
        <v>12071</v>
      </c>
    </row>
    <row r="802" spans="1:4">
      <c r="A802" t="s">
        <v>9</v>
      </c>
      <c r="B802" t="s">
        <v>146</v>
      </c>
      <c r="C802" s="9">
        <v>46091</v>
      </c>
      <c r="D802" s="10">
        <v>41166</v>
      </c>
    </row>
    <row r="803" spans="1:4">
      <c r="A803" t="s">
        <v>9</v>
      </c>
      <c r="B803" t="s">
        <v>192</v>
      </c>
      <c r="C803" s="9">
        <v>46091</v>
      </c>
      <c r="D803" s="10">
        <v>24633</v>
      </c>
    </row>
    <row r="804" spans="1:4">
      <c r="A804" t="s">
        <v>5</v>
      </c>
      <c r="B804" t="s">
        <v>224</v>
      </c>
      <c r="C804" s="9">
        <v>46091</v>
      </c>
      <c r="D804" s="10">
        <v>25883</v>
      </c>
    </row>
    <row r="805" spans="1:4">
      <c r="A805" t="s">
        <v>5</v>
      </c>
      <c r="B805" t="s">
        <v>123</v>
      </c>
      <c r="C805" s="9">
        <v>46091</v>
      </c>
      <c r="D805" s="10">
        <v>41515</v>
      </c>
    </row>
    <row r="806" spans="1:4">
      <c r="A806" t="s">
        <v>5</v>
      </c>
      <c r="B806" t="s">
        <v>86</v>
      </c>
      <c r="C806" s="9">
        <v>46091</v>
      </c>
      <c r="D806" s="10">
        <v>30106</v>
      </c>
    </row>
    <row r="807" spans="1:4">
      <c r="A807" t="s">
        <v>28</v>
      </c>
      <c r="B807" t="s">
        <v>131</v>
      </c>
      <c r="C807" s="9">
        <v>46092</v>
      </c>
      <c r="D807" s="10">
        <v>11941</v>
      </c>
    </row>
    <row r="808" spans="1:4">
      <c r="A808" t="s">
        <v>8</v>
      </c>
      <c r="B808" t="s">
        <v>125</v>
      </c>
      <c r="C808" s="9">
        <v>46092</v>
      </c>
      <c r="D808" s="10">
        <v>16058</v>
      </c>
    </row>
    <row r="809" spans="1:4">
      <c r="A809" t="s">
        <v>6</v>
      </c>
      <c r="B809" t="s">
        <v>207</v>
      </c>
      <c r="C809" s="9">
        <v>46092</v>
      </c>
      <c r="D809" s="10">
        <v>19152</v>
      </c>
    </row>
    <row r="810" spans="1:4">
      <c r="A810" t="s">
        <v>7</v>
      </c>
      <c r="B810" t="s">
        <v>255</v>
      </c>
      <c r="C810" s="9">
        <v>46092</v>
      </c>
      <c r="D810" s="10">
        <v>24614</v>
      </c>
    </row>
    <row r="811" spans="1:4">
      <c r="A811" t="s">
        <v>9</v>
      </c>
      <c r="B811" t="s">
        <v>181</v>
      </c>
      <c r="C811" s="9">
        <v>46092</v>
      </c>
      <c r="D811" s="10">
        <v>31230</v>
      </c>
    </row>
    <row r="812" spans="1:4">
      <c r="A812" t="s">
        <v>5</v>
      </c>
      <c r="B812" t="s">
        <v>123</v>
      </c>
      <c r="C812" s="9">
        <v>46092</v>
      </c>
      <c r="D812" s="10">
        <v>43245</v>
      </c>
    </row>
    <row r="813" spans="1:4">
      <c r="A813" t="s">
        <v>5</v>
      </c>
      <c r="B813" t="s">
        <v>80</v>
      </c>
      <c r="C813" s="9">
        <v>46092</v>
      </c>
      <c r="D813" s="10">
        <v>30819</v>
      </c>
    </row>
    <row r="814" spans="1:4">
      <c r="A814" t="s">
        <v>5</v>
      </c>
      <c r="B814" t="s">
        <v>189</v>
      </c>
      <c r="C814" s="9">
        <v>46092</v>
      </c>
      <c r="D814" s="10">
        <v>38976</v>
      </c>
    </row>
    <row r="815" spans="1:4">
      <c r="A815" t="s">
        <v>5</v>
      </c>
      <c r="B815" t="s">
        <v>140</v>
      </c>
      <c r="C815" s="9">
        <v>46092</v>
      </c>
      <c r="D815" s="10">
        <v>48849</v>
      </c>
    </row>
    <row r="816" spans="1:4">
      <c r="A816" t="s">
        <v>35</v>
      </c>
      <c r="B816" t="s">
        <v>259</v>
      </c>
      <c r="C816" s="9">
        <v>46093</v>
      </c>
      <c r="D816" s="10">
        <v>8648</v>
      </c>
    </row>
    <row r="817" spans="1:4">
      <c r="A817" t="s">
        <v>38</v>
      </c>
      <c r="B817" t="s">
        <v>212</v>
      </c>
      <c r="C817" s="9">
        <v>46093</v>
      </c>
      <c r="D817" s="10">
        <v>13294</v>
      </c>
    </row>
    <row r="818" spans="1:4">
      <c r="A818" t="s">
        <v>6</v>
      </c>
      <c r="B818" t="s">
        <v>286</v>
      </c>
      <c r="C818" s="9">
        <v>46093</v>
      </c>
      <c r="D818" s="10">
        <v>40111</v>
      </c>
    </row>
    <row r="819" spans="1:4">
      <c r="A819" t="s">
        <v>29</v>
      </c>
      <c r="B819" t="s">
        <v>95</v>
      </c>
      <c r="C819" s="9">
        <v>46093</v>
      </c>
      <c r="D819" s="10">
        <v>16638</v>
      </c>
    </row>
    <row r="820" spans="1:4">
      <c r="A820" t="s">
        <v>9</v>
      </c>
      <c r="B820" t="s">
        <v>223</v>
      </c>
      <c r="C820" s="9">
        <v>46093</v>
      </c>
      <c r="D820" s="10">
        <v>26143</v>
      </c>
    </row>
    <row r="821" spans="1:4">
      <c r="A821" t="s">
        <v>9</v>
      </c>
      <c r="B821" t="s">
        <v>180</v>
      </c>
      <c r="C821" s="9">
        <v>46093</v>
      </c>
      <c r="D821" s="10">
        <v>48987</v>
      </c>
    </row>
    <row r="822" spans="1:4">
      <c r="A822" t="s">
        <v>5</v>
      </c>
      <c r="B822" t="s">
        <v>70</v>
      </c>
      <c r="C822" s="9">
        <v>46093</v>
      </c>
      <c r="D822" s="10">
        <v>47075</v>
      </c>
    </row>
    <row r="823" spans="1:4">
      <c r="A823" t="s">
        <v>5</v>
      </c>
      <c r="B823" t="s">
        <v>80</v>
      </c>
      <c r="C823" s="9">
        <v>46093</v>
      </c>
      <c r="D823" s="10">
        <v>44600</v>
      </c>
    </row>
    <row r="824" spans="1:4">
      <c r="A824" t="s">
        <v>5</v>
      </c>
      <c r="B824" t="s">
        <v>81</v>
      </c>
      <c r="C824" s="9">
        <v>46093</v>
      </c>
      <c r="D824" s="10">
        <v>37891</v>
      </c>
    </row>
    <row r="825" spans="1:4">
      <c r="A825" t="s">
        <v>5</v>
      </c>
      <c r="B825" t="s">
        <v>159</v>
      </c>
      <c r="C825" s="9">
        <v>46093</v>
      </c>
      <c r="D825" s="10">
        <v>29596</v>
      </c>
    </row>
    <row r="826" spans="1:4">
      <c r="A826" t="s">
        <v>4</v>
      </c>
      <c r="B826" t="s">
        <v>116</v>
      </c>
      <c r="C826" s="9">
        <v>46094</v>
      </c>
      <c r="D826" s="10">
        <v>33466</v>
      </c>
    </row>
    <row r="827" spans="1:4">
      <c r="A827" t="s">
        <v>4</v>
      </c>
      <c r="B827" t="s">
        <v>242</v>
      </c>
      <c r="C827" s="9">
        <v>46094</v>
      </c>
      <c r="D827" s="10">
        <v>30470</v>
      </c>
    </row>
    <row r="828" spans="1:4">
      <c r="A828" t="s">
        <v>28</v>
      </c>
      <c r="B828" t="s">
        <v>74</v>
      </c>
      <c r="C828" s="9">
        <v>46094</v>
      </c>
      <c r="D828" s="10">
        <v>14589</v>
      </c>
    </row>
    <row r="829" spans="1:4">
      <c r="A829" t="s">
        <v>26</v>
      </c>
      <c r="B829" t="s">
        <v>254</v>
      </c>
      <c r="C829" s="9">
        <v>46094</v>
      </c>
      <c r="D829" s="10">
        <v>10367</v>
      </c>
    </row>
    <row r="830" spans="1:4">
      <c r="A830" t="s">
        <v>29</v>
      </c>
      <c r="B830" t="s">
        <v>227</v>
      </c>
      <c r="C830" s="9">
        <v>46094</v>
      </c>
      <c r="D830" s="10">
        <v>12984</v>
      </c>
    </row>
    <row r="831" spans="1:4">
      <c r="A831" t="s">
        <v>7</v>
      </c>
      <c r="B831" t="s">
        <v>289</v>
      </c>
      <c r="C831" s="9">
        <v>46094</v>
      </c>
      <c r="D831" s="10">
        <v>16962</v>
      </c>
    </row>
    <row r="832" spans="1:4">
      <c r="A832" t="s">
        <v>9</v>
      </c>
      <c r="B832" t="s">
        <v>188</v>
      </c>
      <c r="C832" s="9">
        <v>46094</v>
      </c>
      <c r="D832" s="10">
        <v>30124</v>
      </c>
    </row>
    <row r="833" spans="1:4">
      <c r="A833" t="s">
        <v>9</v>
      </c>
      <c r="B833" t="s">
        <v>216</v>
      </c>
      <c r="C833" s="9">
        <v>46094</v>
      </c>
      <c r="D833" s="10">
        <v>41882</v>
      </c>
    </row>
    <row r="834" spans="1:4">
      <c r="A834" t="s">
        <v>9</v>
      </c>
      <c r="B834" t="s">
        <v>219</v>
      </c>
      <c r="C834" s="9">
        <v>46094</v>
      </c>
      <c r="D834" s="10">
        <v>32623</v>
      </c>
    </row>
    <row r="835" spans="1:4">
      <c r="A835" t="s">
        <v>5</v>
      </c>
      <c r="B835" t="s">
        <v>147</v>
      </c>
      <c r="C835" s="9">
        <v>46094</v>
      </c>
      <c r="D835" s="10">
        <v>42440</v>
      </c>
    </row>
    <row r="836" spans="1:4">
      <c r="A836" t="s">
        <v>5</v>
      </c>
      <c r="B836" t="s">
        <v>168</v>
      </c>
      <c r="C836" s="9">
        <v>46094</v>
      </c>
      <c r="D836" s="10">
        <v>46832</v>
      </c>
    </row>
    <row r="837" spans="1:4">
      <c r="A837" t="s">
        <v>5</v>
      </c>
      <c r="B837" t="s">
        <v>71</v>
      </c>
      <c r="C837" s="9">
        <v>46094</v>
      </c>
      <c r="D837" s="10">
        <v>42806</v>
      </c>
    </row>
    <row r="838" spans="1:4">
      <c r="A838" t="s">
        <v>35</v>
      </c>
      <c r="B838" t="s">
        <v>290</v>
      </c>
      <c r="C838" s="9">
        <v>46095</v>
      </c>
      <c r="D838" s="10">
        <v>13645</v>
      </c>
    </row>
    <row r="839" spans="1:4">
      <c r="A839" t="s">
        <v>4</v>
      </c>
      <c r="B839" t="s">
        <v>248</v>
      </c>
      <c r="C839" s="9">
        <v>46095</v>
      </c>
      <c r="D839" s="10">
        <v>40298</v>
      </c>
    </row>
    <row r="840" spans="1:4">
      <c r="A840" t="s">
        <v>26</v>
      </c>
      <c r="B840" t="s">
        <v>281</v>
      </c>
      <c r="C840" s="9">
        <v>46095</v>
      </c>
      <c r="D840" s="10">
        <v>9553</v>
      </c>
    </row>
    <row r="841" spans="1:4">
      <c r="A841" t="s">
        <v>8</v>
      </c>
      <c r="B841" t="s">
        <v>92</v>
      </c>
      <c r="C841" s="9">
        <v>46095</v>
      </c>
      <c r="D841" s="10">
        <v>38519</v>
      </c>
    </row>
    <row r="842" spans="1:4">
      <c r="A842" t="s">
        <v>6</v>
      </c>
      <c r="B842" t="s">
        <v>171</v>
      </c>
      <c r="C842" s="9">
        <v>46095</v>
      </c>
      <c r="D842" s="10">
        <v>22164</v>
      </c>
    </row>
    <row r="843" spans="1:4">
      <c r="A843" t="s">
        <v>29</v>
      </c>
      <c r="B843" t="s">
        <v>84</v>
      </c>
      <c r="C843" s="9">
        <v>46095</v>
      </c>
      <c r="D843" s="10">
        <v>14749</v>
      </c>
    </row>
    <row r="844" spans="1:4">
      <c r="A844" t="s">
        <v>9</v>
      </c>
      <c r="B844" t="s">
        <v>258</v>
      </c>
      <c r="C844" s="9">
        <v>46095</v>
      </c>
      <c r="D844" s="10">
        <v>36231</v>
      </c>
    </row>
    <row r="845" spans="1:4">
      <c r="A845" t="s">
        <v>5</v>
      </c>
      <c r="B845" t="s">
        <v>102</v>
      </c>
      <c r="C845" s="9">
        <v>46095</v>
      </c>
      <c r="D845" s="10">
        <v>40387</v>
      </c>
    </row>
    <row r="846" spans="1:4">
      <c r="A846" t="s">
        <v>5</v>
      </c>
      <c r="B846" t="s">
        <v>189</v>
      </c>
      <c r="C846" s="9">
        <v>46095</v>
      </c>
      <c r="D846" s="10">
        <v>42475</v>
      </c>
    </row>
    <row r="847" spans="1:4">
      <c r="A847" t="s">
        <v>5</v>
      </c>
      <c r="B847" t="s">
        <v>82</v>
      </c>
      <c r="C847" s="9">
        <v>46095</v>
      </c>
      <c r="D847" s="10">
        <v>50084</v>
      </c>
    </row>
    <row r="848" spans="1:4">
      <c r="A848" t="s">
        <v>27</v>
      </c>
      <c r="B848" t="s">
        <v>182</v>
      </c>
      <c r="C848" s="9">
        <v>46096</v>
      </c>
      <c r="D848" s="10">
        <v>8465</v>
      </c>
    </row>
    <row r="849" spans="1:4">
      <c r="A849" t="s">
        <v>4</v>
      </c>
      <c r="B849" t="s">
        <v>226</v>
      </c>
      <c r="C849" s="9">
        <v>46096</v>
      </c>
      <c r="D849" s="10">
        <v>31181</v>
      </c>
    </row>
    <row r="850" spans="1:4">
      <c r="A850" t="s">
        <v>25</v>
      </c>
      <c r="B850" t="s">
        <v>218</v>
      </c>
      <c r="C850" s="9">
        <v>46096</v>
      </c>
      <c r="D850" s="10">
        <v>5200</v>
      </c>
    </row>
    <row r="851" spans="1:4">
      <c r="A851" t="s">
        <v>25</v>
      </c>
      <c r="B851" t="s">
        <v>277</v>
      </c>
      <c r="C851" s="9">
        <v>46096</v>
      </c>
      <c r="D851" s="10">
        <v>18549</v>
      </c>
    </row>
    <row r="852" spans="1:4">
      <c r="A852" t="s">
        <v>26</v>
      </c>
      <c r="B852" t="s">
        <v>91</v>
      </c>
      <c r="C852" s="9">
        <v>46096</v>
      </c>
      <c r="D852" s="10">
        <v>13932</v>
      </c>
    </row>
    <row r="853" spans="1:4">
      <c r="A853" t="s">
        <v>30</v>
      </c>
      <c r="B853" t="s">
        <v>108</v>
      </c>
      <c r="C853" s="9">
        <v>46096</v>
      </c>
      <c r="D853" s="10">
        <v>5200</v>
      </c>
    </row>
    <row r="854" spans="1:4">
      <c r="A854" t="s">
        <v>30</v>
      </c>
      <c r="B854" t="s">
        <v>198</v>
      </c>
      <c r="C854" s="9">
        <v>46096</v>
      </c>
      <c r="D854" s="10">
        <v>14489</v>
      </c>
    </row>
    <row r="855" spans="1:4">
      <c r="A855" t="s">
        <v>8</v>
      </c>
      <c r="B855" t="s">
        <v>93</v>
      </c>
      <c r="C855" s="9">
        <v>46096</v>
      </c>
      <c r="D855" s="10">
        <v>18190</v>
      </c>
    </row>
    <row r="856" spans="1:4">
      <c r="A856" t="s">
        <v>6</v>
      </c>
      <c r="B856" t="s">
        <v>272</v>
      </c>
      <c r="C856" s="9">
        <v>46096</v>
      </c>
      <c r="D856" s="10">
        <v>18999</v>
      </c>
    </row>
    <row r="857" spans="1:4">
      <c r="A857" t="s">
        <v>6</v>
      </c>
      <c r="B857" t="s">
        <v>136</v>
      </c>
      <c r="C857" s="9">
        <v>46096</v>
      </c>
      <c r="D857" s="10">
        <v>17640</v>
      </c>
    </row>
    <row r="858" spans="1:4">
      <c r="A858" t="s">
        <v>7</v>
      </c>
      <c r="B858" t="s">
        <v>119</v>
      </c>
      <c r="C858" s="9">
        <v>46096</v>
      </c>
      <c r="D858" s="10">
        <v>23251</v>
      </c>
    </row>
    <row r="859" spans="1:4">
      <c r="A859" t="s">
        <v>7</v>
      </c>
      <c r="B859" t="s">
        <v>98</v>
      </c>
      <c r="C859" s="9">
        <v>46096</v>
      </c>
      <c r="D859" s="10">
        <v>21201</v>
      </c>
    </row>
    <row r="860" spans="1:4">
      <c r="A860" t="s">
        <v>9</v>
      </c>
      <c r="B860" t="s">
        <v>113</v>
      </c>
      <c r="C860" s="9">
        <v>46096</v>
      </c>
      <c r="D860" s="10">
        <v>45834</v>
      </c>
    </row>
    <row r="861" spans="1:4">
      <c r="A861" t="s">
        <v>5</v>
      </c>
      <c r="B861" t="s">
        <v>167</v>
      </c>
      <c r="C861" s="9">
        <v>46096</v>
      </c>
      <c r="D861" s="10">
        <v>37293</v>
      </c>
    </row>
    <row r="862" spans="1:4">
      <c r="A862" t="s">
        <v>5</v>
      </c>
      <c r="B862" t="s">
        <v>149</v>
      </c>
      <c r="C862" s="9">
        <v>46096</v>
      </c>
      <c r="D862" s="10">
        <v>49863</v>
      </c>
    </row>
    <row r="863" spans="1:4">
      <c r="A863" t="s">
        <v>5</v>
      </c>
      <c r="B863" t="s">
        <v>122</v>
      </c>
      <c r="C863" s="9">
        <v>46096</v>
      </c>
      <c r="D863" s="10">
        <v>42147</v>
      </c>
    </row>
    <row r="864" spans="1:4">
      <c r="A864" t="s">
        <v>5</v>
      </c>
      <c r="B864" t="s">
        <v>86</v>
      </c>
      <c r="C864" s="9">
        <v>46096</v>
      </c>
      <c r="D864" s="10">
        <v>30100</v>
      </c>
    </row>
    <row r="865" spans="1:4">
      <c r="A865" t="s">
        <v>5</v>
      </c>
      <c r="B865" t="s">
        <v>203</v>
      </c>
      <c r="C865" s="9">
        <v>46096</v>
      </c>
      <c r="D865" s="10">
        <v>29686</v>
      </c>
    </row>
    <row r="866" spans="1:4">
      <c r="A866" t="s">
        <v>27</v>
      </c>
      <c r="B866" t="s">
        <v>115</v>
      </c>
      <c r="C866" s="9">
        <v>46097</v>
      </c>
      <c r="D866" s="10">
        <v>12382</v>
      </c>
    </row>
    <row r="867" spans="1:4">
      <c r="A867" t="s">
        <v>4</v>
      </c>
      <c r="B867" t="s">
        <v>213</v>
      </c>
      <c r="C867" s="9">
        <v>46097</v>
      </c>
      <c r="D867" s="10">
        <v>36495</v>
      </c>
    </row>
    <row r="868" spans="1:4">
      <c r="A868" t="s">
        <v>4</v>
      </c>
      <c r="B868" t="s">
        <v>230</v>
      </c>
      <c r="C868" s="9">
        <v>46097</v>
      </c>
      <c r="D868" s="10">
        <v>27472</v>
      </c>
    </row>
    <row r="869" spans="1:4">
      <c r="A869" t="s">
        <v>4</v>
      </c>
      <c r="B869" t="s">
        <v>234</v>
      </c>
      <c r="C869" s="9">
        <v>46097</v>
      </c>
      <c r="D869" s="10">
        <v>46610</v>
      </c>
    </row>
    <row r="870" spans="1:4">
      <c r="A870" t="s">
        <v>4</v>
      </c>
      <c r="B870" t="s">
        <v>214</v>
      </c>
      <c r="C870" s="9">
        <v>46097</v>
      </c>
      <c r="D870" s="10">
        <v>10215</v>
      </c>
    </row>
    <row r="871" spans="1:4">
      <c r="A871" t="s">
        <v>25</v>
      </c>
      <c r="B871" t="s">
        <v>264</v>
      </c>
      <c r="C871" s="9">
        <v>46097</v>
      </c>
      <c r="D871" s="10">
        <v>5200</v>
      </c>
    </row>
    <row r="872" spans="1:4">
      <c r="A872" t="s">
        <v>25</v>
      </c>
      <c r="B872" t="s">
        <v>205</v>
      </c>
      <c r="C872" s="9">
        <v>46097</v>
      </c>
      <c r="D872" s="10">
        <v>18413</v>
      </c>
    </row>
    <row r="873" spans="1:4">
      <c r="A873" t="s">
        <v>30</v>
      </c>
      <c r="B873" t="s">
        <v>236</v>
      </c>
      <c r="C873" s="9">
        <v>46097</v>
      </c>
      <c r="D873" s="10">
        <v>11935</v>
      </c>
    </row>
    <row r="874" spans="1:4">
      <c r="A874" t="s">
        <v>9</v>
      </c>
      <c r="B874" t="s">
        <v>85</v>
      </c>
      <c r="C874" s="9">
        <v>46097</v>
      </c>
      <c r="D874" s="10">
        <v>25461</v>
      </c>
    </row>
    <row r="875" spans="1:4">
      <c r="A875" t="s">
        <v>9</v>
      </c>
      <c r="B875" t="s">
        <v>181</v>
      </c>
      <c r="C875" s="9">
        <v>46097</v>
      </c>
      <c r="D875" s="10">
        <v>36944</v>
      </c>
    </row>
    <row r="876" spans="1:4">
      <c r="A876" t="s">
        <v>9</v>
      </c>
      <c r="B876" t="s">
        <v>246</v>
      </c>
      <c r="C876" s="9">
        <v>46097</v>
      </c>
      <c r="D876" s="10">
        <v>41328</v>
      </c>
    </row>
    <row r="877" spans="1:4">
      <c r="A877" t="s">
        <v>5</v>
      </c>
      <c r="B877" t="s">
        <v>70</v>
      </c>
      <c r="C877" s="9">
        <v>46097</v>
      </c>
      <c r="D877" s="10">
        <v>47342</v>
      </c>
    </row>
    <row r="878" spans="1:4">
      <c r="A878" t="s">
        <v>5</v>
      </c>
      <c r="B878" t="s">
        <v>148</v>
      </c>
      <c r="C878" s="9">
        <v>46097</v>
      </c>
      <c r="D878" s="10">
        <v>39789</v>
      </c>
    </row>
    <row r="879" spans="1:4">
      <c r="A879" t="s">
        <v>5</v>
      </c>
      <c r="B879" t="s">
        <v>189</v>
      </c>
      <c r="C879" s="9">
        <v>46097</v>
      </c>
      <c r="D879" s="10">
        <v>42276</v>
      </c>
    </row>
    <row r="880" spans="1:4">
      <c r="A880" t="s">
        <v>4</v>
      </c>
      <c r="B880" t="s">
        <v>278</v>
      </c>
      <c r="C880" s="9">
        <v>46098</v>
      </c>
      <c r="D880" s="10">
        <v>10951</v>
      </c>
    </row>
    <row r="881" spans="1:4">
      <c r="A881" t="s">
        <v>37</v>
      </c>
      <c r="B881" t="s">
        <v>186</v>
      </c>
      <c r="C881" s="9">
        <v>46098</v>
      </c>
      <c r="D881" s="10">
        <v>13503</v>
      </c>
    </row>
    <row r="882" spans="1:4">
      <c r="A882" t="s">
        <v>9</v>
      </c>
      <c r="B882" t="s">
        <v>59</v>
      </c>
      <c r="C882" s="9">
        <v>46098</v>
      </c>
      <c r="D882" s="10">
        <v>47394</v>
      </c>
    </row>
    <row r="883" spans="1:4">
      <c r="A883" t="s">
        <v>5</v>
      </c>
      <c r="B883" t="s">
        <v>62</v>
      </c>
      <c r="C883" s="9">
        <v>46098</v>
      </c>
      <c r="D883" s="10">
        <v>33427</v>
      </c>
    </row>
    <row r="884" spans="1:4">
      <c r="A884" t="s">
        <v>5</v>
      </c>
      <c r="B884" t="s">
        <v>102</v>
      </c>
      <c r="C884" s="9">
        <v>46098</v>
      </c>
      <c r="D884" s="10">
        <v>35420</v>
      </c>
    </row>
    <row r="885" spans="1:4">
      <c r="A885" t="s">
        <v>5</v>
      </c>
      <c r="B885" t="s">
        <v>168</v>
      </c>
      <c r="C885" s="9">
        <v>46098</v>
      </c>
      <c r="D885" s="10">
        <v>37869</v>
      </c>
    </row>
    <row r="886" spans="1:4">
      <c r="A886" t="s">
        <v>5</v>
      </c>
      <c r="B886" t="s">
        <v>150</v>
      </c>
      <c r="C886" s="9">
        <v>46098</v>
      </c>
      <c r="D886" s="10">
        <v>36780</v>
      </c>
    </row>
    <row r="887" spans="1:4">
      <c r="A887" t="s">
        <v>5</v>
      </c>
      <c r="B887" t="s">
        <v>211</v>
      </c>
      <c r="C887" s="9">
        <v>46098</v>
      </c>
      <c r="D887" s="10">
        <v>43032</v>
      </c>
    </row>
    <row r="888" spans="1:4">
      <c r="A888" t="s">
        <v>4</v>
      </c>
      <c r="B888" t="s">
        <v>252</v>
      </c>
      <c r="C888" s="9">
        <v>46099</v>
      </c>
      <c r="D888" s="10">
        <v>7468</v>
      </c>
    </row>
    <row r="889" spans="1:4">
      <c r="A889" t="s">
        <v>4</v>
      </c>
      <c r="B889" t="s">
        <v>195</v>
      </c>
      <c r="C889" s="9">
        <v>46099</v>
      </c>
      <c r="D889" s="10">
        <v>6997</v>
      </c>
    </row>
    <row r="890" spans="1:4">
      <c r="A890" t="s">
        <v>6</v>
      </c>
      <c r="B890" t="s">
        <v>83</v>
      </c>
      <c r="C890" s="9">
        <v>46099</v>
      </c>
      <c r="D890" s="10">
        <v>18050</v>
      </c>
    </row>
    <row r="891" spans="1:4">
      <c r="A891" t="s">
        <v>9</v>
      </c>
      <c r="B891" t="s">
        <v>201</v>
      </c>
      <c r="C891" s="9">
        <v>46099</v>
      </c>
      <c r="D891" s="10">
        <v>51765</v>
      </c>
    </row>
    <row r="892" spans="1:4">
      <c r="A892" t="s">
        <v>9</v>
      </c>
      <c r="B892" t="s">
        <v>120</v>
      </c>
      <c r="C892" s="9">
        <v>46099</v>
      </c>
      <c r="D892" s="10">
        <v>49463</v>
      </c>
    </row>
    <row r="893" spans="1:4">
      <c r="A893" t="s">
        <v>5</v>
      </c>
      <c r="B893" t="s">
        <v>62</v>
      </c>
      <c r="C893" s="9">
        <v>46099</v>
      </c>
      <c r="D893" s="10">
        <v>35648</v>
      </c>
    </row>
    <row r="894" spans="1:4">
      <c r="A894" t="s">
        <v>5</v>
      </c>
      <c r="B894" t="s">
        <v>223</v>
      </c>
      <c r="C894" s="9">
        <v>46099</v>
      </c>
      <c r="D894" s="10">
        <v>29430</v>
      </c>
    </row>
    <row r="895" spans="1:4">
      <c r="A895" t="s">
        <v>5</v>
      </c>
      <c r="B895" t="s">
        <v>127</v>
      </c>
      <c r="C895" s="9">
        <v>46099</v>
      </c>
      <c r="D895" s="10">
        <v>52415</v>
      </c>
    </row>
    <row r="896" spans="1:4">
      <c r="A896" t="s">
        <v>27</v>
      </c>
      <c r="B896" t="s">
        <v>260</v>
      </c>
      <c r="C896" s="9">
        <v>46100</v>
      </c>
      <c r="D896" s="10">
        <v>6774</v>
      </c>
    </row>
    <row r="897" spans="1:4">
      <c r="A897" t="s">
        <v>8</v>
      </c>
      <c r="B897" t="s">
        <v>250</v>
      </c>
      <c r="C897" s="9">
        <v>46100</v>
      </c>
      <c r="D897" s="10">
        <v>29185</v>
      </c>
    </row>
    <row r="898" spans="1:4">
      <c r="A898" t="s">
        <v>8</v>
      </c>
      <c r="B898" t="s">
        <v>251</v>
      </c>
      <c r="C898" s="9">
        <v>46100</v>
      </c>
      <c r="D898" s="10">
        <v>19396</v>
      </c>
    </row>
    <row r="899" spans="1:4">
      <c r="A899" t="s">
        <v>8</v>
      </c>
      <c r="B899" t="s">
        <v>244</v>
      </c>
      <c r="C899" s="9">
        <v>46100</v>
      </c>
      <c r="D899" s="10">
        <v>14317</v>
      </c>
    </row>
    <row r="900" spans="1:4">
      <c r="A900" t="s">
        <v>6</v>
      </c>
      <c r="B900" t="s">
        <v>94</v>
      </c>
      <c r="C900" s="9">
        <v>46100</v>
      </c>
      <c r="D900" s="10">
        <v>22664</v>
      </c>
    </row>
    <row r="901" spans="1:4">
      <c r="A901" t="s">
        <v>9</v>
      </c>
      <c r="B901" t="s">
        <v>81</v>
      </c>
      <c r="C901" s="9">
        <v>46100</v>
      </c>
      <c r="D901" s="10">
        <v>43497</v>
      </c>
    </row>
    <row r="902" spans="1:4">
      <c r="A902" t="s">
        <v>9</v>
      </c>
      <c r="B902" t="s">
        <v>67</v>
      </c>
      <c r="C902" s="9">
        <v>46100</v>
      </c>
      <c r="D902" s="10">
        <v>48860</v>
      </c>
    </row>
    <row r="903" spans="1:4">
      <c r="A903" t="s">
        <v>9</v>
      </c>
      <c r="B903" t="s">
        <v>292</v>
      </c>
      <c r="C903" s="9">
        <v>46100</v>
      </c>
      <c r="D903" s="10">
        <v>34873</v>
      </c>
    </row>
    <row r="904" spans="1:4">
      <c r="A904" t="s">
        <v>5</v>
      </c>
      <c r="B904" t="s">
        <v>154</v>
      </c>
      <c r="C904" s="9">
        <v>46100</v>
      </c>
      <c r="D904" s="10">
        <v>58858</v>
      </c>
    </row>
    <row r="905" spans="1:4">
      <c r="A905" t="s">
        <v>5</v>
      </c>
      <c r="B905" t="s">
        <v>241</v>
      </c>
      <c r="C905" s="9">
        <v>46100</v>
      </c>
      <c r="D905" s="10">
        <v>43148</v>
      </c>
    </row>
    <row r="906" spans="1:4">
      <c r="A906" t="s">
        <v>5</v>
      </c>
      <c r="B906" t="s">
        <v>123</v>
      </c>
      <c r="C906" s="9">
        <v>46100</v>
      </c>
      <c r="D906" s="10">
        <v>42792</v>
      </c>
    </row>
    <row r="907" spans="1:4">
      <c r="A907" t="s">
        <v>5</v>
      </c>
      <c r="B907" t="s">
        <v>210</v>
      </c>
      <c r="C907" s="9">
        <v>46100</v>
      </c>
      <c r="D907" s="10">
        <v>46709</v>
      </c>
    </row>
    <row r="908" spans="1:4">
      <c r="A908" t="s">
        <v>5</v>
      </c>
      <c r="B908" t="s">
        <v>159</v>
      </c>
      <c r="C908" s="9">
        <v>46100</v>
      </c>
      <c r="D908" s="10">
        <v>40412</v>
      </c>
    </row>
    <row r="909" spans="1:4">
      <c r="A909" t="s">
        <v>27</v>
      </c>
      <c r="B909" t="s">
        <v>58</v>
      </c>
      <c r="C909" s="9">
        <v>46101</v>
      </c>
      <c r="D909" s="10">
        <v>21700</v>
      </c>
    </row>
    <row r="910" spans="1:4">
      <c r="A910" t="s">
        <v>4</v>
      </c>
      <c r="B910" t="s">
        <v>261</v>
      </c>
      <c r="C910" s="9">
        <v>46101</v>
      </c>
      <c r="D910" s="10">
        <v>43284</v>
      </c>
    </row>
    <row r="911" spans="1:4">
      <c r="A911" t="s">
        <v>4</v>
      </c>
      <c r="B911" t="s">
        <v>158</v>
      </c>
      <c r="C911" s="9">
        <v>46101</v>
      </c>
      <c r="D911" s="10">
        <v>28270</v>
      </c>
    </row>
    <row r="912" spans="1:4">
      <c r="A912" t="s">
        <v>30</v>
      </c>
      <c r="B912" t="s">
        <v>243</v>
      </c>
      <c r="C912" s="9">
        <v>46101</v>
      </c>
      <c r="D912" s="10">
        <v>12871</v>
      </c>
    </row>
    <row r="913" spans="1:4">
      <c r="A913" t="s">
        <v>8</v>
      </c>
      <c r="B913" t="s">
        <v>237</v>
      </c>
      <c r="C913" s="9">
        <v>46101</v>
      </c>
      <c r="D913" s="10">
        <v>17538</v>
      </c>
    </row>
    <row r="914" spans="1:4">
      <c r="A914" t="s">
        <v>32</v>
      </c>
      <c r="B914" t="s">
        <v>118</v>
      </c>
      <c r="C914" s="9">
        <v>46101</v>
      </c>
      <c r="D914" s="10">
        <v>8008</v>
      </c>
    </row>
    <row r="915" spans="1:4">
      <c r="A915" t="s">
        <v>34</v>
      </c>
      <c r="B915" t="s">
        <v>285</v>
      </c>
      <c r="C915" s="9">
        <v>46101</v>
      </c>
      <c r="D915" s="10">
        <v>5200</v>
      </c>
    </row>
    <row r="916" spans="1:4">
      <c r="A916" t="s">
        <v>7</v>
      </c>
      <c r="B916" t="s">
        <v>175</v>
      </c>
      <c r="C916" s="9">
        <v>46101</v>
      </c>
      <c r="D916" s="10">
        <v>30795</v>
      </c>
    </row>
    <row r="917" spans="1:4">
      <c r="A917" t="s">
        <v>7</v>
      </c>
      <c r="B917" t="s">
        <v>153</v>
      </c>
      <c r="C917" s="9">
        <v>46101</v>
      </c>
      <c r="D917" s="10">
        <v>26815</v>
      </c>
    </row>
    <row r="918" spans="1:4">
      <c r="A918" t="s">
        <v>9</v>
      </c>
      <c r="B918" t="s">
        <v>258</v>
      </c>
      <c r="C918" s="9">
        <v>46101</v>
      </c>
      <c r="D918" s="10">
        <v>40520</v>
      </c>
    </row>
    <row r="919" spans="1:4">
      <c r="A919" t="s">
        <v>9</v>
      </c>
      <c r="B919" t="s">
        <v>166</v>
      </c>
      <c r="C919" s="9">
        <v>46101</v>
      </c>
      <c r="D919" s="10">
        <v>34621</v>
      </c>
    </row>
    <row r="920" spans="1:4">
      <c r="A920" t="s">
        <v>5</v>
      </c>
      <c r="B920" t="s">
        <v>187</v>
      </c>
      <c r="C920" s="9">
        <v>46101</v>
      </c>
      <c r="D920" s="10">
        <v>38259</v>
      </c>
    </row>
    <row r="921" spans="1:4">
      <c r="A921" t="s">
        <v>5</v>
      </c>
      <c r="B921" t="s">
        <v>62</v>
      </c>
      <c r="C921" s="9">
        <v>46101</v>
      </c>
      <c r="D921" s="10">
        <v>48857</v>
      </c>
    </row>
    <row r="922" spans="1:4">
      <c r="A922" t="s">
        <v>5</v>
      </c>
      <c r="B922" t="s">
        <v>139</v>
      </c>
      <c r="C922" s="9">
        <v>46101</v>
      </c>
      <c r="D922" s="10">
        <v>32828</v>
      </c>
    </row>
    <row r="923" spans="1:4">
      <c r="A923" t="s">
        <v>5</v>
      </c>
      <c r="B923" t="s">
        <v>156</v>
      </c>
      <c r="C923" s="9">
        <v>46101</v>
      </c>
      <c r="D923" s="10">
        <v>33581</v>
      </c>
    </row>
    <row r="924" spans="1:4">
      <c r="A924" t="s">
        <v>8</v>
      </c>
      <c r="B924" t="s">
        <v>233</v>
      </c>
      <c r="C924" s="9">
        <v>46102</v>
      </c>
      <c r="D924" s="10">
        <v>10467</v>
      </c>
    </row>
    <row r="925" spans="1:4">
      <c r="A925" t="s">
        <v>29</v>
      </c>
      <c r="B925" t="s">
        <v>152</v>
      </c>
      <c r="C925" s="9">
        <v>46102</v>
      </c>
      <c r="D925" s="10">
        <v>24837</v>
      </c>
    </row>
    <row r="926" spans="1:4">
      <c r="A926" t="s">
        <v>9</v>
      </c>
      <c r="B926" t="s">
        <v>69</v>
      </c>
      <c r="C926" s="9">
        <v>46102</v>
      </c>
      <c r="D926" s="10">
        <v>51302</v>
      </c>
    </row>
    <row r="927" spans="1:4">
      <c r="A927" t="s">
        <v>9</v>
      </c>
      <c r="B927" t="s">
        <v>246</v>
      </c>
      <c r="C927" s="9">
        <v>46102</v>
      </c>
      <c r="D927" s="10">
        <v>42502</v>
      </c>
    </row>
    <row r="928" spans="1:4">
      <c r="A928" t="s">
        <v>9</v>
      </c>
      <c r="B928" t="s">
        <v>176</v>
      </c>
      <c r="C928" s="9">
        <v>46102</v>
      </c>
      <c r="D928" s="10">
        <v>45011</v>
      </c>
    </row>
    <row r="929" spans="1:4">
      <c r="A929" t="s">
        <v>9</v>
      </c>
      <c r="B929" t="s">
        <v>166</v>
      </c>
      <c r="C929" s="9">
        <v>46102</v>
      </c>
      <c r="D929" s="10">
        <v>26354</v>
      </c>
    </row>
    <row r="930" spans="1:4">
      <c r="A930" t="s">
        <v>5</v>
      </c>
      <c r="B930" t="s">
        <v>72</v>
      </c>
      <c r="C930" s="9">
        <v>46102</v>
      </c>
      <c r="D930" s="10">
        <v>41546</v>
      </c>
    </row>
    <row r="931" spans="1:4">
      <c r="A931" t="s">
        <v>5</v>
      </c>
      <c r="B931" t="s">
        <v>123</v>
      </c>
      <c r="C931" s="9">
        <v>46102</v>
      </c>
      <c r="D931" s="10">
        <v>51931</v>
      </c>
    </row>
    <row r="932" spans="1:4">
      <c r="A932" t="s">
        <v>5</v>
      </c>
      <c r="B932" t="s">
        <v>87</v>
      </c>
      <c r="C932" s="9">
        <v>46102</v>
      </c>
      <c r="D932" s="10">
        <v>63203</v>
      </c>
    </row>
    <row r="933" spans="1:4">
      <c r="A933" t="s">
        <v>5</v>
      </c>
      <c r="B933" t="s">
        <v>128</v>
      </c>
      <c r="C933" s="9">
        <v>46102</v>
      </c>
      <c r="D933" s="10">
        <v>36018</v>
      </c>
    </row>
    <row r="934" spans="1:4">
      <c r="A934" t="s">
        <v>32</v>
      </c>
      <c r="B934" t="s">
        <v>206</v>
      </c>
      <c r="C934" s="9">
        <v>46103</v>
      </c>
      <c r="D934" s="10">
        <v>14109</v>
      </c>
    </row>
    <row r="935" spans="1:4">
      <c r="A935" t="s">
        <v>6</v>
      </c>
      <c r="B935" t="s">
        <v>178</v>
      </c>
      <c r="C935" s="9">
        <v>46103</v>
      </c>
      <c r="D935" s="10">
        <v>43015</v>
      </c>
    </row>
    <row r="936" spans="1:4">
      <c r="A936" t="s">
        <v>9</v>
      </c>
      <c r="B936" t="s">
        <v>88</v>
      </c>
      <c r="C936" s="9">
        <v>46103</v>
      </c>
      <c r="D936" s="10">
        <v>52369</v>
      </c>
    </row>
    <row r="937" spans="1:4">
      <c r="A937" t="s">
        <v>5</v>
      </c>
      <c r="B937" t="s">
        <v>189</v>
      </c>
      <c r="C937" s="9">
        <v>46103</v>
      </c>
      <c r="D937" s="10">
        <v>42103</v>
      </c>
    </row>
    <row r="938" spans="1:4">
      <c r="A938" t="s">
        <v>5</v>
      </c>
      <c r="B938" t="s">
        <v>67</v>
      </c>
      <c r="C938" s="9">
        <v>46103</v>
      </c>
      <c r="D938" s="10">
        <v>43503</v>
      </c>
    </row>
    <row r="939" spans="1:4">
      <c r="A939" t="s">
        <v>5</v>
      </c>
      <c r="B939" t="s">
        <v>88</v>
      </c>
      <c r="C939" s="9">
        <v>46103</v>
      </c>
      <c r="D939" s="10">
        <v>45402</v>
      </c>
    </row>
    <row r="940" spans="1:4">
      <c r="A940" t="s">
        <v>5</v>
      </c>
      <c r="B940" t="s">
        <v>140</v>
      </c>
      <c r="C940" s="9">
        <v>46103</v>
      </c>
      <c r="D940" s="10">
        <v>36964</v>
      </c>
    </row>
    <row r="941" spans="1:4">
      <c r="A941" t="s">
        <v>4</v>
      </c>
      <c r="B941" t="s">
        <v>142</v>
      </c>
      <c r="C941" s="9">
        <v>46104</v>
      </c>
      <c r="D941" s="10">
        <v>31772</v>
      </c>
    </row>
    <row r="942" spans="1:4">
      <c r="A942" t="s">
        <v>8</v>
      </c>
      <c r="B942" t="s">
        <v>65</v>
      </c>
      <c r="C942" s="9">
        <v>46104</v>
      </c>
      <c r="D942" s="10">
        <v>19043</v>
      </c>
    </row>
    <row r="943" spans="1:4">
      <c r="A943" t="s">
        <v>9</v>
      </c>
      <c r="B943" t="s">
        <v>85</v>
      </c>
      <c r="C943" s="9">
        <v>46104</v>
      </c>
      <c r="D943" s="10">
        <v>38510</v>
      </c>
    </row>
    <row r="944" spans="1:4">
      <c r="A944" t="s">
        <v>9</v>
      </c>
      <c r="B944" t="s">
        <v>274</v>
      </c>
      <c r="C944" s="9">
        <v>46104</v>
      </c>
      <c r="D944" s="10">
        <v>44167</v>
      </c>
    </row>
    <row r="945" spans="1:4">
      <c r="A945" t="s">
        <v>9</v>
      </c>
      <c r="B945" t="s">
        <v>101</v>
      </c>
      <c r="C945" s="9">
        <v>46104</v>
      </c>
      <c r="D945" s="10">
        <v>31605</v>
      </c>
    </row>
    <row r="946" spans="1:4">
      <c r="A946" t="s">
        <v>5</v>
      </c>
      <c r="B946" t="s">
        <v>59</v>
      </c>
      <c r="C946" s="9">
        <v>46104</v>
      </c>
      <c r="D946" s="10">
        <v>41269</v>
      </c>
    </row>
    <row r="947" spans="1:4">
      <c r="A947" t="s">
        <v>5</v>
      </c>
      <c r="B947" t="s">
        <v>128</v>
      </c>
      <c r="C947" s="9">
        <v>46104</v>
      </c>
      <c r="D947" s="10">
        <v>36472</v>
      </c>
    </row>
    <row r="948" spans="1:4">
      <c r="A948" t="s">
        <v>28</v>
      </c>
      <c r="B948" t="s">
        <v>270</v>
      </c>
      <c r="C948" s="9">
        <v>46105</v>
      </c>
      <c r="D948" s="10">
        <v>14140</v>
      </c>
    </row>
    <row r="949" spans="1:4">
      <c r="A949" t="s">
        <v>30</v>
      </c>
      <c r="B949" t="s">
        <v>191</v>
      </c>
      <c r="C949" s="9">
        <v>46105</v>
      </c>
      <c r="D949" s="10">
        <v>28184</v>
      </c>
    </row>
    <row r="950" spans="1:4">
      <c r="A950" t="s">
        <v>7</v>
      </c>
      <c r="B950" t="s">
        <v>78</v>
      </c>
      <c r="C950" s="9">
        <v>46105</v>
      </c>
      <c r="D950" s="10">
        <v>23231</v>
      </c>
    </row>
    <row r="951" spans="1:4">
      <c r="A951" t="s">
        <v>7</v>
      </c>
      <c r="B951" t="s">
        <v>231</v>
      </c>
      <c r="C951" s="9">
        <v>46105</v>
      </c>
      <c r="D951" s="10">
        <v>18032</v>
      </c>
    </row>
    <row r="952" spans="1:4">
      <c r="A952" t="s">
        <v>7</v>
      </c>
      <c r="B952" t="s">
        <v>289</v>
      </c>
      <c r="C952" s="9">
        <v>46105</v>
      </c>
      <c r="D952" s="10">
        <v>25835</v>
      </c>
    </row>
    <row r="953" spans="1:4">
      <c r="A953" t="s">
        <v>9</v>
      </c>
      <c r="B953" t="s">
        <v>101</v>
      </c>
      <c r="C953" s="9">
        <v>46105</v>
      </c>
      <c r="D953" s="10">
        <v>28821</v>
      </c>
    </row>
    <row r="954" spans="1:4">
      <c r="A954" t="s">
        <v>9</v>
      </c>
      <c r="B954" t="s">
        <v>104</v>
      </c>
      <c r="C954" s="9">
        <v>46105</v>
      </c>
      <c r="D954" s="10">
        <v>37936</v>
      </c>
    </row>
    <row r="955" spans="1:4">
      <c r="A955" t="s">
        <v>5</v>
      </c>
      <c r="B955" t="s">
        <v>70</v>
      </c>
      <c r="C955" s="9">
        <v>46105</v>
      </c>
      <c r="D955" s="10">
        <v>41446</v>
      </c>
    </row>
    <row r="956" spans="1:4">
      <c r="A956" t="s">
        <v>5</v>
      </c>
      <c r="B956" t="s">
        <v>148</v>
      </c>
      <c r="C956" s="9">
        <v>46105</v>
      </c>
      <c r="D956" s="10">
        <v>42745</v>
      </c>
    </row>
    <row r="957" spans="1:4">
      <c r="A957" t="s">
        <v>5</v>
      </c>
      <c r="B957" t="s">
        <v>293</v>
      </c>
      <c r="C957" s="9">
        <v>46105</v>
      </c>
      <c r="D957" s="10">
        <v>52605</v>
      </c>
    </row>
    <row r="958" spans="1:4">
      <c r="A958" t="s">
        <v>5</v>
      </c>
      <c r="B958" t="s">
        <v>159</v>
      </c>
      <c r="C958" s="9">
        <v>46105</v>
      </c>
      <c r="D958" s="10">
        <v>39167</v>
      </c>
    </row>
    <row r="959" spans="1:4">
      <c r="A959" t="s">
        <v>5</v>
      </c>
      <c r="B959" t="s">
        <v>159</v>
      </c>
      <c r="C959" s="9">
        <v>46105</v>
      </c>
      <c r="D959" s="10">
        <v>44958</v>
      </c>
    </row>
    <row r="960" spans="1:4">
      <c r="A960" t="s">
        <v>26</v>
      </c>
      <c r="B960" t="s">
        <v>249</v>
      </c>
      <c r="C960" s="9">
        <v>46106</v>
      </c>
      <c r="D960" s="10">
        <v>15711</v>
      </c>
    </row>
    <row r="961" spans="1:4">
      <c r="A961" t="s">
        <v>8</v>
      </c>
      <c r="B961" t="s">
        <v>256</v>
      </c>
      <c r="C961" s="9">
        <v>46106</v>
      </c>
      <c r="D961" s="10">
        <v>19099</v>
      </c>
    </row>
    <row r="962" spans="1:4">
      <c r="A962" t="s">
        <v>32</v>
      </c>
      <c r="B962" t="s">
        <v>145</v>
      </c>
      <c r="C962" s="9">
        <v>46106</v>
      </c>
      <c r="D962" s="10">
        <v>24731</v>
      </c>
    </row>
    <row r="963" spans="1:4">
      <c r="A963" t="s">
        <v>7</v>
      </c>
      <c r="B963" t="s">
        <v>96</v>
      </c>
      <c r="C963" s="9">
        <v>46106</v>
      </c>
      <c r="D963" s="10">
        <v>5471</v>
      </c>
    </row>
    <row r="964" spans="1:4">
      <c r="A964" t="s">
        <v>7</v>
      </c>
      <c r="B964" t="s">
        <v>76</v>
      </c>
      <c r="C964" s="9">
        <v>46106</v>
      </c>
      <c r="D964" s="10">
        <v>11655</v>
      </c>
    </row>
    <row r="965" spans="1:4">
      <c r="A965" t="s">
        <v>9</v>
      </c>
      <c r="B965" t="s">
        <v>111</v>
      </c>
      <c r="C965" s="9">
        <v>46106</v>
      </c>
      <c r="D965" s="10">
        <v>24448</v>
      </c>
    </row>
    <row r="966" spans="1:4">
      <c r="A966" t="s">
        <v>9</v>
      </c>
      <c r="B966" t="s">
        <v>79</v>
      </c>
      <c r="C966" s="9">
        <v>46106</v>
      </c>
      <c r="D966" s="10">
        <v>33846</v>
      </c>
    </row>
    <row r="967" spans="1:4">
      <c r="A967" t="s">
        <v>5</v>
      </c>
      <c r="B967" t="s">
        <v>123</v>
      </c>
      <c r="C967" s="9">
        <v>46106</v>
      </c>
      <c r="D967" s="10">
        <v>47750</v>
      </c>
    </row>
    <row r="968" spans="1:4">
      <c r="A968" t="s">
        <v>5</v>
      </c>
      <c r="B968" t="s">
        <v>140</v>
      </c>
      <c r="C968" s="9">
        <v>46106</v>
      </c>
      <c r="D968" s="10">
        <v>52447</v>
      </c>
    </row>
    <row r="969" spans="1:4">
      <c r="A969" t="s">
        <v>5</v>
      </c>
      <c r="B969" t="s">
        <v>140</v>
      </c>
      <c r="C969" s="9">
        <v>46106</v>
      </c>
      <c r="D969" s="10">
        <v>33936</v>
      </c>
    </row>
    <row r="970" spans="1:4">
      <c r="A970" t="s">
        <v>27</v>
      </c>
      <c r="B970" t="s">
        <v>169</v>
      </c>
      <c r="C970" s="9">
        <v>46107</v>
      </c>
      <c r="D970" s="10">
        <v>13577</v>
      </c>
    </row>
    <row r="971" spans="1:4">
      <c r="A971" t="s">
        <v>4</v>
      </c>
      <c r="B971" t="s">
        <v>268</v>
      </c>
      <c r="C971" s="9">
        <v>46107</v>
      </c>
      <c r="D971" s="10">
        <v>33648</v>
      </c>
    </row>
    <row r="972" spans="1:4">
      <c r="A972" t="s">
        <v>26</v>
      </c>
      <c r="B972" t="s">
        <v>221</v>
      </c>
      <c r="C972" s="9">
        <v>46107</v>
      </c>
      <c r="D972" s="10">
        <v>15202</v>
      </c>
    </row>
    <row r="973" spans="1:4">
      <c r="A973" t="s">
        <v>6</v>
      </c>
      <c r="B973" t="s">
        <v>61</v>
      </c>
      <c r="C973" s="9">
        <v>46107</v>
      </c>
      <c r="D973" s="10">
        <v>19012</v>
      </c>
    </row>
    <row r="974" spans="1:4">
      <c r="A974" t="s">
        <v>6</v>
      </c>
      <c r="B974" t="s">
        <v>172</v>
      </c>
      <c r="C974" s="9">
        <v>46107</v>
      </c>
      <c r="D974" s="10">
        <v>19922</v>
      </c>
    </row>
    <row r="975" spans="1:4">
      <c r="A975" t="s">
        <v>7</v>
      </c>
      <c r="B975" t="s">
        <v>222</v>
      </c>
      <c r="C975" s="9">
        <v>46107</v>
      </c>
      <c r="D975" s="10">
        <v>24025</v>
      </c>
    </row>
    <row r="976" spans="1:4">
      <c r="A976" t="s">
        <v>5</v>
      </c>
      <c r="B976" t="s">
        <v>209</v>
      </c>
      <c r="C976" s="9">
        <v>46107</v>
      </c>
      <c r="D976" s="10">
        <v>31128</v>
      </c>
    </row>
    <row r="977" spans="1:4">
      <c r="A977" t="s">
        <v>5</v>
      </c>
      <c r="B977" t="s">
        <v>80</v>
      </c>
      <c r="C977" s="9">
        <v>46107</v>
      </c>
      <c r="D977" s="10">
        <v>34417</v>
      </c>
    </row>
    <row r="978" spans="1:4">
      <c r="A978" t="s">
        <v>5</v>
      </c>
      <c r="B978" t="s">
        <v>210</v>
      </c>
      <c r="C978" s="9">
        <v>46107</v>
      </c>
      <c r="D978" s="10">
        <v>49252</v>
      </c>
    </row>
    <row r="979" spans="1:4">
      <c r="A979" t="s">
        <v>4</v>
      </c>
      <c r="B979" t="s">
        <v>235</v>
      </c>
      <c r="C979" s="9">
        <v>46108</v>
      </c>
      <c r="D979" s="10">
        <v>32497</v>
      </c>
    </row>
    <row r="980" spans="1:4">
      <c r="A980" t="s">
        <v>26</v>
      </c>
      <c r="B980" t="s">
        <v>291</v>
      </c>
      <c r="C980" s="9">
        <v>46108</v>
      </c>
      <c r="D980" s="10">
        <v>15392</v>
      </c>
    </row>
    <row r="981" spans="1:4">
      <c r="A981" t="s">
        <v>6</v>
      </c>
      <c r="B981" t="s">
        <v>177</v>
      </c>
      <c r="C981" s="9">
        <v>46108</v>
      </c>
      <c r="D981" s="10">
        <v>21661</v>
      </c>
    </row>
    <row r="982" spans="1:4">
      <c r="A982" t="s">
        <v>9</v>
      </c>
      <c r="B982" t="s">
        <v>134</v>
      </c>
      <c r="C982" s="9">
        <v>46108</v>
      </c>
      <c r="D982" s="10">
        <v>46083</v>
      </c>
    </row>
    <row r="983" spans="1:4">
      <c r="A983" t="s">
        <v>5</v>
      </c>
      <c r="B983" t="s">
        <v>69</v>
      </c>
      <c r="C983" s="9">
        <v>46108</v>
      </c>
      <c r="D983" s="10">
        <v>40301</v>
      </c>
    </row>
    <row r="984" spans="1:4">
      <c r="A984" t="s">
        <v>5</v>
      </c>
      <c r="B984" t="s">
        <v>102</v>
      </c>
      <c r="C984" s="9">
        <v>46108</v>
      </c>
      <c r="D984" s="10">
        <v>45141</v>
      </c>
    </row>
    <row r="985" spans="1:4">
      <c r="A985" t="s">
        <v>5</v>
      </c>
      <c r="B985" t="s">
        <v>156</v>
      </c>
      <c r="C985" s="9">
        <v>46108</v>
      </c>
      <c r="D985" s="10">
        <v>41616</v>
      </c>
    </row>
    <row r="986" spans="1:4">
      <c r="A986" t="s">
        <v>4</v>
      </c>
      <c r="B986" t="s">
        <v>157</v>
      </c>
      <c r="C986" s="9">
        <v>46109</v>
      </c>
      <c r="D986" s="10">
        <v>37585</v>
      </c>
    </row>
    <row r="987" spans="1:4">
      <c r="A987" t="s">
        <v>4</v>
      </c>
      <c r="B987" t="s">
        <v>110</v>
      </c>
      <c r="C987" s="9">
        <v>46109</v>
      </c>
      <c r="D987" s="10">
        <v>40002</v>
      </c>
    </row>
    <row r="988" spans="1:4">
      <c r="A988" t="s">
        <v>26</v>
      </c>
      <c r="B988" t="s">
        <v>143</v>
      </c>
      <c r="C988" s="9">
        <v>46109</v>
      </c>
      <c r="D988" s="10">
        <v>16800</v>
      </c>
    </row>
    <row r="989" spans="1:4">
      <c r="A989" t="s">
        <v>8</v>
      </c>
      <c r="B989" t="s">
        <v>170</v>
      </c>
      <c r="C989" s="9">
        <v>46109</v>
      </c>
      <c r="D989" s="10">
        <v>16683</v>
      </c>
    </row>
    <row r="990" spans="1:4">
      <c r="A990" t="s">
        <v>9</v>
      </c>
      <c r="B990" t="s">
        <v>137</v>
      </c>
      <c r="C990" s="9">
        <v>46109</v>
      </c>
      <c r="D990" s="10">
        <v>41455</v>
      </c>
    </row>
    <row r="991" spans="1:4">
      <c r="A991" t="s">
        <v>9</v>
      </c>
      <c r="B991" t="s">
        <v>106</v>
      </c>
      <c r="C991" s="9">
        <v>46109</v>
      </c>
      <c r="D991" s="10">
        <v>40075</v>
      </c>
    </row>
    <row r="992" spans="1:4">
      <c r="A992" t="s">
        <v>5</v>
      </c>
      <c r="B992" t="s">
        <v>139</v>
      </c>
      <c r="C992" s="9">
        <v>46109</v>
      </c>
      <c r="D992" s="10">
        <v>40085</v>
      </c>
    </row>
    <row r="993" spans="1:4">
      <c r="A993" t="s">
        <v>5</v>
      </c>
      <c r="B993" t="s">
        <v>211</v>
      </c>
      <c r="C993" s="9">
        <v>46109</v>
      </c>
      <c r="D993" s="10">
        <v>48594</v>
      </c>
    </row>
    <row r="994" spans="1:4">
      <c r="A994" t="s">
        <v>5</v>
      </c>
      <c r="B994" t="s">
        <v>124</v>
      </c>
      <c r="C994" s="9">
        <v>46109</v>
      </c>
      <c r="D994" s="10">
        <v>51311</v>
      </c>
    </row>
    <row r="995" spans="1:4">
      <c r="A995" t="s">
        <v>27</v>
      </c>
      <c r="B995" t="s">
        <v>229</v>
      </c>
      <c r="C995" s="9">
        <v>46110</v>
      </c>
      <c r="D995" s="10">
        <v>14968</v>
      </c>
    </row>
    <row r="996" spans="1:4">
      <c r="A996" t="s">
        <v>25</v>
      </c>
      <c r="B996" t="s">
        <v>73</v>
      </c>
      <c r="C996" s="9">
        <v>46110</v>
      </c>
      <c r="D996" s="10">
        <v>15367</v>
      </c>
    </row>
    <row r="997" spans="1:4">
      <c r="A997" t="s">
        <v>8</v>
      </c>
      <c r="B997" t="s">
        <v>144</v>
      </c>
      <c r="C997" s="9">
        <v>46110</v>
      </c>
      <c r="D997" s="10">
        <v>5200</v>
      </c>
    </row>
    <row r="998" spans="1:4">
      <c r="A998" t="s">
        <v>33</v>
      </c>
      <c r="B998" t="s">
        <v>253</v>
      </c>
      <c r="C998" s="9">
        <v>46110</v>
      </c>
      <c r="D998" s="10">
        <v>13996</v>
      </c>
    </row>
    <row r="999" spans="1:4">
      <c r="A999" t="s">
        <v>7</v>
      </c>
      <c r="B999" t="s">
        <v>99</v>
      </c>
      <c r="C999" s="9">
        <v>46110</v>
      </c>
      <c r="D999" s="10">
        <v>18913</v>
      </c>
    </row>
    <row r="1000" spans="1:4">
      <c r="A1000" t="s">
        <v>9</v>
      </c>
      <c r="B1000" t="s">
        <v>100</v>
      </c>
      <c r="C1000" s="9">
        <v>46110</v>
      </c>
      <c r="D1000" s="10">
        <v>43277</v>
      </c>
    </row>
    <row r="1001" spans="1:4">
      <c r="A1001" t="s">
        <v>5</v>
      </c>
      <c r="B1001" t="s">
        <v>62</v>
      </c>
      <c r="C1001" s="9">
        <v>46110</v>
      </c>
      <c r="D1001" s="10">
        <v>40146</v>
      </c>
    </row>
    <row r="1002" spans="1:4">
      <c r="A1002" t="s">
        <v>5</v>
      </c>
      <c r="B1002" t="s">
        <v>122</v>
      </c>
      <c r="C1002" s="9">
        <v>46110</v>
      </c>
      <c r="D1002" s="10">
        <v>47680</v>
      </c>
    </row>
    <row r="1003" spans="1:4">
      <c r="A1003" t="s">
        <v>5</v>
      </c>
      <c r="B1003" t="s">
        <v>81</v>
      </c>
      <c r="C1003" s="9">
        <v>46110</v>
      </c>
      <c r="D1003" s="10">
        <v>40720</v>
      </c>
    </row>
    <row r="1004" spans="1:4">
      <c r="A1004" t="s">
        <v>5</v>
      </c>
      <c r="B1004" t="s">
        <v>155</v>
      </c>
      <c r="C1004" s="9">
        <v>46110</v>
      </c>
      <c r="D1004" s="10">
        <v>60841</v>
      </c>
    </row>
    <row r="1005" spans="1:4">
      <c r="A1005" t="s">
        <v>5</v>
      </c>
      <c r="B1005" t="s">
        <v>203</v>
      </c>
      <c r="C1005" s="9">
        <v>46110</v>
      </c>
      <c r="D1005" s="10">
        <v>45660</v>
      </c>
    </row>
    <row r="1006" spans="1:4">
      <c r="A1006" t="s">
        <v>4</v>
      </c>
      <c r="B1006" t="s">
        <v>204</v>
      </c>
      <c r="C1006" s="9">
        <v>46111</v>
      </c>
      <c r="D1006" s="10">
        <v>37676</v>
      </c>
    </row>
    <row r="1007" spans="1:4">
      <c r="A1007" t="s">
        <v>31</v>
      </c>
      <c r="B1007" t="s">
        <v>63</v>
      </c>
      <c r="C1007" s="9">
        <v>46111</v>
      </c>
      <c r="D1007" s="10">
        <v>12693</v>
      </c>
    </row>
    <row r="1008" spans="1:4">
      <c r="A1008" t="s">
        <v>28</v>
      </c>
      <c r="B1008" t="s">
        <v>64</v>
      </c>
      <c r="C1008" s="9">
        <v>46111</v>
      </c>
      <c r="D1008" s="10">
        <v>12989</v>
      </c>
    </row>
    <row r="1009" spans="1:4">
      <c r="A1009" t="s">
        <v>6</v>
      </c>
      <c r="B1009" t="s">
        <v>163</v>
      </c>
      <c r="C1009" s="9">
        <v>46111</v>
      </c>
      <c r="D1009" s="10">
        <v>6383</v>
      </c>
    </row>
    <row r="1010" spans="1:4">
      <c r="A1010" t="s">
        <v>29</v>
      </c>
      <c r="B1010" t="s">
        <v>133</v>
      </c>
      <c r="C1010" s="9">
        <v>46111</v>
      </c>
      <c r="D1010" s="10">
        <v>12262</v>
      </c>
    </row>
    <row r="1011" spans="1:4">
      <c r="A1011" t="s">
        <v>9</v>
      </c>
      <c r="B1011" t="s">
        <v>146</v>
      </c>
      <c r="C1011" s="9">
        <v>46111</v>
      </c>
      <c r="D1011" s="10">
        <v>39853</v>
      </c>
    </row>
    <row r="1012" spans="1:4">
      <c r="A1012" t="s">
        <v>9</v>
      </c>
      <c r="B1012" t="s">
        <v>79</v>
      </c>
      <c r="C1012" s="9">
        <v>46111</v>
      </c>
      <c r="D1012" s="10">
        <v>32784</v>
      </c>
    </row>
    <row r="1013" spans="1:4">
      <c r="A1013" t="s">
        <v>9</v>
      </c>
      <c r="B1013" t="s">
        <v>185</v>
      </c>
      <c r="C1013" s="9">
        <v>46111</v>
      </c>
      <c r="D1013" s="10">
        <v>44658</v>
      </c>
    </row>
    <row r="1014" spans="1:4">
      <c r="A1014" t="s">
        <v>5</v>
      </c>
      <c r="B1014" t="s">
        <v>187</v>
      </c>
      <c r="C1014" s="9">
        <v>46111</v>
      </c>
      <c r="D1014" s="10">
        <v>36702</v>
      </c>
    </row>
    <row r="1015" spans="1:4">
      <c r="A1015" t="s">
        <v>5</v>
      </c>
      <c r="B1015" t="s">
        <v>188</v>
      </c>
      <c r="C1015" s="9">
        <v>46111</v>
      </c>
      <c r="D1015" s="10">
        <v>40349</v>
      </c>
    </row>
    <row r="1016" spans="1:4">
      <c r="A1016" t="s">
        <v>5</v>
      </c>
      <c r="B1016" t="s">
        <v>148</v>
      </c>
      <c r="C1016" s="9">
        <v>46111</v>
      </c>
      <c r="D1016" s="10">
        <v>38488</v>
      </c>
    </row>
    <row r="1017" spans="1:4">
      <c r="A1017" t="s">
        <v>5</v>
      </c>
      <c r="B1017" t="s">
        <v>168</v>
      </c>
      <c r="C1017" s="9">
        <v>46111</v>
      </c>
      <c r="D1017" s="10">
        <v>30721</v>
      </c>
    </row>
    <row r="1018" spans="1:4">
      <c r="A1018" t="s">
        <v>5</v>
      </c>
      <c r="B1018" t="s">
        <v>150</v>
      </c>
      <c r="C1018" s="9">
        <v>46111</v>
      </c>
      <c r="D1018" s="10">
        <v>42193</v>
      </c>
    </row>
    <row r="1019" spans="1:4">
      <c r="A1019" t="s">
        <v>5</v>
      </c>
      <c r="B1019" t="s">
        <v>203</v>
      </c>
      <c r="C1019" s="9">
        <v>46111</v>
      </c>
      <c r="D1019" s="10">
        <v>37062</v>
      </c>
    </row>
    <row r="1020" spans="1:4">
      <c r="A1020" t="s">
        <v>5</v>
      </c>
      <c r="B1020" t="s">
        <v>103</v>
      </c>
      <c r="C1020" s="9">
        <v>46111</v>
      </c>
      <c r="D1020" s="10">
        <v>41475</v>
      </c>
    </row>
    <row r="1021" spans="1:4">
      <c r="A1021" t="s">
        <v>4</v>
      </c>
      <c r="B1021" t="s">
        <v>89</v>
      </c>
      <c r="C1021" s="9">
        <v>46112</v>
      </c>
      <c r="D1021" s="10">
        <v>23799</v>
      </c>
    </row>
    <row r="1022" spans="1:4">
      <c r="A1022" t="s">
        <v>4</v>
      </c>
      <c r="B1022" t="s">
        <v>230</v>
      </c>
      <c r="C1022" s="9">
        <v>46112</v>
      </c>
      <c r="D1022" s="10">
        <v>36862</v>
      </c>
    </row>
    <row r="1023" spans="1:4">
      <c r="A1023" t="s">
        <v>26</v>
      </c>
      <c r="B1023" t="s">
        <v>265</v>
      </c>
      <c r="C1023" s="9">
        <v>46112</v>
      </c>
      <c r="D1023" s="10">
        <v>12105</v>
      </c>
    </row>
    <row r="1024" spans="1:4">
      <c r="A1024" t="s">
        <v>6</v>
      </c>
      <c r="B1024" t="s">
        <v>200</v>
      </c>
      <c r="C1024" s="9">
        <v>46112</v>
      </c>
      <c r="D1024" s="10">
        <v>39686</v>
      </c>
    </row>
    <row r="1025" spans="1:4">
      <c r="A1025" t="s">
        <v>7</v>
      </c>
      <c r="B1025" t="s">
        <v>247</v>
      </c>
      <c r="C1025" s="9">
        <v>46112</v>
      </c>
      <c r="D1025" s="10">
        <v>35319</v>
      </c>
    </row>
    <row r="1026" spans="1:4">
      <c r="A1026" t="s">
        <v>7</v>
      </c>
      <c r="B1026" t="s">
        <v>215</v>
      </c>
      <c r="C1026" s="9">
        <v>46112</v>
      </c>
      <c r="D1026" s="10">
        <v>19863</v>
      </c>
    </row>
    <row r="1027" spans="1:4">
      <c r="A1027" t="s">
        <v>9</v>
      </c>
      <c r="B1027" t="s">
        <v>179</v>
      </c>
      <c r="C1027" s="9">
        <v>46112</v>
      </c>
      <c r="D1027" s="10">
        <v>54089</v>
      </c>
    </row>
    <row r="1028" spans="1:4">
      <c r="A1028" t="s">
        <v>9</v>
      </c>
      <c r="B1028" t="s">
        <v>68</v>
      </c>
      <c r="C1028" s="9">
        <v>46112</v>
      </c>
      <c r="D1028" s="10">
        <v>35577</v>
      </c>
    </row>
    <row r="1029" spans="1:4">
      <c r="A1029" t="s">
        <v>9</v>
      </c>
      <c r="B1029" t="s">
        <v>292</v>
      </c>
      <c r="C1029" s="9">
        <v>46112</v>
      </c>
      <c r="D1029" s="10">
        <v>24515</v>
      </c>
    </row>
    <row r="1030" spans="1:4">
      <c r="A1030" t="s">
        <v>5</v>
      </c>
      <c r="B1030" t="s">
        <v>149</v>
      </c>
      <c r="C1030" s="9">
        <v>46112</v>
      </c>
      <c r="D1030" s="10">
        <v>60608</v>
      </c>
    </row>
    <row r="1031" spans="1:4">
      <c r="A1031" t="s">
        <v>5</v>
      </c>
      <c r="B1031" t="s">
        <v>211</v>
      </c>
      <c r="C1031" s="9">
        <v>46112</v>
      </c>
      <c r="D1031" s="10">
        <v>44950</v>
      </c>
    </row>
    <row r="1032" spans="1:4">
      <c r="A1032" t="s">
        <v>5</v>
      </c>
      <c r="B1032" t="s">
        <v>159</v>
      </c>
      <c r="C1032" s="9">
        <v>46112</v>
      </c>
      <c r="D1032" s="10">
        <v>42338</v>
      </c>
    </row>
    <row r="1033" spans="1:4">
      <c r="A1033" t="s">
        <v>5</v>
      </c>
      <c r="B1033" t="s">
        <v>159</v>
      </c>
      <c r="C1033" s="9">
        <v>46112</v>
      </c>
      <c r="D1033" s="10">
        <v>34402</v>
      </c>
    </row>
    <row r="1034" spans="1:4">
      <c r="A1034" t="s">
        <v>5</v>
      </c>
      <c r="B1034" t="s">
        <v>127</v>
      </c>
      <c r="C1034" s="9">
        <v>46112</v>
      </c>
      <c r="D1034" s="10">
        <v>40150</v>
      </c>
    </row>
    <row r="1035" spans="1:4">
      <c r="A1035" t="s">
        <v>4</v>
      </c>
      <c r="B1035" t="s">
        <v>116</v>
      </c>
      <c r="C1035" s="9">
        <v>46113</v>
      </c>
      <c r="D1035" s="10">
        <v>32462</v>
      </c>
    </row>
    <row r="1036" spans="1:4">
      <c r="A1036" t="s">
        <v>25</v>
      </c>
      <c r="B1036" t="s">
        <v>144</v>
      </c>
      <c r="C1036" s="9">
        <v>46113</v>
      </c>
      <c r="D1036" s="10">
        <v>14083</v>
      </c>
    </row>
    <row r="1037" spans="1:4">
      <c r="A1037" t="s">
        <v>28</v>
      </c>
      <c r="B1037" t="s">
        <v>64</v>
      </c>
      <c r="C1037" s="9">
        <v>46113</v>
      </c>
      <c r="D1037" s="10">
        <v>12607</v>
      </c>
    </row>
    <row r="1038" spans="1:4">
      <c r="A1038" t="s">
        <v>28</v>
      </c>
      <c r="B1038" t="s">
        <v>190</v>
      </c>
      <c r="C1038" s="9">
        <v>46113</v>
      </c>
      <c r="D1038" s="10">
        <v>14164</v>
      </c>
    </row>
    <row r="1039" spans="1:4">
      <c r="A1039" t="s">
        <v>28</v>
      </c>
      <c r="B1039" t="s">
        <v>183</v>
      </c>
      <c r="C1039" s="9">
        <v>46113</v>
      </c>
      <c r="D1039" s="10">
        <v>12469</v>
      </c>
    </row>
    <row r="1040" spans="1:4">
      <c r="A1040" t="s">
        <v>28</v>
      </c>
      <c r="B1040" t="s">
        <v>270</v>
      </c>
      <c r="C1040" s="9">
        <v>46113</v>
      </c>
      <c r="D1040" s="10">
        <v>10602</v>
      </c>
    </row>
    <row r="1041" spans="1:4">
      <c r="A1041" t="s">
        <v>7</v>
      </c>
      <c r="B1041" t="s">
        <v>239</v>
      </c>
      <c r="C1041" s="9">
        <v>46113</v>
      </c>
      <c r="D1041" s="10">
        <v>28835</v>
      </c>
    </row>
    <row r="1042" spans="1:4">
      <c r="A1042" t="s">
        <v>7</v>
      </c>
      <c r="B1042" t="s">
        <v>106</v>
      </c>
      <c r="C1042" s="9">
        <v>46113</v>
      </c>
      <c r="D1042" s="10">
        <v>31928</v>
      </c>
    </row>
    <row r="1043" spans="1:4">
      <c r="A1043" t="s">
        <v>9</v>
      </c>
      <c r="B1043" t="s">
        <v>258</v>
      </c>
      <c r="C1043" s="9">
        <v>46113</v>
      </c>
      <c r="D1043" s="10">
        <v>43369</v>
      </c>
    </row>
    <row r="1044" spans="1:4">
      <c r="A1044" t="s">
        <v>5</v>
      </c>
      <c r="B1044" t="s">
        <v>149</v>
      </c>
      <c r="C1044" s="9">
        <v>46113</v>
      </c>
      <c r="D1044" s="10">
        <v>41090</v>
      </c>
    </row>
    <row r="1045" spans="1:4">
      <c r="A1045" t="s">
        <v>5</v>
      </c>
      <c r="B1045" t="s">
        <v>81</v>
      </c>
      <c r="C1045" s="9">
        <v>46113</v>
      </c>
      <c r="D1045" s="10">
        <v>32858</v>
      </c>
    </row>
    <row r="1046" spans="1:4">
      <c r="A1046" t="s">
        <v>5</v>
      </c>
      <c r="B1046" t="s">
        <v>86</v>
      </c>
      <c r="C1046" s="9">
        <v>46113</v>
      </c>
      <c r="D1046" s="10">
        <v>30412</v>
      </c>
    </row>
    <row r="1047" spans="1:4">
      <c r="A1047" t="s">
        <v>5</v>
      </c>
      <c r="B1047" t="s">
        <v>88</v>
      </c>
      <c r="C1047" s="9">
        <v>46113</v>
      </c>
      <c r="D1047" s="10">
        <v>47675</v>
      </c>
    </row>
    <row r="1048" spans="1:4">
      <c r="A1048" t="s">
        <v>27</v>
      </c>
      <c r="B1048" t="s">
        <v>182</v>
      </c>
      <c r="C1048" s="9">
        <v>46114</v>
      </c>
      <c r="D1048" s="10">
        <v>27838</v>
      </c>
    </row>
    <row r="1049" spans="1:4">
      <c r="A1049" t="s">
        <v>4</v>
      </c>
      <c r="B1049" t="s">
        <v>157</v>
      </c>
      <c r="C1049" s="9">
        <v>46114</v>
      </c>
      <c r="D1049" s="10">
        <v>32676</v>
      </c>
    </row>
    <row r="1050" spans="1:4">
      <c r="A1050" t="s">
        <v>4</v>
      </c>
      <c r="B1050" t="s">
        <v>110</v>
      </c>
      <c r="C1050" s="9">
        <v>46114</v>
      </c>
      <c r="D1050" s="10">
        <v>48689</v>
      </c>
    </row>
    <row r="1051" spans="1:4">
      <c r="A1051" t="s">
        <v>26</v>
      </c>
      <c r="B1051" t="s">
        <v>218</v>
      </c>
      <c r="C1051" s="9">
        <v>46114</v>
      </c>
      <c r="D1051" s="10">
        <v>29440</v>
      </c>
    </row>
    <row r="1052" spans="1:4">
      <c r="A1052" t="s">
        <v>8</v>
      </c>
      <c r="B1052" t="s">
        <v>119</v>
      </c>
      <c r="C1052" s="9">
        <v>46114</v>
      </c>
      <c r="D1052" s="10">
        <v>22277</v>
      </c>
    </row>
    <row r="1053" spans="1:4">
      <c r="A1053" t="s">
        <v>6</v>
      </c>
      <c r="B1053" t="s">
        <v>207</v>
      </c>
      <c r="C1053" s="9">
        <v>46114</v>
      </c>
      <c r="D1053" s="10">
        <v>19260</v>
      </c>
    </row>
    <row r="1054" spans="1:4">
      <c r="A1054" t="s">
        <v>6</v>
      </c>
      <c r="B1054" t="s">
        <v>177</v>
      </c>
      <c r="C1054" s="9">
        <v>46114</v>
      </c>
      <c r="D1054" s="10">
        <v>20076</v>
      </c>
    </row>
    <row r="1055" spans="1:4">
      <c r="A1055" t="s">
        <v>7</v>
      </c>
      <c r="B1055" t="s">
        <v>222</v>
      </c>
      <c r="C1055" s="9">
        <v>46114</v>
      </c>
      <c r="D1055" s="10">
        <v>22349</v>
      </c>
    </row>
    <row r="1056" spans="1:4">
      <c r="A1056" t="s">
        <v>9</v>
      </c>
      <c r="B1056" t="s">
        <v>223</v>
      </c>
      <c r="C1056" s="9">
        <v>46114</v>
      </c>
      <c r="D1056" s="10">
        <v>26850</v>
      </c>
    </row>
    <row r="1057" spans="1:4">
      <c r="A1057" t="s">
        <v>5</v>
      </c>
      <c r="B1057" t="s">
        <v>62</v>
      </c>
      <c r="C1057" s="9">
        <v>46114</v>
      </c>
      <c r="D1057" s="10">
        <v>44095</v>
      </c>
    </row>
    <row r="1058" spans="1:4">
      <c r="A1058" t="s">
        <v>5</v>
      </c>
      <c r="B1058" t="s">
        <v>69</v>
      </c>
      <c r="C1058" s="9">
        <v>46114</v>
      </c>
      <c r="D1058" s="10">
        <v>43366</v>
      </c>
    </row>
    <row r="1059" spans="1:4">
      <c r="A1059" t="s">
        <v>5</v>
      </c>
      <c r="B1059" t="s">
        <v>102</v>
      </c>
      <c r="C1059" s="9">
        <v>46114</v>
      </c>
      <c r="D1059" s="10">
        <v>45298</v>
      </c>
    </row>
    <row r="1060" spans="1:4">
      <c r="A1060" t="s">
        <v>5</v>
      </c>
      <c r="B1060" t="s">
        <v>86</v>
      </c>
      <c r="C1060" s="9">
        <v>46114</v>
      </c>
      <c r="D1060" s="10">
        <v>34361</v>
      </c>
    </row>
    <row r="1061" spans="1:4">
      <c r="A1061" t="s">
        <v>5</v>
      </c>
      <c r="B1061" t="s">
        <v>189</v>
      </c>
      <c r="C1061" s="9">
        <v>46114</v>
      </c>
      <c r="D1061" s="10">
        <v>34786</v>
      </c>
    </row>
    <row r="1062" spans="1:4">
      <c r="A1062" t="s">
        <v>5</v>
      </c>
      <c r="B1062" t="s">
        <v>155</v>
      </c>
      <c r="C1062" s="9">
        <v>46114</v>
      </c>
      <c r="D1062" s="10">
        <v>44278</v>
      </c>
    </row>
    <row r="1063" spans="1:4">
      <c r="A1063" t="s">
        <v>5</v>
      </c>
      <c r="B1063" t="s">
        <v>87</v>
      </c>
      <c r="C1063" s="9">
        <v>46114</v>
      </c>
      <c r="D1063" s="10">
        <v>41151</v>
      </c>
    </row>
    <row r="1064" spans="1:4">
      <c r="A1064" t="s">
        <v>5</v>
      </c>
      <c r="B1064" t="s">
        <v>104</v>
      </c>
      <c r="C1064" s="9">
        <v>46114</v>
      </c>
      <c r="D1064" s="10">
        <v>41051</v>
      </c>
    </row>
    <row r="1065" spans="1:4">
      <c r="A1065" t="s">
        <v>4</v>
      </c>
      <c r="B1065" t="s">
        <v>158</v>
      </c>
      <c r="C1065" s="9">
        <v>46115</v>
      </c>
      <c r="D1065" s="10">
        <v>29377</v>
      </c>
    </row>
    <row r="1066" spans="1:4">
      <c r="A1066" t="s">
        <v>34</v>
      </c>
      <c r="B1066" t="s">
        <v>126</v>
      </c>
      <c r="C1066" s="9">
        <v>46115</v>
      </c>
      <c r="D1066" s="10">
        <v>8588</v>
      </c>
    </row>
    <row r="1067" spans="1:4">
      <c r="A1067" t="s">
        <v>6</v>
      </c>
      <c r="B1067" t="s">
        <v>199</v>
      </c>
      <c r="C1067" s="9">
        <v>46115</v>
      </c>
      <c r="D1067" s="10">
        <v>6121</v>
      </c>
    </row>
    <row r="1068" spans="1:4">
      <c r="A1068" t="s">
        <v>7</v>
      </c>
      <c r="B1068" t="s">
        <v>77</v>
      </c>
      <c r="C1068" s="9">
        <v>46115</v>
      </c>
      <c r="D1068" s="10">
        <v>9187</v>
      </c>
    </row>
    <row r="1069" spans="1:4">
      <c r="A1069" t="s">
        <v>9</v>
      </c>
      <c r="B1069" t="s">
        <v>258</v>
      </c>
      <c r="C1069" s="9">
        <v>46115</v>
      </c>
      <c r="D1069" s="10">
        <v>29615</v>
      </c>
    </row>
    <row r="1070" spans="1:4">
      <c r="A1070" t="s">
        <v>9</v>
      </c>
      <c r="B1070" t="s">
        <v>138</v>
      </c>
      <c r="C1070" s="9">
        <v>46115</v>
      </c>
      <c r="D1070" s="10">
        <v>25740</v>
      </c>
    </row>
    <row r="1071" spans="1:4">
      <c r="A1071" t="s">
        <v>5</v>
      </c>
      <c r="B1071" t="s">
        <v>114</v>
      </c>
      <c r="C1071" s="9">
        <v>46115</v>
      </c>
      <c r="D1071" s="10">
        <v>32905</v>
      </c>
    </row>
    <row r="1072" spans="1:4">
      <c r="A1072" t="s">
        <v>5</v>
      </c>
      <c r="B1072" t="s">
        <v>62</v>
      </c>
      <c r="C1072" s="9">
        <v>46115</v>
      </c>
      <c r="D1072" s="10">
        <v>47381</v>
      </c>
    </row>
    <row r="1073" spans="1:4">
      <c r="A1073" t="s">
        <v>5</v>
      </c>
      <c r="B1073" t="s">
        <v>62</v>
      </c>
      <c r="C1073" s="9">
        <v>46115</v>
      </c>
      <c r="D1073" s="10">
        <v>42352</v>
      </c>
    </row>
    <row r="1074" spans="1:4">
      <c r="A1074" t="s">
        <v>5</v>
      </c>
      <c r="B1074" t="s">
        <v>148</v>
      </c>
      <c r="C1074" s="9">
        <v>46115</v>
      </c>
      <c r="D1074" s="10">
        <v>42005</v>
      </c>
    </row>
    <row r="1075" spans="1:4">
      <c r="A1075" t="s">
        <v>5</v>
      </c>
      <c r="B1075" t="s">
        <v>102</v>
      </c>
      <c r="C1075" s="9">
        <v>46115</v>
      </c>
      <c r="D1075" s="10">
        <v>39622</v>
      </c>
    </row>
    <row r="1076" spans="1:4">
      <c r="A1076" t="s">
        <v>5</v>
      </c>
      <c r="B1076" t="s">
        <v>168</v>
      </c>
      <c r="C1076" s="9">
        <v>46115</v>
      </c>
      <c r="D1076" s="10">
        <v>34498</v>
      </c>
    </row>
    <row r="1077" spans="1:4">
      <c r="A1077" t="s">
        <v>5</v>
      </c>
      <c r="B1077" t="s">
        <v>276</v>
      </c>
      <c r="C1077" s="9">
        <v>46115</v>
      </c>
      <c r="D1077" s="10">
        <v>20200</v>
      </c>
    </row>
    <row r="1078" spans="1:4">
      <c r="A1078" t="s">
        <v>5</v>
      </c>
      <c r="B1078" t="s">
        <v>155</v>
      </c>
      <c r="C1078" s="9">
        <v>46115</v>
      </c>
      <c r="D1078" s="10">
        <v>44709</v>
      </c>
    </row>
    <row r="1079" spans="1:4">
      <c r="A1079" t="s">
        <v>5</v>
      </c>
      <c r="B1079" t="s">
        <v>127</v>
      </c>
      <c r="C1079" s="9">
        <v>46115</v>
      </c>
      <c r="D1079" s="10">
        <v>37509</v>
      </c>
    </row>
    <row r="1080" spans="1:4">
      <c r="A1080" t="s">
        <v>4</v>
      </c>
      <c r="B1080" t="s">
        <v>175</v>
      </c>
      <c r="C1080" s="9">
        <v>46116</v>
      </c>
      <c r="D1080" s="10">
        <v>31584</v>
      </c>
    </row>
    <row r="1081" spans="1:4">
      <c r="A1081" t="s">
        <v>4</v>
      </c>
      <c r="B1081" t="s">
        <v>214</v>
      </c>
      <c r="C1081" s="9">
        <v>46116</v>
      </c>
      <c r="D1081" s="10">
        <v>29370</v>
      </c>
    </row>
    <row r="1082" spans="1:4">
      <c r="A1082" t="s">
        <v>6</v>
      </c>
      <c r="B1082" t="s">
        <v>261</v>
      </c>
      <c r="C1082" s="9">
        <v>46116</v>
      </c>
      <c r="D1082" s="10">
        <v>25563</v>
      </c>
    </row>
    <row r="1083" spans="1:4">
      <c r="A1083" t="s">
        <v>6</v>
      </c>
      <c r="B1083" t="s">
        <v>200</v>
      </c>
      <c r="C1083" s="9">
        <v>46116</v>
      </c>
      <c r="D1083" s="10">
        <v>7987</v>
      </c>
    </row>
    <row r="1084" spans="1:4">
      <c r="A1084" t="s">
        <v>6</v>
      </c>
      <c r="B1084" t="s">
        <v>215</v>
      </c>
      <c r="C1084" s="9">
        <v>46116</v>
      </c>
      <c r="D1084" s="10">
        <v>19695</v>
      </c>
    </row>
    <row r="1085" spans="1:4">
      <c r="A1085" t="s">
        <v>9</v>
      </c>
      <c r="B1085" t="s">
        <v>240</v>
      </c>
      <c r="C1085" s="9">
        <v>46116</v>
      </c>
      <c r="D1085" s="10">
        <v>37702</v>
      </c>
    </row>
    <row r="1086" spans="1:4">
      <c r="A1086" t="s">
        <v>5</v>
      </c>
      <c r="B1086" t="s">
        <v>139</v>
      </c>
      <c r="C1086" s="9">
        <v>46116</v>
      </c>
      <c r="D1086" s="10">
        <v>31018</v>
      </c>
    </row>
    <row r="1087" spans="1:4">
      <c r="A1087" t="s">
        <v>5</v>
      </c>
      <c r="B1087" t="s">
        <v>102</v>
      </c>
      <c r="C1087" s="9">
        <v>46116</v>
      </c>
      <c r="D1087" s="10">
        <v>37084</v>
      </c>
    </row>
    <row r="1088" spans="1:4">
      <c r="A1088" t="s">
        <v>4</v>
      </c>
      <c r="B1088" t="s">
        <v>252</v>
      </c>
      <c r="C1088" s="9">
        <v>46117</v>
      </c>
      <c r="D1088" s="10">
        <v>51473</v>
      </c>
    </row>
    <row r="1089" spans="1:4">
      <c r="A1089" t="s">
        <v>31</v>
      </c>
      <c r="B1089" t="s">
        <v>63</v>
      </c>
      <c r="C1089" s="9">
        <v>46117</v>
      </c>
      <c r="D1089" s="10">
        <v>9694</v>
      </c>
    </row>
    <row r="1090" spans="1:4">
      <c r="A1090" t="s">
        <v>25</v>
      </c>
      <c r="B1090" t="s">
        <v>232</v>
      </c>
      <c r="C1090" s="9">
        <v>46117</v>
      </c>
      <c r="D1090" s="10">
        <v>5200</v>
      </c>
    </row>
    <row r="1091" spans="1:4">
      <c r="A1091" t="s">
        <v>26</v>
      </c>
      <c r="B1091" t="s">
        <v>91</v>
      </c>
      <c r="C1091" s="9">
        <v>46117</v>
      </c>
      <c r="D1091" s="10">
        <v>13115</v>
      </c>
    </row>
    <row r="1092" spans="1:4">
      <c r="A1092" t="s">
        <v>30</v>
      </c>
      <c r="B1092" t="s">
        <v>60</v>
      </c>
      <c r="C1092" s="9">
        <v>46117</v>
      </c>
      <c r="D1092" s="10">
        <v>21530</v>
      </c>
    </row>
    <row r="1093" spans="1:4">
      <c r="A1093" t="s">
        <v>8</v>
      </c>
      <c r="B1093" t="s">
        <v>125</v>
      </c>
      <c r="C1093" s="9">
        <v>46117</v>
      </c>
      <c r="D1093" s="10">
        <v>22431</v>
      </c>
    </row>
    <row r="1094" spans="1:4">
      <c r="A1094" t="s">
        <v>6</v>
      </c>
      <c r="B1094" t="s">
        <v>272</v>
      </c>
      <c r="C1094" s="9">
        <v>46117</v>
      </c>
      <c r="D1094" s="10">
        <v>17931</v>
      </c>
    </row>
    <row r="1095" spans="1:4">
      <c r="A1095" t="s">
        <v>9</v>
      </c>
      <c r="B1095" t="s">
        <v>202</v>
      </c>
      <c r="C1095" s="9">
        <v>46117</v>
      </c>
      <c r="D1095" s="10">
        <v>38832</v>
      </c>
    </row>
    <row r="1096" spans="1:4">
      <c r="A1096" t="s">
        <v>5</v>
      </c>
      <c r="B1096" t="s">
        <v>59</v>
      </c>
      <c r="C1096" s="9">
        <v>46117</v>
      </c>
      <c r="D1096" s="10">
        <v>33898</v>
      </c>
    </row>
    <row r="1097" spans="1:4">
      <c r="A1097" t="s">
        <v>5</v>
      </c>
      <c r="B1097" t="s">
        <v>72</v>
      </c>
      <c r="C1097" s="9">
        <v>46117</v>
      </c>
      <c r="D1097" s="10">
        <v>52227</v>
      </c>
    </row>
    <row r="1098" spans="1:4">
      <c r="A1098" t="s">
        <v>5</v>
      </c>
      <c r="B1098" t="s">
        <v>188</v>
      </c>
      <c r="C1098" s="9">
        <v>46117</v>
      </c>
      <c r="D1098" s="10">
        <v>31416</v>
      </c>
    </row>
    <row r="1099" spans="1:4">
      <c r="A1099" t="s">
        <v>5</v>
      </c>
      <c r="B1099" t="s">
        <v>86</v>
      </c>
      <c r="C1099" s="9">
        <v>46117</v>
      </c>
      <c r="D1099" s="10">
        <v>30499</v>
      </c>
    </row>
    <row r="1100" spans="1:4">
      <c r="A1100" t="s">
        <v>25</v>
      </c>
      <c r="B1100" t="s">
        <v>264</v>
      </c>
      <c r="C1100" s="9">
        <v>46118</v>
      </c>
      <c r="D1100" s="10">
        <v>12109</v>
      </c>
    </row>
    <row r="1101" spans="1:4">
      <c r="A1101" t="s">
        <v>26</v>
      </c>
      <c r="B1101" t="s">
        <v>197</v>
      </c>
      <c r="C1101" s="9">
        <v>46118</v>
      </c>
      <c r="D1101" s="10">
        <v>14093</v>
      </c>
    </row>
    <row r="1102" spans="1:4">
      <c r="A1102" t="s">
        <v>32</v>
      </c>
      <c r="B1102" t="s">
        <v>118</v>
      </c>
      <c r="C1102" s="9">
        <v>46118</v>
      </c>
      <c r="D1102" s="10">
        <v>24980</v>
      </c>
    </row>
    <row r="1103" spans="1:4">
      <c r="A1103" t="s">
        <v>6</v>
      </c>
      <c r="B1103" t="s">
        <v>287</v>
      </c>
      <c r="C1103" s="9">
        <v>46118</v>
      </c>
      <c r="D1103" s="10">
        <v>19381</v>
      </c>
    </row>
    <row r="1104" spans="1:4">
      <c r="A1104" t="s">
        <v>29</v>
      </c>
      <c r="B1104" t="s">
        <v>135</v>
      </c>
      <c r="C1104" s="9">
        <v>46118</v>
      </c>
      <c r="D1104" s="10">
        <v>5360</v>
      </c>
    </row>
    <row r="1105" spans="1:4">
      <c r="A1105" t="s">
        <v>9</v>
      </c>
      <c r="B1105" t="s">
        <v>192</v>
      </c>
      <c r="C1105" s="9">
        <v>46118</v>
      </c>
      <c r="D1105" s="10">
        <v>21826</v>
      </c>
    </row>
    <row r="1106" spans="1:4">
      <c r="A1106" t="s">
        <v>9</v>
      </c>
      <c r="B1106" t="s">
        <v>67</v>
      </c>
      <c r="C1106" s="9">
        <v>46118</v>
      </c>
      <c r="D1106" s="10">
        <v>20121</v>
      </c>
    </row>
    <row r="1107" spans="1:4">
      <c r="A1107" t="s">
        <v>5</v>
      </c>
      <c r="B1107" t="s">
        <v>187</v>
      </c>
      <c r="C1107" s="9">
        <v>46118</v>
      </c>
      <c r="D1107" s="10">
        <v>30905</v>
      </c>
    </row>
    <row r="1108" spans="1:4">
      <c r="A1108" t="s">
        <v>5</v>
      </c>
      <c r="B1108" t="s">
        <v>188</v>
      </c>
      <c r="C1108" s="9">
        <v>46118</v>
      </c>
      <c r="D1108" s="10">
        <v>39750</v>
      </c>
    </row>
    <row r="1109" spans="1:4">
      <c r="A1109" t="s">
        <v>5</v>
      </c>
      <c r="B1109" t="s">
        <v>149</v>
      </c>
      <c r="C1109" s="9">
        <v>46118</v>
      </c>
      <c r="D1109" s="10">
        <v>50426</v>
      </c>
    </row>
    <row r="1110" spans="1:4">
      <c r="A1110" t="s">
        <v>5</v>
      </c>
      <c r="B1110" t="s">
        <v>81</v>
      </c>
      <c r="C1110" s="9">
        <v>46118</v>
      </c>
      <c r="D1110" s="10">
        <v>31293</v>
      </c>
    </row>
    <row r="1111" spans="1:4">
      <c r="A1111" t="s">
        <v>5</v>
      </c>
      <c r="B1111" t="s">
        <v>128</v>
      </c>
      <c r="C1111" s="9">
        <v>46118</v>
      </c>
      <c r="D1111" s="10">
        <v>30522</v>
      </c>
    </row>
    <row r="1112" spans="1:4">
      <c r="A1112" t="s">
        <v>4</v>
      </c>
      <c r="B1112" t="s">
        <v>263</v>
      </c>
      <c r="C1112" s="9">
        <v>46119</v>
      </c>
      <c r="D1112" s="10">
        <v>32025</v>
      </c>
    </row>
    <row r="1113" spans="1:4">
      <c r="A1113" t="s">
        <v>33</v>
      </c>
      <c r="B1113" t="s">
        <v>253</v>
      </c>
      <c r="C1113" s="9">
        <v>46119</v>
      </c>
      <c r="D1113" s="10">
        <v>14269</v>
      </c>
    </row>
    <row r="1114" spans="1:4">
      <c r="A1114" t="s">
        <v>7</v>
      </c>
      <c r="B1114" t="s">
        <v>96</v>
      </c>
      <c r="C1114" s="9">
        <v>46119</v>
      </c>
      <c r="D1114" s="10">
        <v>23544</v>
      </c>
    </row>
    <row r="1115" spans="1:4">
      <c r="A1115" t="s">
        <v>9</v>
      </c>
      <c r="B1115" t="s">
        <v>113</v>
      </c>
      <c r="C1115" s="9">
        <v>46119</v>
      </c>
      <c r="D1115" s="10">
        <v>45616</v>
      </c>
    </row>
    <row r="1116" spans="1:4">
      <c r="A1116" t="s">
        <v>9</v>
      </c>
      <c r="B1116" t="s">
        <v>101</v>
      </c>
      <c r="C1116" s="9">
        <v>46119</v>
      </c>
      <c r="D1116" s="10">
        <v>31389</v>
      </c>
    </row>
    <row r="1117" spans="1:4">
      <c r="A1117" t="s">
        <v>5</v>
      </c>
      <c r="B1117" t="s">
        <v>211</v>
      </c>
      <c r="C1117" s="9">
        <v>46119</v>
      </c>
      <c r="D1117" s="10">
        <v>31251</v>
      </c>
    </row>
    <row r="1118" spans="1:4">
      <c r="A1118" t="s">
        <v>5</v>
      </c>
      <c r="B1118" t="s">
        <v>87</v>
      </c>
      <c r="C1118" s="9">
        <v>46119</v>
      </c>
      <c r="D1118" s="10">
        <v>47708</v>
      </c>
    </row>
    <row r="1119" spans="1:4">
      <c r="A1119" t="s">
        <v>27</v>
      </c>
      <c r="B1119" t="s">
        <v>169</v>
      </c>
      <c r="C1119" s="9">
        <v>46120</v>
      </c>
      <c r="D1119" s="10">
        <v>14225</v>
      </c>
    </row>
    <row r="1120" spans="1:4">
      <c r="A1120" t="s">
        <v>25</v>
      </c>
      <c r="B1120" t="s">
        <v>160</v>
      </c>
      <c r="C1120" s="9">
        <v>46120</v>
      </c>
      <c r="D1120" s="10">
        <v>15481</v>
      </c>
    </row>
    <row r="1121" spans="1:4">
      <c r="A1121" t="s">
        <v>28</v>
      </c>
      <c r="B1121" t="s">
        <v>269</v>
      </c>
      <c r="C1121" s="9">
        <v>46120</v>
      </c>
      <c r="D1121" s="10">
        <v>15105</v>
      </c>
    </row>
    <row r="1122" spans="1:4">
      <c r="A1122" t="s">
        <v>26</v>
      </c>
      <c r="B1122" t="s">
        <v>249</v>
      </c>
      <c r="C1122" s="9">
        <v>46120</v>
      </c>
      <c r="D1122" s="10">
        <v>15491</v>
      </c>
    </row>
    <row r="1123" spans="1:4">
      <c r="A1123" t="s">
        <v>6</v>
      </c>
      <c r="B1123" t="s">
        <v>172</v>
      </c>
      <c r="C1123" s="9">
        <v>46120</v>
      </c>
      <c r="D1123" s="10">
        <v>18706</v>
      </c>
    </row>
    <row r="1124" spans="1:4">
      <c r="A1124" t="s">
        <v>29</v>
      </c>
      <c r="B1124" t="s">
        <v>227</v>
      </c>
      <c r="C1124" s="9">
        <v>46120</v>
      </c>
      <c r="D1124" s="10">
        <v>13040</v>
      </c>
    </row>
    <row r="1125" spans="1:4">
      <c r="A1125" t="s">
        <v>29</v>
      </c>
      <c r="B1125" t="s">
        <v>133</v>
      </c>
      <c r="C1125" s="9">
        <v>46120</v>
      </c>
      <c r="D1125" s="10">
        <v>15302</v>
      </c>
    </row>
    <row r="1126" spans="1:4">
      <c r="A1126" t="s">
        <v>9</v>
      </c>
      <c r="B1126" t="s">
        <v>85</v>
      </c>
      <c r="C1126" s="9">
        <v>46120</v>
      </c>
      <c r="D1126" s="10">
        <v>30462</v>
      </c>
    </row>
    <row r="1127" spans="1:4">
      <c r="A1127" t="s">
        <v>9</v>
      </c>
      <c r="B1127" t="s">
        <v>179</v>
      </c>
      <c r="C1127" s="9">
        <v>46120</v>
      </c>
      <c r="D1127" s="10">
        <v>55642</v>
      </c>
    </row>
    <row r="1128" spans="1:4">
      <c r="A1128" t="s">
        <v>9</v>
      </c>
      <c r="B1128" t="s">
        <v>134</v>
      </c>
      <c r="C1128" s="9">
        <v>46120</v>
      </c>
      <c r="D1128" s="10">
        <v>47771</v>
      </c>
    </row>
    <row r="1129" spans="1:4">
      <c r="A1129" t="s">
        <v>9</v>
      </c>
      <c r="B1129" t="s">
        <v>100</v>
      </c>
      <c r="C1129" s="9">
        <v>46120</v>
      </c>
      <c r="D1129" s="10">
        <v>21973</v>
      </c>
    </row>
    <row r="1130" spans="1:4">
      <c r="A1130" t="s">
        <v>5</v>
      </c>
      <c r="B1130" t="s">
        <v>104</v>
      </c>
      <c r="C1130" s="9">
        <v>46120</v>
      </c>
      <c r="D1130" s="10">
        <v>37506</v>
      </c>
    </row>
    <row r="1131" spans="1:4">
      <c r="A1131" t="s">
        <v>35</v>
      </c>
      <c r="B1131" t="s">
        <v>259</v>
      </c>
      <c r="C1131" s="9">
        <v>46121</v>
      </c>
      <c r="D1131" s="10">
        <v>9883</v>
      </c>
    </row>
    <row r="1132" spans="1:4">
      <c r="A1132" t="s">
        <v>27</v>
      </c>
      <c r="B1132" t="s">
        <v>225</v>
      </c>
      <c r="C1132" s="9">
        <v>46121</v>
      </c>
      <c r="D1132" s="10">
        <v>17004</v>
      </c>
    </row>
    <row r="1133" spans="1:4">
      <c r="A1133" t="s">
        <v>4</v>
      </c>
      <c r="B1133" t="s">
        <v>247</v>
      </c>
      <c r="C1133" s="9">
        <v>46121</v>
      </c>
      <c r="D1133" s="10">
        <v>35565</v>
      </c>
    </row>
    <row r="1134" spans="1:4">
      <c r="A1134" t="s">
        <v>7</v>
      </c>
      <c r="B1134" t="s">
        <v>231</v>
      </c>
      <c r="C1134" s="9">
        <v>46121</v>
      </c>
      <c r="D1134" s="10">
        <v>29910</v>
      </c>
    </row>
    <row r="1135" spans="1:4">
      <c r="A1135" t="s">
        <v>9</v>
      </c>
      <c r="B1135" t="s">
        <v>228</v>
      </c>
      <c r="C1135" s="9">
        <v>46121</v>
      </c>
      <c r="D1135" s="10">
        <v>25352</v>
      </c>
    </row>
    <row r="1136" spans="1:4">
      <c r="A1136" t="s">
        <v>9</v>
      </c>
      <c r="B1136" t="s">
        <v>185</v>
      </c>
      <c r="C1136" s="9">
        <v>46121</v>
      </c>
      <c r="D1136" s="10">
        <v>29571</v>
      </c>
    </row>
    <row r="1137" spans="1:4">
      <c r="A1137" t="s">
        <v>5</v>
      </c>
      <c r="B1137" t="s">
        <v>62</v>
      </c>
      <c r="C1137" s="9">
        <v>46121</v>
      </c>
      <c r="D1137" s="10">
        <v>45731</v>
      </c>
    </row>
    <row r="1138" spans="1:4">
      <c r="A1138" t="s">
        <v>5</v>
      </c>
      <c r="B1138" t="s">
        <v>147</v>
      </c>
      <c r="C1138" s="9">
        <v>46121</v>
      </c>
      <c r="D1138" s="10">
        <v>47625</v>
      </c>
    </row>
    <row r="1139" spans="1:4">
      <c r="A1139" t="s">
        <v>5</v>
      </c>
      <c r="B1139" t="s">
        <v>140</v>
      </c>
      <c r="C1139" s="9">
        <v>46121</v>
      </c>
      <c r="D1139" s="10">
        <v>49975</v>
      </c>
    </row>
    <row r="1140" spans="1:4">
      <c r="A1140" t="s">
        <v>4</v>
      </c>
      <c r="B1140" t="s">
        <v>137</v>
      </c>
      <c r="C1140" s="9">
        <v>46122</v>
      </c>
      <c r="D1140" s="10">
        <v>39417</v>
      </c>
    </row>
    <row r="1141" spans="1:4">
      <c r="A1141" t="s">
        <v>26</v>
      </c>
      <c r="B1141" t="s">
        <v>291</v>
      </c>
      <c r="C1141" s="9">
        <v>46122</v>
      </c>
      <c r="D1141" s="10">
        <v>15529</v>
      </c>
    </row>
    <row r="1142" spans="1:4">
      <c r="A1142" t="s">
        <v>30</v>
      </c>
      <c r="B1142" t="s">
        <v>243</v>
      </c>
      <c r="C1142" s="9">
        <v>46122</v>
      </c>
      <c r="D1142" s="10">
        <v>12896</v>
      </c>
    </row>
    <row r="1143" spans="1:4">
      <c r="A1143" t="s">
        <v>6</v>
      </c>
      <c r="B1143" t="s">
        <v>251</v>
      </c>
      <c r="C1143" s="9">
        <v>46122</v>
      </c>
      <c r="D1143" s="10">
        <v>19726</v>
      </c>
    </row>
    <row r="1144" spans="1:4">
      <c r="A1144" t="s">
        <v>7</v>
      </c>
      <c r="B1144" t="s">
        <v>99</v>
      </c>
      <c r="C1144" s="9">
        <v>46122</v>
      </c>
      <c r="D1144" s="10">
        <v>26662</v>
      </c>
    </row>
    <row r="1145" spans="1:4">
      <c r="A1145" t="s">
        <v>9</v>
      </c>
      <c r="B1145" t="s">
        <v>111</v>
      </c>
      <c r="C1145" s="9">
        <v>46122</v>
      </c>
      <c r="D1145" s="10">
        <v>33821</v>
      </c>
    </row>
    <row r="1146" spans="1:4">
      <c r="A1146" t="s">
        <v>9</v>
      </c>
      <c r="B1146" t="s">
        <v>246</v>
      </c>
      <c r="C1146" s="9">
        <v>46122</v>
      </c>
      <c r="D1146" s="10">
        <v>42654</v>
      </c>
    </row>
    <row r="1147" spans="1:4">
      <c r="A1147" t="s">
        <v>9</v>
      </c>
      <c r="B1147" t="s">
        <v>176</v>
      </c>
      <c r="C1147" s="9">
        <v>46122</v>
      </c>
      <c r="D1147" s="10">
        <v>25593</v>
      </c>
    </row>
    <row r="1148" spans="1:4">
      <c r="A1148" t="s">
        <v>5</v>
      </c>
      <c r="B1148" t="s">
        <v>188</v>
      </c>
      <c r="C1148" s="9">
        <v>46122</v>
      </c>
      <c r="D1148" s="10">
        <v>32404</v>
      </c>
    </row>
    <row r="1149" spans="1:4">
      <c r="A1149" t="s">
        <v>5</v>
      </c>
      <c r="B1149" t="s">
        <v>188</v>
      </c>
      <c r="C1149" s="9">
        <v>46122</v>
      </c>
      <c r="D1149" s="10">
        <v>25536</v>
      </c>
    </row>
    <row r="1150" spans="1:4">
      <c r="A1150" t="s">
        <v>5</v>
      </c>
      <c r="B1150" t="s">
        <v>189</v>
      </c>
      <c r="C1150" s="9">
        <v>46122</v>
      </c>
      <c r="D1150" s="10">
        <v>37519</v>
      </c>
    </row>
    <row r="1151" spans="1:4">
      <c r="A1151" t="s">
        <v>5</v>
      </c>
      <c r="B1151" t="s">
        <v>82</v>
      </c>
      <c r="C1151" s="9">
        <v>46122</v>
      </c>
      <c r="D1151" s="10">
        <v>39985</v>
      </c>
    </row>
    <row r="1152" spans="1:4">
      <c r="A1152" t="s">
        <v>4</v>
      </c>
      <c r="B1152" t="s">
        <v>193</v>
      </c>
      <c r="C1152" s="9">
        <v>46123</v>
      </c>
      <c r="D1152" s="10">
        <v>28991</v>
      </c>
    </row>
    <row r="1153" spans="1:4">
      <c r="A1153" t="s">
        <v>4</v>
      </c>
      <c r="B1153" t="s">
        <v>87</v>
      </c>
      <c r="C1153" s="9">
        <v>46123</v>
      </c>
      <c r="D1153" s="10">
        <v>49509</v>
      </c>
    </row>
    <row r="1154" spans="1:4">
      <c r="A1154" t="s">
        <v>36</v>
      </c>
      <c r="B1154" t="s">
        <v>280</v>
      </c>
      <c r="C1154" s="9">
        <v>46123</v>
      </c>
      <c r="D1154" s="10">
        <v>5200</v>
      </c>
    </row>
    <row r="1155" spans="1:4">
      <c r="A1155" t="s">
        <v>9</v>
      </c>
      <c r="B1155" t="s">
        <v>187</v>
      </c>
      <c r="C1155" s="9">
        <v>46123</v>
      </c>
      <c r="D1155" s="10">
        <v>44999</v>
      </c>
    </row>
    <row r="1156" spans="1:4">
      <c r="A1156" t="s">
        <v>5</v>
      </c>
      <c r="B1156" t="s">
        <v>59</v>
      </c>
      <c r="C1156" s="9">
        <v>46123</v>
      </c>
      <c r="D1156" s="10">
        <v>51971</v>
      </c>
    </row>
    <row r="1157" spans="1:4">
      <c r="A1157" t="s">
        <v>5</v>
      </c>
      <c r="B1157" t="s">
        <v>224</v>
      </c>
      <c r="C1157" s="9">
        <v>46123</v>
      </c>
      <c r="D1157" s="10">
        <v>56526</v>
      </c>
    </row>
    <row r="1158" spans="1:4">
      <c r="A1158" t="s">
        <v>5</v>
      </c>
      <c r="B1158" t="s">
        <v>168</v>
      </c>
      <c r="C1158" s="9">
        <v>46123</v>
      </c>
      <c r="D1158" s="10">
        <v>39211</v>
      </c>
    </row>
    <row r="1159" spans="1:4">
      <c r="A1159" t="s">
        <v>5</v>
      </c>
      <c r="B1159" t="s">
        <v>150</v>
      </c>
      <c r="C1159" s="9">
        <v>46123</v>
      </c>
      <c r="D1159" s="10">
        <v>33427</v>
      </c>
    </row>
    <row r="1160" spans="1:4">
      <c r="A1160" t="s">
        <v>5</v>
      </c>
      <c r="B1160" t="s">
        <v>140</v>
      </c>
      <c r="C1160" s="9">
        <v>46123</v>
      </c>
      <c r="D1160" s="10">
        <v>49477</v>
      </c>
    </row>
    <row r="1161" spans="1:4">
      <c r="A1161" t="s">
        <v>4</v>
      </c>
      <c r="B1161" t="s">
        <v>105</v>
      </c>
      <c r="C1161" s="9">
        <v>46124</v>
      </c>
      <c r="D1161" s="10">
        <v>27533</v>
      </c>
    </row>
    <row r="1162" spans="1:4">
      <c r="A1162" t="s">
        <v>25</v>
      </c>
      <c r="B1162" t="s">
        <v>161</v>
      </c>
      <c r="C1162" s="9">
        <v>46124</v>
      </c>
      <c r="D1162" s="10">
        <v>15492</v>
      </c>
    </row>
    <row r="1163" spans="1:4">
      <c r="A1163" t="s">
        <v>8</v>
      </c>
      <c r="B1163" t="s">
        <v>65</v>
      </c>
      <c r="C1163" s="9">
        <v>46124</v>
      </c>
      <c r="D1163" s="10">
        <v>21702</v>
      </c>
    </row>
    <row r="1164" spans="1:4">
      <c r="A1164" t="s">
        <v>34</v>
      </c>
      <c r="B1164" t="s">
        <v>285</v>
      </c>
      <c r="C1164" s="9">
        <v>46124</v>
      </c>
      <c r="D1164" s="10">
        <v>23517</v>
      </c>
    </row>
    <row r="1165" spans="1:4">
      <c r="A1165" t="s">
        <v>6</v>
      </c>
      <c r="B1165" t="s">
        <v>171</v>
      </c>
      <c r="C1165" s="9">
        <v>46124</v>
      </c>
      <c r="D1165" s="10">
        <v>21615</v>
      </c>
    </row>
    <row r="1166" spans="1:4">
      <c r="A1166" t="s">
        <v>6</v>
      </c>
      <c r="B1166" t="s">
        <v>136</v>
      </c>
      <c r="C1166" s="9">
        <v>46124</v>
      </c>
      <c r="D1166" s="10">
        <v>42997</v>
      </c>
    </row>
    <row r="1167" spans="1:4">
      <c r="A1167" t="s">
        <v>5</v>
      </c>
      <c r="B1167" t="s">
        <v>167</v>
      </c>
      <c r="C1167" s="9">
        <v>46124</v>
      </c>
      <c r="D1167" s="10">
        <v>29634</v>
      </c>
    </row>
    <row r="1168" spans="1:4">
      <c r="A1168" t="s">
        <v>5</v>
      </c>
      <c r="B1168" t="s">
        <v>167</v>
      </c>
      <c r="C1168" s="9">
        <v>46124</v>
      </c>
      <c r="D1168" s="10">
        <v>43358</v>
      </c>
    </row>
    <row r="1169" spans="1:4">
      <c r="A1169" t="s">
        <v>5</v>
      </c>
      <c r="B1169" t="s">
        <v>154</v>
      </c>
      <c r="C1169" s="9">
        <v>46124</v>
      </c>
      <c r="D1169" s="10">
        <v>32173</v>
      </c>
    </row>
    <row r="1170" spans="1:4">
      <c r="A1170" t="s">
        <v>5</v>
      </c>
      <c r="B1170" t="s">
        <v>81</v>
      </c>
      <c r="C1170" s="9">
        <v>46124</v>
      </c>
      <c r="D1170" s="10">
        <v>46184</v>
      </c>
    </row>
    <row r="1171" spans="1:4">
      <c r="A1171" t="s">
        <v>5</v>
      </c>
      <c r="B1171" t="s">
        <v>71</v>
      </c>
      <c r="C1171" s="9">
        <v>46124</v>
      </c>
      <c r="D1171" s="10">
        <v>43199</v>
      </c>
    </row>
    <row r="1172" spans="1:4">
      <c r="A1172" t="s">
        <v>5</v>
      </c>
      <c r="B1172" t="s">
        <v>155</v>
      </c>
      <c r="C1172" s="9">
        <v>46124</v>
      </c>
      <c r="D1172" s="10">
        <v>40324</v>
      </c>
    </row>
    <row r="1173" spans="1:4">
      <c r="A1173" t="s">
        <v>5</v>
      </c>
      <c r="B1173" t="s">
        <v>219</v>
      </c>
      <c r="C1173" s="9">
        <v>46124</v>
      </c>
      <c r="D1173" s="10">
        <v>33955</v>
      </c>
    </row>
    <row r="1174" spans="1:4">
      <c r="A1174" t="s">
        <v>5</v>
      </c>
      <c r="B1174" t="s">
        <v>103</v>
      </c>
      <c r="C1174" s="9">
        <v>46124</v>
      </c>
      <c r="D1174" s="10">
        <v>34289</v>
      </c>
    </row>
    <row r="1175" spans="1:4">
      <c r="A1175" t="s">
        <v>27</v>
      </c>
      <c r="B1175" t="s">
        <v>217</v>
      </c>
      <c r="C1175" s="9">
        <v>46125</v>
      </c>
      <c r="D1175" s="10">
        <v>14123</v>
      </c>
    </row>
    <row r="1176" spans="1:4">
      <c r="A1176" t="s">
        <v>4</v>
      </c>
      <c r="B1176" t="s">
        <v>275</v>
      </c>
      <c r="C1176" s="9">
        <v>46125</v>
      </c>
      <c r="D1176" s="10">
        <v>25151</v>
      </c>
    </row>
    <row r="1177" spans="1:4">
      <c r="A1177" t="s">
        <v>4</v>
      </c>
      <c r="B1177" t="s">
        <v>268</v>
      </c>
      <c r="C1177" s="9">
        <v>46125</v>
      </c>
      <c r="D1177" s="10">
        <v>31737</v>
      </c>
    </row>
    <row r="1178" spans="1:4">
      <c r="A1178" t="s">
        <v>30</v>
      </c>
      <c r="B1178" t="s">
        <v>198</v>
      </c>
      <c r="C1178" s="9">
        <v>46125</v>
      </c>
      <c r="D1178" s="10">
        <v>13987</v>
      </c>
    </row>
    <row r="1179" spans="1:4">
      <c r="A1179" t="s">
        <v>33</v>
      </c>
      <c r="B1179" t="s">
        <v>267</v>
      </c>
      <c r="C1179" s="9">
        <v>46125</v>
      </c>
      <c r="D1179" s="10">
        <v>10000</v>
      </c>
    </row>
    <row r="1180" spans="1:4">
      <c r="A1180" t="s">
        <v>9</v>
      </c>
      <c r="B1180" t="s">
        <v>201</v>
      </c>
      <c r="C1180" s="9">
        <v>46125</v>
      </c>
      <c r="D1180" s="10">
        <v>30891</v>
      </c>
    </row>
    <row r="1181" spans="1:4">
      <c r="A1181" t="s">
        <v>9</v>
      </c>
      <c r="B1181" t="s">
        <v>192</v>
      </c>
      <c r="C1181" s="9">
        <v>46125</v>
      </c>
      <c r="D1181" s="10">
        <v>24480</v>
      </c>
    </row>
    <row r="1182" spans="1:4">
      <c r="A1182" t="s">
        <v>5</v>
      </c>
      <c r="B1182" t="s">
        <v>114</v>
      </c>
      <c r="C1182" s="9">
        <v>46125</v>
      </c>
      <c r="D1182" s="10">
        <v>34099</v>
      </c>
    </row>
    <row r="1183" spans="1:4">
      <c r="A1183" t="s">
        <v>5</v>
      </c>
      <c r="B1183" t="s">
        <v>167</v>
      </c>
      <c r="C1183" s="9">
        <v>46125</v>
      </c>
      <c r="D1183" s="10">
        <v>34028</v>
      </c>
    </row>
    <row r="1184" spans="1:4">
      <c r="A1184" t="s">
        <v>5</v>
      </c>
      <c r="B1184" t="s">
        <v>122</v>
      </c>
      <c r="C1184" s="9">
        <v>46125</v>
      </c>
      <c r="D1184" s="10">
        <v>41578</v>
      </c>
    </row>
    <row r="1185" spans="1:4">
      <c r="A1185" t="s">
        <v>5</v>
      </c>
      <c r="B1185" t="s">
        <v>210</v>
      </c>
      <c r="C1185" s="9">
        <v>46125</v>
      </c>
      <c r="D1185" s="10">
        <v>46760</v>
      </c>
    </row>
    <row r="1186" spans="1:4">
      <c r="A1186" t="s">
        <v>25</v>
      </c>
      <c r="B1186" t="s">
        <v>205</v>
      </c>
      <c r="C1186" s="9">
        <v>46126</v>
      </c>
      <c r="D1186" s="10">
        <v>13805</v>
      </c>
    </row>
    <row r="1187" spans="1:4">
      <c r="A1187" t="s">
        <v>6</v>
      </c>
      <c r="B1187" t="s">
        <v>163</v>
      </c>
      <c r="C1187" s="9">
        <v>46126</v>
      </c>
      <c r="D1187" s="10">
        <v>15331</v>
      </c>
    </row>
    <row r="1188" spans="1:4">
      <c r="A1188" t="s">
        <v>6</v>
      </c>
      <c r="B1188" t="s">
        <v>61</v>
      </c>
      <c r="C1188" s="9">
        <v>46126</v>
      </c>
      <c r="D1188" s="10">
        <v>17374</v>
      </c>
    </row>
    <row r="1189" spans="1:4">
      <c r="A1189" t="s">
        <v>7</v>
      </c>
      <c r="B1189" t="s">
        <v>78</v>
      </c>
      <c r="C1189" s="9">
        <v>46126</v>
      </c>
      <c r="D1189" s="10">
        <v>23552</v>
      </c>
    </row>
    <row r="1190" spans="1:4">
      <c r="A1190" t="s">
        <v>9</v>
      </c>
      <c r="B1190" t="s">
        <v>202</v>
      </c>
      <c r="C1190" s="9">
        <v>46126</v>
      </c>
      <c r="D1190" s="10">
        <v>45457</v>
      </c>
    </row>
    <row r="1191" spans="1:4">
      <c r="A1191" t="s">
        <v>9</v>
      </c>
      <c r="B1191" t="s">
        <v>246</v>
      </c>
      <c r="C1191" s="9">
        <v>46126</v>
      </c>
      <c r="D1191" s="10">
        <v>32795</v>
      </c>
    </row>
    <row r="1192" spans="1:4">
      <c r="A1192" t="s">
        <v>9</v>
      </c>
      <c r="B1192" t="s">
        <v>106</v>
      </c>
      <c r="C1192" s="9">
        <v>46126</v>
      </c>
      <c r="D1192" s="10">
        <v>37674</v>
      </c>
    </row>
    <row r="1193" spans="1:4">
      <c r="A1193" t="s">
        <v>9</v>
      </c>
      <c r="B1193" t="s">
        <v>166</v>
      </c>
      <c r="C1193" s="9">
        <v>46126</v>
      </c>
      <c r="D1193" s="10">
        <v>31058</v>
      </c>
    </row>
    <row r="1194" spans="1:4">
      <c r="A1194" t="s">
        <v>5</v>
      </c>
      <c r="B1194" t="s">
        <v>102</v>
      </c>
      <c r="C1194" s="9">
        <v>46126</v>
      </c>
      <c r="D1194" s="10">
        <v>46326</v>
      </c>
    </row>
    <row r="1195" spans="1:4">
      <c r="A1195" t="s">
        <v>5</v>
      </c>
      <c r="B1195" t="s">
        <v>88</v>
      </c>
      <c r="C1195" s="9">
        <v>46126</v>
      </c>
      <c r="D1195" s="10">
        <v>47047</v>
      </c>
    </row>
    <row r="1196" spans="1:4">
      <c r="A1196" t="s">
        <v>5</v>
      </c>
      <c r="B1196" t="s">
        <v>124</v>
      </c>
      <c r="C1196" s="9">
        <v>46126</v>
      </c>
      <c r="D1196" s="10">
        <v>44349</v>
      </c>
    </row>
    <row r="1197" spans="1:4">
      <c r="A1197" t="s">
        <v>35</v>
      </c>
      <c r="B1197" t="s">
        <v>290</v>
      </c>
      <c r="C1197" s="9">
        <v>46127</v>
      </c>
      <c r="D1197" s="10">
        <v>13157</v>
      </c>
    </row>
    <row r="1198" spans="1:4">
      <c r="A1198" t="s">
        <v>4</v>
      </c>
      <c r="B1198" t="s">
        <v>226</v>
      </c>
      <c r="C1198" s="9">
        <v>46127</v>
      </c>
      <c r="D1198" s="10">
        <v>25511</v>
      </c>
    </row>
    <row r="1199" spans="1:4">
      <c r="A1199" t="s">
        <v>4</v>
      </c>
      <c r="B1199" t="s">
        <v>230</v>
      </c>
      <c r="C1199" s="9">
        <v>46127</v>
      </c>
      <c r="D1199" s="10">
        <v>7320</v>
      </c>
    </row>
    <row r="1200" spans="1:4">
      <c r="A1200" t="s">
        <v>26</v>
      </c>
      <c r="B1200" t="s">
        <v>151</v>
      </c>
      <c r="C1200" s="9">
        <v>46127</v>
      </c>
      <c r="D1200" s="10">
        <v>11829</v>
      </c>
    </row>
    <row r="1201" spans="1:4">
      <c r="A1201" t="s">
        <v>8</v>
      </c>
      <c r="B1201" t="s">
        <v>66</v>
      </c>
      <c r="C1201" s="9">
        <v>46127</v>
      </c>
      <c r="D1201" s="10">
        <v>15287</v>
      </c>
    </row>
    <row r="1202" spans="1:4">
      <c r="A1202" t="s">
        <v>6</v>
      </c>
      <c r="B1202" t="s">
        <v>94</v>
      </c>
      <c r="C1202" s="9">
        <v>46127</v>
      </c>
      <c r="D1202" s="10">
        <v>28668</v>
      </c>
    </row>
    <row r="1203" spans="1:4">
      <c r="A1203" t="s">
        <v>6</v>
      </c>
      <c r="B1203" t="s">
        <v>178</v>
      </c>
      <c r="C1203" s="9">
        <v>46127</v>
      </c>
      <c r="D1203" s="10">
        <v>5854</v>
      </c>
    </row>
    <row r="1204" spans="1:4">
      <c r="A1204" t="s">
        <v>7</v>
      </c>
      <c r="B1204" t="s">
        <v>289</v>
      </c>
      <c r="C1204" s="9">
        <v>46127</v>
      </c>
      <c r="D1204" s="10">
        <v>38227</v>
      </c>
    </row>
    <row r="1205" spans="1:4">
      <c r="A1205" t="s">
        <v>9</v>
      </c>
      <c r="B1205" t="s">
        <v>121</v>
      </c>
      <c r="C1205" s="9">
        <v>46127</v>
      </c>
      <c r="D1205" s="10">
        <v>18685</v>
      </c>
    </row>
    <row r="1206" spans="1:4">
      <c r="A1206" t="s">
        <v>9</v>
      </c>
      <c r="B1206" t="s">
        <v>181</v>
      </c>
      <c r="C1206" s="9">
        <v>46127</v>
      </c>
      <c r="D1206" s="10">
        <v>29962</v>
      </c>
    </row>
    <row r="1207" spans="1:4">
      <c r="A1207" t="s">
        <v>5</v>
      </c>
      <c r="B1207" t="s">
        <v>241</v>
      </c>
      <c r="C1207" s="9">
        <v>46127</v>
      </c>
      <c r="D1207" s="10">
        <v>40411</v>
      </c>
    </row>
    <row r="1208" spans="1:4">
      <c r="A1208" t="s">
        <v>5</v>
      </c>
      <c r="B1208" t="s">
        <v>203</v>
      </c>
      <c r="C1208" s="9">
        <v>46127</v>
      </c>
      <c r="D1208" s="10">
        <v>35245</v>
      </c>
    </row>
    <row r="1209" spans="1:4">
      <c r="A1209" t="s">
        <v>5</v>
      </c>
      <c r="B1209" t="s">
        <v>203</v>
      </c>
      <c r="C1209" s="9">
        <v>46127</v>
      </c>
      <c r="D1209" s="10">
        <v>39559</v>
      </c>
    </row>
    <row r="1210" spans="1:4">
      <c r="A1210" t="s">
        <v>5</v>
      </c>
      <c r="B1210" t="s">
        <v>159</v>
      </c>
      <c r="C1210" s="9">
        <v>46127</v>
      </c>
      <c r="D1210" s="10">
        <v>40637</v>
      </c>
    </row>
    <row r="1211" spans="1:4">
      <c r="A1211" t="s">
        <v>5</v>
      </c>
      <c r="B1211" t="s">
        <v>140</v>
      </c>
      <c r="C1211" s="9">
        <v>46127</v>
      </c>
      <c r="D1211" s="10">
        <v>40210</v>
      </c>
    </row>
    <row r="1212" spans="1:4">
      <c r="A1212" t="s">
        <v>4</v>
      </c>
      <c r="B1212" t="s">
        <v>154</v>
      </c>
      <c r="C1212" s="9">
        <v>46128</v>
      </c>
      <c r="D1212" s="10">
        <v>32283</v>
      </c>
    </row>
    <row r="1213" spans="1:4">
      <c r="A1213" t="s">
        <v>4</v>
      </c>
      <c r="B1213" t="s">
        <v>79</v>
      </c>
      <c r="C1213" s="9">
        <v>46128</v>
      </c>
      <c r="D1213" s="10">
        <v>37554</v>
      </c>
    </row>
    <row r="1214" spans="1:4">
      <c r="A1214" t="s">
        <v>25</v>
      </c>
      <c r="B1214" t="s">
        <v>279</v>
      </c>
      <c r="C1214" s="9">
        <v>46128</v>
      </c>
      <c r="D1214" s="10">
        <v>17366</v>
      </c>
    </row>
    <row r="1215" spans="1:4">
      <c r="A1215" t="s">
        <v>8</v>
      </c>
      <c r="B1215" t="s">
        <v>170</v>
      </c>
      <c r="C1215" s="9">
        <v>46128</v>
      </c>
      <c r="D1215" s="10">
        <v>23485</v>
      </c>
    </row>
    <row r="1216" spans="1:4">
      <c r="A1216" t="s">
        <v>29</v>
      </c>
      <c r="B1216" t="s">
        <v>254</v>
      </c>
      <c r="C1216" s="9">
        <v>46128</v>
      </c>
      <c r="D1216" s="10">
        <v>15017</v>
      </c>
    </row>
    <row r="1217" spans="1:4">
      <c r="A1217" t="s">
        <v>9</v>
      </c>
      <c r="B1217" t="s">
        <v>223</v>
      </c>
      <c r="C1217" s="9">
        <v>46128</v>
      </c>
      <c r="D1217" s="10">
        <v>31501</v>
      </c>
    </row>
    <row r="1218" spans="1:4">
      <c r="A1218" t="s">
        <v>9</v>
      </c>
      <c r="B1218" t="s">
        <v>180</v>
      </c>
      <c r="C1218" s="9">
        <v>46128</v>
      </c>
      <c r="D1218" s="10">
        <v>47845</v>
      </c>
    </row>
    <row r="1219" spans="1:4">
      <c r="A1219" t="s">
        <v>5</v>
      </c>
      <c r="B1219" t="s">
        <v>124</v>
      </c>
      <c r="C1219" s="9">
        <v>46128</v>
      </c>
      <c r="D1219" s="10">
        <v>30554</v>
      </c>
    </row>
    <row r="1220" spans="1:4">
      <c r="A1220" t="s">
        <v>4</v>
      </c>
      <c r="B1220" t="s">
        <v>157</v>
      </c>
      <c r="C1220" s="9">
        <v>46129</v>
      </c>
      <c r="D1220" s="10">
        <v>22496</v>
      </c>
    </row>
    <row r="1221" spans="1:4">
      <c r="A1221" t="s">
        <v>25</v>
      </c>
      <c r="B1221" t="s">
        <v>117</v>
      </c>
      <c r="C1221" s="9">
        <v>46129</v>
      </c>
      <c r="D1221" s="10">
        <v>14358</v>
      </c>
    </row>
    <row r="1222" spans="1:4">
      <c r="A1222" t="s">
        <v>28</v>
      </c>
      <c r="B1222" t="s">
        <v>74</v>
      </c>
      <c r="C1222" s="9">
        <v>46129</v>
      </c>
      <c r="D1222" s="10">
        <v>14990</v>
      </c>
    </row>
    <row r="1223" spans="1:4">
      <c r="A1223" t="s">
        <v>8</v>
      </c>
      <c r="B1223" t="s">
        <v>233</v>
      </c>
      <c r="C1223" s="9">
        <v>46129</v>
      </c>
      <c r="D1223" s="10">
        <v>5200</v>
      </c>
    </row>
    <row r="1224" spans="1:4">
      <c r="A1224" t="s">
        <v>8</v>
      </c>
      <c r="B1224" t="s">
        <v>92</v>
      </c>
      <c r="C1224" s="9">
        <v>46129</v>
      </c>
      <c r="D1224" s="10">
        <v>5200</v>
      </c>
    </row>
    <row r="1225" spans="1:4">
      <c r="A1225" t="s">
        <v>8</v>
      </c>
      <c r="B1225" t="s">
        <v>237</v>
      </c>
      <c r="C1225" s="9">
        <v>46129</v>
      </c>
      <c r="D1225" s="10">
        <v>17138</v>
      </c>
    </row>
    <row r="1226" spans="1:4">
      <c r="A1226" t="s">
        <v>7</v>
      </c>
      <c r="B1226" t="s">
        <v>255</v>
      </c>
      <c r="C1226" s="9">
        <v>46129</v>
      </c>
      <c r="D1226" s="10">
        <v>23804</v>
      </c>
    </row>
    <row r="1227" spans="1:4">
      <c r="A1227" t="s">
        <v>9</v>
      </c>
      <c r="B1227" t="s">
        <v>274</v>
      </c>
      <c r="C1227" s="9">
        <v>46129</v>
      </c>
      <c r="D1227" s="10">
        <v>44013</v>
      </c>
    </row>
    <row r="1228" spans="1:4">
      <c r="A1228" t="s">
        <v>9</v>
      </c>
      <c r="B1228" t="s">
        <v>101</v>
      </c>
      <c r="C1228" s="9">
        <v>46129</v>
      </c>
      <c r="D1228" s="10">
        <v>28695</v>
      </c>
    </row>
    <row r="1229" spans="1:4">
      <c r="A1229" t="s">
        <v>9</v>
      </c>
      <c r="B1229" t="s">
        <v>292</v>
      </c>
      <c r="C1229" s="9">
        <v>46129</v>
      </c>
      <c r="D1229" s="10">
        <v>31092</v>
      </c>
    </row>
    <row r="1230" spans="1:4">
      <c r="A1230" t="s">
        <v>5</v>
      </c>
      <c r="B1230" t="s">
        <v>81</v>
      </c>
      <c r="C1230" s="9">
        <v>46129</v>
      </c>
      <c r="D1230" s="10">
        <v>37741</v>
      </c>
    </row>
    <row r="1231" spans="1:4">
      <c r="A1231" t="s">
        <v>5</v>
      </c>
      <c r="B1231" t="s">
        <v>87</v>
      </c>
      <c r="C1231" s="9">
        <v>46129</v>
      </c>
      <c r="D1231" s="10">
        <v>51701</v>
      </c>
    </row>
    <row r="1232" spans="1:4">
      <c r="A1232" t="s">
        <v>5</v>
      </c>
      <c r="B1232" t="s">
        <v>104</v>
      </c>
      <c r="C1232" s="9">
        <v>46129</v>
      </c>
      <c r="D1232" s="10">
        <v>41559</v>
      </c>
    </row>
    <row r="1233" spans="1:4">
      <c r="A1233" t="s">
        <v>4</v>
      </c>
      <c r="B1233" t="s">
        <v>195</v>
      </c>
      <c r="C1233" s="9">
        <v>46130</v>
      </c>
      <c r="D1233" s="10">
        <v>42042</v>
      </c>
    </row>
    <row r="1234" spans="1:4">
      <c r="A1234" t="s">
        <v>4</v>
      </c>
      <c r="B1234" t="s">
        <v>204</v>
      </c>
      <c r="C1234" s="9">
        <v>46130</v>
      </c>
      <c r="D1234" s="10">
        <v>38060</v>
      </c>
    </row>
    <row r="1235" spans="1:4">
      <c r="A1235" t="s">
        <v>28</v>
      </c>
      <c r="B1235" t="s">
        <v>131</v>
      </c>
      <c r="C1235" s="9">
        <v>46130</v>
      </c>
      <c r="D1235" s="10">
        <v>11928</v>
      </c>
    </row>
    <row r="1236" spans="1:4">
      <c r="A1236" t="s">
        <v>28</v>
      </c>
      <c r="B1236" t="s">
        <v>130</v>
      </c>
      <c r="C1236" s="9">
        <v>46130</v>
      </c>
      <c r="D1236" s="10">
        <v>22349</v>
      </c>
    </row>
    <row r="1237" spans="1:4">
      <c r="A1237" t="s">
        <v>32</v>
      </c>
      <c r="B1237" t="s">
        <v>145</v>
      </c>
      <c r="C1237" s="9">
        <v>46130</v>
      </c>
      <c r="D1237" s="10">
        <v>5200</v>
      </c>
    </row>
    <row r="1238" spans="1:4">
      <c r="A1238" t="s">
        <v>5</v>
      </c>
      <c r="B1238" t="s">
        <v>82</v>
      </c>
      <c r="C1238" s="9">
        <v>46130</v>
      </c>
      <c r="D1238" s="10">
        <v>40375</v>
      </c>
    </row>
    <row r="1239" spans="1:4">
      <c r="A1239" t="s">
        <v>27</v>
      </c>
      <c r="B1239" t="s">
        <v>141</v>
      </c>
      <c r="C1239" s="9">
        <v>46131</v>
      </c>
      <c r="D1239" s="10">
        <v>14602</v>
      </c>
    </row>
    <row r="1240" spans="1:4">
      <c r="A1240" t="s">
        <v>4</v>
      </c>
      <c r="B1240" t="s">
        <v>226</v>
      </c>
      <c r="C1240" s="9">
        <v>46131</v>
      </c>
      <c r="D1240" s="10">
        <v>31962</v>
      </c>
    </row>
    <row r="1241" spans="1:4">
      <c r="A1241" t="s">
        <v>4</v>
      </c>
      <c r="B1241" t="s">
        <v>213</v>
      </c>
      <c r="C1241" s="9">
        <v>46131</v>
      </c>
      <c r="D1241" s="10">
        <v>35973</v>
      </c>
    </row>
    <row r="1242" spans="1:4">
      <c r="A1242" t="s">
        <v>4</v>
      </c>
      <c r="B1242" t="s">
        <v>242</v>
      </c>
      <c r="C1242" s="9">
        <v>46131</v>
      </c>
      <c r="D1242" s="10">
        <v>29288</v>
      </c>
    </row>
    <row r="1243" spans="1:4">
      <c r="A1243" t="s">
        <v>25</v>
      </c>
      <c r="B1243" t="s">
        <v>73</v>
      </c>
      <c r="C1243" s="9">
        <v>46131</v>
      </c>
      <c r="D1243" s="10">
        <v>16126</v>
      </c>
    </row>
    <row r="1244" spans="1:4">
      <c r="A1244" t="s">
        <v>30</v>
      </c>
      <c r="B1244" t="s">
        <v>191</v>
      </c>
      <c r="C1244" s="9">
        <v>46131</v>
      </c>
      <c r="D1244" s="10">
        <v>5200</v>
      </c>
    </row>
    <row r="1245" spans="1:4">
      <c r="A1245" t="s">
        <v>7</v>
      </c>
      <c r="B1245" t="s">
        <v>97</v>
      </c>
      <c r="C1245" s="9">
        <v>46131</v>
      </c>
      <c r="D1245" s="10">
        <v>23825</v>
      </c>
    </row>
    <row r="1246" spans="1:4">
      <c r="A1246" t="s">
        <v>37</v>
      </c>
      <c r="B1246" t="s">
        <v>186</v>
      </c>
      <c r="C1246" s="9">
        <v>46131</v>
      </c>
      <c r="D1246" s="10">
        <v>13079</v>
      </c>
    </row>
    <row r="1247" spans="1:4">
      <c r="A1247" t="s">
        <v>9</v>
      </c>
      <c r="B1247" t="s">
        <v>146</v>
      </c>
      <c r="C1247" s="9">
        <v>46131</v>
      </c>
      <c r="D1247" s="10">
        <v>42021</v>
      </c>
    </row>
    <row r="1248" spans="1:4">
      <c r="A1248" t="s">
        <v>9</v>
      </c>
      <c r="B1248" t="s">
        <v>159</v>
      </c>
      <c r="C1248" s="9">
        <v>46131</v>
      </c>
      <c r="D1248" s="10">
        <v>44037</v>
      </c>
    </row>
    <row r="1249" spans="1:4">
      <c r="A1249" t="s">
        <v>9</v>
      </c>
      <c r="B1249" t="s">
        <v>219</v>
      </c>
      <c r="C1249" s="9">
        <v>46131</v>
      </c>
      <c r="D1249" s="10">
        <v>34039</v>
      </c>
    </row>
    <row r="1250" spans="1:4">
      <c r="A1250" t="s">
        <v>5</v>
      </c>
      <c r="B1250" t="s">
        <v>114</v>
      </c>
      <c r="C1250" s="9">
        <v>46131</v>
      </c>
      <c r="D1250" s="10">
        <v>40656</v>
      </c>
    </row>
    <row r="1251" spans="1:4">
      <c r="A1251" t="s">
        <v>5</v>
      </c>
      <c r="B1251" t="s">
        <v>209</v>
      </c>
      <c r="C1251" s="9">
        <v>46131</v>
      </c>
      <c r="D1251" s="10">
        <v>22873</v>
      </c>
    </row>
    <row r="1252" spans="1:4">
      <c r="A1252" t="s">
        <v>5</v>
      </c>
      <c r="B1252" t="s">
        <v>72</v>
      </c>
      <c r="C1252" s="9">
        <v>46131</v>
      </c>
      <c r="D1252" s="10">
        <v>49867</v>
      </c>
    </row>
    <row r="1253" spans="1:4">
      <c r="A1253" t="s">
        <v>5</v>
      </c>
      <c r="B1253" t="s">
        <v>210</v>
      </c>
      <c r="C1253" s="9">
        <v>46131</v>
      </c>
      <c r="D1253" s="10">
        <v>44469</v>
      </c>
    </row>
    <row r="1254" spans="1:4">
      <c r="A1254" t="s">
        <v>5</v>
      </c>
      <c r="B1254" t="s">
        <v>155</v>
      </c>
      <c r="C1254" s="9">
        <v>46131</v>
      </c>
      <c r="D1254" s="10">
        <v>45461</v>
      </c>
    </row>
    <row r="1255" spans="1:4">
      <c r="A1255" t="s">
        <v>5</v>
      </c>
      <c r="B1255" t="s">
        <v>87</v>
      </c>
      <c r="C1255" s="9">
        <v>46131</v>
      </c>
      <c r="D1255" s="10">
        <v>47575</v>
      </c>
    </row>
    <row r="1256" spans="1:4">
      <c r="A1256" t="s">
        <v>5</v>
      </c>
      <c r="B1256" t="s">
        <v>124</v>
      </c>
      <c r="C1256" s="9">
        <v>46131</v>
      </c>
      <c r="D1256" s="10">
        <v>37177</v>
      </c>
    </row>
    <row r="1257" spans="1:4">
      <c r="A1257" t="s">
        <v>27</v>
      </c>
      <c r="B1257" t="s">
        <v>229</v>
      </c>
      <c r="C1257" s="9">
        <v>46132</v>
      </c>
      <c r="D1257" s="10">
        <v>15617</v>
      </c>
    </row>
    <row r="1258" spans="1:4">
      <c r="A1258" t="s">
        <v>4</v>
      </c>
      <c r="B1258" t="s">
        <v>262</v>
      </c>
      <c r="C1258" s="9">
        <v>46132</v>
      </c>
      <c r="D1258" s="10">
        <v>32409</v>
      </c>
    </row>
    <row r="1259" spans="1:4">
      <c r="A1259" t="s">
        <v>4</v>
      </c>
      <c r="B1259" t="s">
        <v>278</v>
      </c>
      <c r="C1259" s="9">
        <v>46132</v>
      </c>
      <c r="D1259" s="10">
        <v>16067</v>
      </c>
    </row>
    <row r="1260" spans="1:4">
      <c r="A1260" t="s">
        <v>26</v>
      </c>
      <c r="B1260" t="s">
        <v>281</v>
      </c>
      <c r="C1260" s="9">
        <v>46132</v>
      </c>
      <c r="D1260" s="10">
        <v>5200</v>
      </c>
    </row>
    <row r="1261" spans="1:4">
      <c r="A1261" t="s">
        <v>32</v>
      </c>
      <c r="B1261" t="s">
        <v>206</v>
      </c>
      <c r="C1261" s="9">
        <v>46132</v>
      </c>
      <c r="D1261" s="10">
        <v>14398</v>
      </c>
    </row>
    <row r="1262" spans="1:4">
      <c r="A1262" t="s">
        <v>29</v>
      </c>
      <c r="B1262" t="s">
        <v>152</v>
      </c>
      <c r="C1262" s="9">
        <v>46132</v>
      </c>
      <c r="D1262" s="10">
        <v>5200</v>
      </c>
    </row>
    <row r="1263" spans="1:4">
      <c r="A1263" t="s">
        <v>7</v>
      </c>
      <c r="B1263" t="s">
        <v>96</v>
      </c>
      <c r="C1263" s="9">
        <v>46132</v>
      </c>
      <c r="D1263" s="10">
        <v>17158</v>
      </c>
    </row>
    <row r="1264" spans="1:4">
      <c r="A1264" t="s">
        <v>7</v>
      </c>
      <c r="B1264" t="s">
        <v>164</v>
      </c>
      <c r="C1264" s="9">
        <v>46132</v>
      </c>
      <c r="D1264" s="10">
        <v>18523</v>
      </c>
    </row>
    <row r="1265" spans="1:4">
      <c r="A1265" t="s">
        <v>9</v>
      </c>
      <c r="B1265" t="s">
        <v>85</v>
      </c>
      <c r="C1265" s="9">
        <v>46132</v>
      </c>
      <c r="D1265" s="10">
        <v>35694</v>
      </c>
    </row>
    <row r="1266" spans="1:4">
      <c r="A1266" t="s">
        <v>9</v>
      </c>
      <c r="B1266" t="s">
        <v>122</v>
      </c>
      <c r="C1266" s="9">
        <v>46132</v>
      </c>
      <c r="D1266" s="10">
        <v>47516</v>
      </c>
    </row>
    <row r="1267" spans="1:4">
      <c r="A1267" t="s">
        <v>9</v>
      </c>
      <c r="B1267" t="s">
        <v>166</v>
      </c>
      <c r="C1267" s="9">
        <v>46132</v>
      </c>
      <c r="D1267" s="10">
        <v>29314</v>
      </c>
    </row>
    <row r="1268" spans="1:4">
      <c r="A1268" t="s">
        <v>5</v>
      </c>
      <c r="B1268" t="s">
        <v>69</v>
      </c>
      <c r="C1268" s="9">
        <v>46132</v>
      </c>
      <c r="D1268" s="10">
        <v>44587</v>
      </c>
    </row>
    <row r="1269" spans="1:4">
      <c r="A1269" t="s">
        <v>5</v>
      </c>
      <c r="B1269" t="s">
        <v>123</v>
      </c>
      <c r="C1269" s="9">
        <v>46132</v>
      </c>
      <c r="D1269" s="10">
        <v>38529</v>
      </c>
    </row>
    <row r="1270" spans="1:4">
      <c r="A1270" t="s">
        <v>5</v>
      </c>
      <c r="B1270" t="s">
        <v>80</v>
      </c>
      <c r="C1270" s="9">
        <v>46132</v>
      </c>
      <c r="D1270" s="10">
        <v>38842</v>
      </c>
    </row>
    <row r="1271" spans="1:4">
      <c r="A1271" t="s">
        <v>5</v>
      </c>
      <c r="B1271" t="s">
        <v>189</v>
      </c>
      <c r="C1271" s="9">
        <v>46132</v>
      </c>
      <c r="D1271" s="10">
        <v>38451</v>
      </c>
    </row>
    <row r="1272" spans="1:4">
      <c r="A1272" t="s">
        <v>5</v>
      </c>
      <c r="B1272" t="s">
        <v>159</v>
      </c>
      <c r="C1272" s="9">
        <v>46132</v>
      </c>
      <c r="D1272" s="10">
        <v>50260</v>
      </c>
    </row>
    <row r="1273" spans="1:4">
      <c r="A1273" t="s">
        <v>5</v>
      </c>
      <c r="B1273" t="s">
        <v>87</v>
      </c>
      <c r="C1273" s="9">
        <v>46132</v>
      </c>
      <c r="D1273" s="10">
        <v>34629</v>
      </c>
    </row>
    <row r="1274" spans="1:4">
      <c r="A1274" t="s">
        <v>25</v>
      </c>
      <c r="B1274" t="s">
        <v>196</v>
      </c>
      <c r="C1274" s="9">
        <v>46133</v>
      </c>
      <c r="D1274" s="10">
        <v>11878</v>
      </c>
    </row>
    <row r="1275" spans="1:4">
      <c r="A1275" t="s">
        <v>9</v>
      </c>
      <c r="B1275" t="s">
        <v>68</v>
      </c>
      <c r="C1275" s="9">
        <v>46133</v>
      </c>
      <c r="D1275" s="10">
        <v>15864</v>
      </c>
    </row>
    <row r="1276" spans="1:4">
      <c r="A1276" t="s">
        <v>9</v>
      </c>
      <c r="B1276" t="s">
        <v>292</v>
      </c>
      <c r="C1276" s="9">
        <v>46133</v>
      </c>
      <c r="D1276" s="10">
        <v>22781</v>
      </c>
    </row>
    <row r="1277" spans="1:4">
      <c r="A1277" t="s">
        <v>5</v>
      </c>
      <c r="B1277" t="s">
        <v>139</v>
      </c>
      <c r="C1277" s="9">
        <v>46133</v>
      </c>
      <c r="D1277" s="10">
        <v>33806</v>
      </c>
    </row>
    <row r="1278" spans="1:4">
      <c r="A1278" t="s">
        <v>5</v>
      </c>
      <c r="B1278" t="s">
        <v>148</v>
      </c>
      <c r="C1278" s="9">
        <v>46133</v>
      </c>
      <c r="D1278" s="10">
        <v>41494</v>
      </c>
    </row>
    <row r="1279" spans="1:4">
      <c r="A1279" t="s">
        <v>5</v>
      </c>
      <c r="B1279" t="s">
        <v>189</v>
      </c>
      <c r="C1279" s="9">
        <v>46133</v>
      </c>
      <c r="D1279" s="10">
        <v>48805</v>
      </c>
    </row>
    <row r="1280" spans="1:4">
      <c r="A1280" t="s">
        <v>5</v>
      </c>
      <c r="B1280" t="s">
        <v>159</v>
      </c>
      <c r="C1280" s="9">
        <v>46133</v>
      </c>
      <c r="D1280" s="10">
        <v>42782</v>
      </c>
    </row>
    <row r="1281" spans="1:4">
      <c r="A1281" t="s">
        <v>5</v>
      </c>
      <c r="B1281" t="s">
        <v>159</v>
      </c>
      <c r="C1281" s="9">
        <v>46133</v>
      </c>
      <c r="D1281" s="10">
        <v>39402</v>
      </c>
    </row>
    <row r="1282" spans="1:4">
      <c r="A1282" t="s">
        <v>5</v>
      </c>
      <c r="B1282" t="s">
        <v>127</v>
      </c>
      <c r="C1282" s="9">
        <v>46133</v>
      </c>
      <c r="D1282" s="10">
        <v>51997</v>
      </c>
    </row>
    <row r="1283" spans="1:4">
      <c r="A1283" t="s">
        <v>5</v>
      </c>
      <c r="B1283" t="s">
        <v>128</v>
      </c>
      <c r="C1283" s="9">
        <v>46133</v>
      </c>
      <c r="D1283" s="10">
        <v>32747</v>
      </c>
    </row>
    <row r="1284" spans="1:4">
      <c r="A1284" t="s">
        <v>27</v>
      </c>
      <c r="B1284" t="s">
        <v>58</v>
      </c>
      <c r="C1284" s="9">
        <v>46134</v>
      </c>
      <c r="D1284" s="10">
        <v>30721</v>
      </c>
    </row>
    <row r="1285" spans="1:4">
      <c r="A1285" t="s">
        <v>4</v>
      </c>
      <c r="B1285" t="s">
        <v>89</v>
      </c>
      <c r="C1285" s="9">
        <v>46134</v>
      </c>
      <c r="D1285" s="10">
        <v>38424</v>
      </c>
    </row>
    <row r="1286" spans="1:4">
      <c r="A1286" t="s">
        <v>4</v>
      </c>
      <c r="B1286" t="s">
        <v>248</v>
      </c>
      <c r="C1286" s="9">
        <v>46134</v>
      </c>
      <c r="D1286" s="10">
        <v>39993</v>
      </c>
    </row>
    <row r="1287" spans="1:4">
      <c r="A1287" t="s">
        <v>32</v>
      </c>
      <c r="B1287" t="s">
        <v>266</v>
      </c>
      <c r="C1287" s="9">
        <v>46134</v>
      </c>
      <c r="D1287" s="10">
        <v>12618</v>
      </c>
    </row>
    <row r="1288" spans="1:4">
      <c r="A1288" t="s">
        <v>6</v>
      </c>
      <c r="B1288" t="s">
        <v>83</v>
      </c>
      <c r="C1288" s="9">
        <v>46134</v>
      </c>
      <c r="D1288" s="10">
        <v>18579</v>
      </c>
    </row>
    <row r="1289" spans="1:4">
      <c r="A1289" t="s">
        <v>7</v>
      </c>
      <c r="B1289" t="s">
        <v>76</v>
      </c>
      <c r="C1289" s="9">
        <v>46134</v>
      </c>
      <c r="D1289" s="10">
        <v>45413</v>
      </c>
    </row>
    <row r="1290" spans="1:4">
      <c r="A1290" t="s">
        <v>9</v>
      </c>
      <c r="B1290" t="s">
        <v>146</v>
      </c>
      <c r="C1290" s="9">
        <v>46134</v>
      </c>
      <c r="D1290" s="10">
        <v>36843</v>
      </c>
    </row>
    <row r="1291" spans="1:4">
      <c r="A1291" t="s">
        <v>5</v>
      </c>
      <c r="B1291" t="s">
        <v>70</v>
      </c>
      <c r="C1291" s="9">
        <v>46134</v>
      </c>
      <c r="D1291" s="10">
        <v>40521</v>
      </c>
    </row>
    <row r="1292" spans="1:4">
      <c r="A1292" t="s">
        <v>5</v>
      </c>
      <c r="B1292" t="s">
        <v>100</v>
      </c>
      <c r="C1292" s="9">
        <v>46134</v>
      </c>
      <c r="D1292" s="10">
        <v>23044</v>
      </c>
    </row>
    <row r="1293" spans="1:4">
      <c r="A1293" t="s">
        <v>5</v>
      </c>
      <c r="B1293" t="s">
        <v>71</v>
      </c>
      <c r="C1293" s="9">
        <v>46134</v>
      </c>
      <c r="D1293" s="10">
        <v>43247</v>
      </c>
    </row>
    <row r="1294" spans="1:4">
      <c r="A1294" t="s">
        <v>27</v>
      </c>
      <c r="B1294" t="s">
        <v>143</v>
      </c>
      <c r="C1294" s="9">
        <v>46135</v>
      </c>
      <c r="D1294" s="10">
        <v>16461</v>
      </c>
    </row>
    <row r="1295" spans="1:4">
      <c r="A1295" t="s">
        <v>27</v>
      </c>
      <c r="B1295" t="s">
        <v>221</v>
      </c>
      <c r="C1295" s="9">
        <v>46135</v>
      </c>
      <c r="D1295" s="10">
        <v>14941</v>
      </c>
    </row>
    <row r="1296" spans="1:4">
      <c r="A1296" t="s">
        <v>4</v>
      </c>
      <c r="B1296" t="s">
        <v>262</v>
      </c>
      <c r="C1296" s="9">
        <v>46135</v>
      </c>
      <c r="D1296" s="10">
        <v>26371</v>
      </c>
    </row>
    <row r="1297" spans="1:4">
      <c r="A1297" t="s">
        <v>26</v>
      </c>
      <c r="B1297" t="s">
        <v>284</v>
      </c>
      <c r="C1297" s="9">
        <v>46135</v>
      </c>
      <c r="D1297" s="10">
        <v>8235</v>
      </c>
    </row>
    <row r="1298" spans="1:4">
      <c r="A1298" t="s">
        <v>32</v>
      </c>
      <c r="B1298" t="s">
        <v>245</v>
      </c>
      <c r="C1298" s="9">
        <v>46135</v>
      </c>
      <c r="D1298" s="10">
        <v>12729</v>
      </c>
    </row>
    <row r="1299" spans="1:4">
      <c r="A1299" t="s">
        <v>29</v>
      </c>
      <c r="B1299" t="s">
        <v>95</v>
      </c>
      <c r="C1299" s="9">
        <v>46135</v>
      </c>
      <c r="D1299" s="10">
        <v>10127</v>
      </c>
    </row>
    <row r="1300" spans="1:4">
      <c r="A1300" t="s">
        <v>7</v>
      </c>
      <c r="B1300" t="s">
        <v>257</v>
      </c>
      <c r="C1300" s="9">
        <v>46135</v>
      </c>
      <c r="D1300" s="10">
        <v>32703</v>
      </c>
    </row>
    <row r="1301" spans="1:4">
      <c r="A1301" t="s">
        <v>5</v>
      </c>
      <c r="B1301" t="s">
        <v>150</v>
      </c>
      <c r="C1301" s="9">
        <v>46135</v>
      </c>
      <c r="D1301" s="10">
        <v>45771</v>
      </c>
    </row>
    <row r="1302" spans="1:4">
      <c r="A1302" t="s">
        <v>5</v>
      </c>
      <c r="B1302" t="s">
        <v>71</v>
      </c>
      <c r="C1302" s="9">
        <v>46135</v>
      </c>
      <c r="D1302" s="10">
        <v>31737</v>
      </c>
    </row>
    <row r="1303" spans="1:4">
      <c r="A1303" t="s">
        <v>5</v>
      </c>
      <c r="B1303" t="s">
        <v>211</v>
      </c>
      <c r="C1303" s="9">
        <v>46135</v>
      </c>
      <c r="D1303" s="10">
        <v>33151</v>
      </c>
    </row>
    <row r="1304" spans="1:4">
      <c r="A1304" t="s">
        <v>5</v>
      </c>
      <c r="B1304" t="s">
        <v>87</v>
      </c>
      <c r="C1304" s="9">
        <v>46135</v>
      </c>
      <c r="D1304" s="10">
        <v>34938</v>
      </c>
    </row>
    <row r="1305" spans="1:4">
      <c r="A1305" t="s">
        <v>5</v>
      </c>
      <c r="B1305" t="s">
        <v>124</v>
      </c>
      <c r="C1305" s="9">
        <v>46135</v>
      </c>
      <c r="D1305" s="10">
        <v>37042</v>
      </c>
    </row>
    <row r="1306" spans="1:4">
      <c r="A1306" t="s">
        <v>5</v>
      </c>
      <c r="B1306" t="s">
        <v>124</v>
      </c>
      <c r="C1306" s="9">
        <v>46135</v>
      </c>
      <c r="D1306" s="10">
        <v>35556</v>
      </c>
    </row>
    <row r="1307" spans="1:4">
      <c r="A1307" t="s">
        <v>27</v>
      </c>
      <c r="B1307" t="s">
        <v>115</v>
      </c>
      <c r="C1307" s="9">
        <v>46136</v>
      </c>
      <c r="D1307" s="10">
        <v>10076</v>
      </c>
    </row>
    <row r="1308" spans="1:4">
      <c r="A1308" t="s">
        <v>8</v>
      </c>
      <c r="B1308" t="s">
        <v>244</v>
      </c>
      <c r="C1308" s="9">
        <v>46136</v>
      </c>
      <c r="D1308" s="10">
        <v>32099</v>
      </c>
    </row>
    <row r="1309" spans="1:4">
      <c r="A1309" t="s">
        <v>7</v>
      </c>
      <c r="B1309" t="s">
        <v>165</v>
      </c>
      <c r="C1309" s="9">
        <v>46136</v>
      </c>
      <c r="D1309" s="10">
        <v>27003</v>
      </c>
    </row>
    <row r="1310" spans="1:4">
      <c r="A1310" t="s">
        <v>9</v>
      </c>
      <c r="B1310" t="s">
        <v>201</v>
      </c>
      <c r="C1310" s="9">
        <v>46136</v>
      </c>
      <c r="D1310" s="10">
        <v>30331</v>
      </c>
    </row>
    <row r="1311" spans="1:4">
      <c r="A1311" t="s">
        <v>9</v>
      </c>
      <c r="B1311" t="s">
        <v>228</v>
      </c>
      <c r="C1311" s="9">
        <v>46136</v>
      </c>
      <c r="D1311" s="10">
        <v>32648</v>
      </c>
    </row>
    <row r="1312" spans="1:4">
      <c r="A1312" t="s">
        <v>9</v>
      </c>
      <c r="B1312" t="s">
        <v>120</v>
      </c>
      <c r="C1312" s="9">
        <v>46136</v>
      </c>
      <c r="D1312" s="10">
        <v>35830</v>
      </c>
    </row>
    <row r="1313" spans="1:4">
      <c r="A1313" t="s">
        <v>9</v>
      </c>
      <c r="B1313" t="s">
        <v>79</v>
      </c>
      <c r="C1313" s="9">
        <v>46136</v>
      </c>
      <c r="D1313" s="10">
        <v>26666</v>
      </c>
    </row>
    <row r="1314" spans="1:4">
      <c r="A1314" t="s">
        <v>5</v>
      </c>
      <c r="B1314" t="s">
        <v>72</v>
      </c>
      <c r="C1314" s="9">
        <v>46136</v>
      </c>
      <c r="D1314" s="10">
        <v>44279</v>
      </c>
    </row>
    <row r="1315" spans="1:4">
      <c r="A1315" t="s">
        <v>5</v>
      </c>
      <c r="B1315" t="s">
        <v>70</v>
      </c>
      <c r="C1315" s="9">
        <v>46136</v>
      </c>
      <c r="D1315" s="10">
        <v>40252</v>
      </c>
    </row>
    <row r="1316" spans="1:4">
      <c r="A1316" t="s">
        <v>5</v>
      </c>
      <c r="B1316" t="s">
        <v>203</v>
      </c>
      <c r="C1316" s="9">
        <v>46136</v>
      </c>
      <c r="D1316" s="10">
        <v>49212</v>
      </c>
    </row>
    <row r="1317" spans="1:4">
      <c r="A1317" t="s">
        <v>5</v>
      </c>
      <c r="B1317" t="s">
        <v>124</v>
      </c>
      <c r="C1317" s="9">
        <v>46136</v>
      </c>
      <c r="D1317" s="10">
        <v>43644</v>
      </c>
    </row>
    <row r="1318" spans="1:4">
      <c r="A1318" t="s">
        <v>4</v>
      </c>
      <c r="B1318" t="s">
        <v>283</v>
      </c>
      <c r="C1318" s="9">
        <v>46137</v>
      </c>
      <c r="D1318" s="10">
        <v>30293</v>
      </c>
    </row>
    <row r="1319" spans="1:4">
      <c r="A1319" t="s">
        <v>4</v>
      </c>
      <c r="B1319" t="s">
        <v>142</v>
      </c>
      <c r="C1319" s="9">
        <v>46137</v>
      </c>
      <c r="D1319" s="10">
        <v>12381</v>
      </c>
    </row>
    <row r="1320" spans="1:4">
      <c r="A1320" t="s">
        <v>4</v>
      </c>
      <c r="B1320" t="s">
        <v>261</v>
      </c>
      <c r="C1320" s="9">
        <v>46137</v>
      </c>
      <c r="D1320" s="10">
        <v>25977</v>
      </c>
    </row>
    <row r="1321" spans="1:4">
      <c r="A1321" t="s">
        <v>7</v>
      </c>
      <c r="B1321" t="s">
        <v>273</v>
      </c>
      <c r="C1321" s="9">
        <v>46137</v>
      </c>
      <c r="D1321" s="10">
        <v>20045</v>
      </c>
    </row>
    <row r="1322" spans="1:4">
      <c r="A1322" t="s">
        <v>7</v>
      </c>
      <c r="B1322" t="s">
        <v>250</v>
      </c>
      <c r="C1322" s="9">
        <v>46137</v>
      </c>
      <c r="D1322" s="10">
        <v>5200</v>
      </c>
    </row>
    <row r="1323" spans="1:4">
      <c r="A1323" t="s">
        <v>7</v>
      </c>
      <c r="B1323" t="s">
        <v>98</v>
      </c>
      <c r="C1323" s="9">
        <v>46137</v>
      </c>
      <c r="D1323" s="10">
        <v>36246</v>
      </c>
    </row>
    <row r="1324" spans="1:4">
      <c r="A1324" t="s">
        <v>5</v>
      </c>
      <c r="B1324" t="s">
        <v>147</v>
      </c>
      <c r="C1324" s="9">
        <v>46137</v>
      </c>
      <c r="D1324" s="10">
        <v>51912</v>
      </c>
    </row>
    <row r="1325" spans="1:4">
      <c r="A1325" t="s">
        <v>5</v>
      </c>
      <c r="B1325" t="s">
        <v>241</v>
      </c>
      <c r="C1325" s="9">
        <v>46137</v>
      </c>
      <c r="D1325" s="10">
        <v>43769</v>
      </c>
    </row>
    <row r="1326" spans="1:4">
      <c r="A1326" t="s">
        <v>5</v>
      </c>
      <c r="B1326" t="s">
        <v>104</v>
      </c>
      <c r="C1326" s="9">
        <v>46137</v>
      </c>
      <c r="D1326" s="10">
        <v>45311</v>
      </c>
    </row>
    <row r="1327" spans="1:4">
      <c r="A1327" t="s">
        <v>5</v>
      </c>
      <c r="B1327" t="s">
        <v>124</v>
      </c>
      <c r="C1327" s="9">
        <v>46137</v>
      </c>
      <c r="D1327" s="10">
        <v>45176</v>
      </c>
    </row>
    <row r="1328" spans="1:4">
      <c r="A1328" t="s">
        <v>4</v>
      </c>
      <c r="B1328" t="s">
        <v>149</v>
      </c>
      <c r="C1328" s="9">
        <v>46138</v>
      </c>
      <c r="D1328" s="10">
        <v>36427</v>
      </c>
    </row>
    <row r="1329" spans="1:4">
      <c r="A1329" t="s">
        <v>4</v>
      </c>
      <c r="B1329" t="s">
        <v>194</v>
      </c>
      <c r="C1329" s="9">
        <v>46138</v>
      </c>
      <c r="D1329" s="10">
        <v>42131</v>
      </c>
    </row>
    <row r="1330" spans="1:4">
      <c r="A1330" t="s">
        <v>4</v>
      </c>
      <c r="B1330" t="s">
        <v>57</v>
      </c>
      <c r="C1330" s="9">
        <v>46138</v>
      </c>
      <c r="D1330" s="10">
        <v>39123</v>
      </c>
    </row>
    <row r="1331" spans="1:4">
      <c r="A1331" t="s">
        <v>8</v>
      </c>
      <c r="B1331" t="s">
        <v>238</v>
      </c>
      <c r="C1331" s="9">
        <v>46138</v>
      </c>
      <c r="D1331" s="10">
        <v>15936</v>
      </c>
    </row>
    <row r="1332" spans="1:4">
      <c r="A1332" t="s">
        <v>8</v>
      </c>
      <c r="B1332" t="s">
        <v>93</v>
      </c>
      <c r="C1332" s="9">
        <v>46138</v>
      </c>
      <c r="D1332" s="10">
        <v>18194</v>
      </c>
    </row>
    <row r="1333" spans="1:4">
      <c r="A1333" t="s">
        <v>7</v>
      </c>
      <c r="B1333" t="s">
        <v>173</v>
      </c>
      <c r="C1333" s="9">
        <v>46138</v>
      </c>
      <c r="D1333" s="10">
        <v>19775</v>
      </c>
    </row>
    <row r="1334" spans="1:4">
      <c r="A1334" t="s">
        <v>7</v>
      </c>
      <c r="B1334" t="s">
        <v>174</v>
      </c>
      <c r="C1334" s="9">
        <v>46138</v>
      </c>
      <c r="D1334" s="10">
        <v>29144</v>
      </c>
    </row>
    <row r="1335" spans="1:4">
      <c r="A1335" t="s">
        <v>9</v>
      </c>
      <c r="B1335" t="s">
        <v>195</v>
      </c>
      <c r="C1335" s="9">
        <v>46138</v>
      </c>
      <c r="D1335" s="10">
        <v>32937</v>
      </c>
    </row>
    <row r="1336" spans="1:4">
      <c r="A1336" t="s">
        <v>5</v>
      </c>
      <c r="B1336" t="s">
        <v>187</v>
      </c>
      <c r="C1336" s="9">
        <v>46138</v>
      </c>
      <c r="D1336" s="10">
        <v>39819</v>
      </c>
    </row>
    <row r="1337" spans="1:4">
      <c r="A1337" t="s">
        <v>27</v>
      </c>
      <c r="B1337" t="s">
        <v>260</v>
      </c>
      <c r="C1337" s="9">
        <v>46139</v>
      </c>
      <c r="D1337" s="10">
        <v>9780</v>
      </c>
    </row>
    <row r="1338" spans="1:4">
      <c r="A1338" t="s">
        <v>38</v>
      </c>
      <c r="B1338" t="s">
        <v>212</v>
      </c>
      <c r="C1338" s="9">
        <v>46139</v>
      </c>
      <c r="D1338" s="10">
        <v>13419</v>
      </c>
    </row>
    <row r="1339" spans="1:4">
      <c r="A1339" t="s">
        <v>31</v>
      </c>
      <c r="B1339" t="s">
        <v>90</v>
      </c>
      <c r="C1339" s="9">
        <v>46139</v>
      </c>
      <c r="D1339" s="10">
        <v>13469</v>
      </c>
    </row>
    <row r="1340" spans="1:4">
      <c r="A1340" t="s">
        <v>31</v>
      </c>
      <c r="B1340" t="s">
        <v>107</v>
      </c>
      <c r="C1340" s="9">
        <v>46139</v>
      </c>
      <c r="D1340" s="10">
        <v>16502</v>
      </c>
    </row>
    <row r="1341" spans="1:4">
      <c r="A1341" t="s">
        <v>26</v>
      </c>
      <c r="B1341" t="s">
        <v>265</v>
      </c>
      <c r="C1341" s="9">
        <v>46139</v>
      </c>
      <c r="D1341" s="10">
        <v>8583</v>
      </c>
    </row>
    <row r="1342" spans="1:4">
      <c r="A1342" t="s">
        <v>30</v>
      </c>
      <c r="B1342" t="s">
        <v>236</v>
      </c>
      <c r="C1342" s="9">
        <v>46139</v>
      </c>
      <c r="D1342" s="10">
        <v>12434</v>
      </c>
    </row>
    <row r="1343" spans="1:4">
      <c r="A1343" t="s">
        <v>6</v>
      </c>
      <c r="B1343" t="s">
        <v>184</v>
      </c>
      <c r="C1343" s="9">
        <v>46139</v>
      </c>
      <c r="D1343" s="10">
        <v>18165</v>
      </c>
    </row>
    <row r="1344" spans="1:4">
      <c r="A1344" t="s">
        <v>6</v>
      </c>
      <c r="B1344" t="s">
        <v>75</v>
      </c>
      <c r="C1344" s="9">
        <v>46139</v>
      </c>
      <c r="D1344" s="10">
        <v>28104</v>
      </c>
    </row>
    <row r="1345" spans="1:4">
      <c r="A1345" t="s">
        <v>7</v>
      </c>
      <c r="B1345" t="s">
        <v>208</v>
      </c>
      <c r="C1345" s="9">
        <v>46139</v>
      </c>
      <c r="D1345" s="10">
        <v>30211</v>
      </c>
    </row>
    <row r="1346" spans="1:4">
      <c r="A1346" t="s">
        <v>9</v>
      </c>
      <c r="B1346" t="s">
        <v>185</v>
      </c>
      <c r="C1346" s="9">
        <v>46139</v>
      </c>
      <c r="D1346" s="10">
        <v>29425</v>
      </c>
    </row>
    <row r="1347" spans="1:4">
      <c r="A1347" t="s">
        <v>5</v>
      </c>
      <c r="B1347" t="s">
        <v>123</v>
      </c>
      <c r="C1347" s="9">
        <v>46139</v>
      </c>
      <c r="D1347" s="10">
        <v>44779</v>
      </c>
    </row>
    <row r="1348" spans="1:4">
      <c r="A1348" t="s">
        <v>5</v>
      </c>
      <c r="B1348" t="s">
        <v>82</v>
      </c>
      <c r="C1348" s="9">
        <v>46139</v>
      </c>
      <c r="D1348" s="10">
        <v>41118</v>
      </c>
    </row>
    <row r="1349" spans="1:4">
      <c r="A1349" t="s">
        <v>5</v>
      </c>
      <c r="B1349" t="s">
        <v>87</v>
      </c>
      <c r="C1349" s="9">
        <v>46139</v>
      </c>
      <c r="D1349" s="10">
        <v>44424</v>
      </c>
    </row>
    <row r="1350" spans="1:4">
      <c r="A1350" t="s">
        <v>5</v>
      </c>
      <c r="B1350" t="s">
        <v>103</v>
      </c>
      <c r="C1350" s="9">
        <v>46139</v>
      </c>
      <c r="D1350" s="10">
        <v>41820</v>
      </c>
    </row>
    <row r="1351" spans="1:4">
      <c r="A1351" t="s">
        <v>5</v>
      </c>
      <c r="B1351" t="s">
        <v>104</v>
      </c>
      <c r="C1351" s="9">
        <v>46139</v>
      </c>
      <c r="D1351" s="10">
        <v>56950</v>
      </c>
    </row>
    <row r="1352" spans="1:4">
      <c r="A1352" t="s">
        <v>25</v>
      </c>
      <c r="B1352" t="s">
        <v>277</v>
      </c>
      <c r="C1352" s="9">
        <v>46140</v>
      </c>
      <c r="D1352" s="10">
        <v>17953</v>
      </c>
    </row>
    <row r="1353" spans="1:4">
      <c r="A1353" t="s">
        <v>25</v>
      </c>
      <c r="B1353" t="s">
        <v>220</v>
      </c>
      <c r="C1353" s="9">
        <v>46140</v>
      </c>
      <c r="D1353" s="10">
        <v>15631</v>
      </c>
    </row>
    <row r="1354" spans="1:4">
      <c r="A1354" t="s">
        <v>26</v>
      </c>
      <c r="B1354" t="s">
        <v>271</v>
      </c>
      <c r="C1354" s="9">
        <v>46140</v>
      </c>
      <c r="D1354" s="10">
        <v>5977</v>
      </c>
    </row>
    <row r="1355" spans="1:4">
      <c r="A1355" t="s">
        <v>30</v>
      </c>
      <c r="B1355" t="s">
        <v>108</v>
      </c>
      <c r="C1355" s="9">
        <v>46140</v>
      </c>
      <c r="D1355" s="10">
        <v>5200</v>
      </c>
    </row>
    <row r="1356" spans="1:4">
      <c r="A1356" t="s">
        <v>6</v>
      </c>
      <c r="B1356" t="s">
        <v>286</v>
      </c>
      <c r="C1356" s="9">
        <v>46140</v>
      </c>
      <c r="D1356" s="10">
        <v>40779</v>
      </c>
    </row>
    <row r="1357" spans="1:4">
      <c r="A1357" t="s">
        <v>7</v>
      </c>
      <c r="B1357" t="s">
        <v>288</v>
      </c>
      <c r="C1357" s="9">
        <v>46140</v>
      </c>
      <c r="D1357" s="10">
        <v>22987</v>
      </c>
    </row>
    <row r="1358" spans="1:4">
      <c r="A1358" t="s">
        <v>7</v>
      </c>
      <c r="B1358" t="s">
        <v>176</v>
      </c>
      <c r="C1358" s="9">
        <v>46140</v>
      </c>
      <c r="D1358" s="10">
        <v>25105</v>
      </c>
    </row>
    <row r="1359" spans="1:4">
      <c r="A1359" t="s">
        <v>9</v>
      </c>
      <c r="B1359" t="s">
        <v>216</v>
      </c>
      <c r="C1359" s="9">
        <v>46140</v>
      </c>
      <c r="D1359" s="10">
        <v>42386</v>
      </c>
    </row>
    <row r="1360" spans="1:4">
      <c r="A1360" t="s">
        <v>9</v>
      </c>
      <c r="B1360" t="s">
        <v>112</v>
      </c>
      <c r="C1360" s="9">
        <v>46140</v>
      </c>
      <c r="D1360" s="10">
        <v>35776</v>
      </c>
    </row>
    <row r="1361" spans="1:4">
      <c r="A1361" t="s">
        <v>9</v>
      </c>
      <c r="B1361" t="s">
        <v>138</v>
      </c>
      <c r="C1361" s="9">
        <v>46140</v>
      </c>
      <c r="D1361" s="10">
        <v>36596</v>
      </c>
    </row>
    <row r="1362" spans="1:4">
      <c r="A1362" t="s">
        <v>9</v>
      </c>
      <c r="B1362" t="s">
        <v>138</v>
      </c>
      <c r="C1362" s="9">
        <v>46140</v>
      </c>
      <c r="D1362" s="10">
        <v>36333</v>
      </c>
    </row>
    <row r="1363" spans="1:4">
      <c r="A1363" t="s">
        <v>9</v>
      </c>
      <c r="B1363" t="s">
        <v>293</v>
      </c>
      <c r="C1363" s="9">
        <v>46140</v>
      </c>
      <c r="D1363" s="10">
        <v>60359</v>
      </c>
    </row>
    <row r="1364" spans="1:4">
      <c r="A1364" t="s">
        <v>9</v>
      </c>
      <c r="B1364" t="s">
        <v>234</v>
      </c>
      <c r="C1364" s="9">
        <v>46140</v>
      </c>
      <c r="D1364" s="10">
        <v>46690</v>
      </c>
    </row>
    <row r="1365" spans="1:4">
      <c r="A1365" t="s">
        <v>5</v>
      </c>
      <c r="B1365" t="s">
        <v>62</v>
      </c>
      <c r="C1365" s="9">
        <v>46140</v>
      </c>
      <c r="D1365" s="10">
        <v>57257</v>
      </c>
    </row>
    <row r="1366" spans="1:4">
      <c r="A1366" t="s">
        <v>5</v>
      </c>
      <c r="B1366" t="s">
        <v>210</v>
      </c>
      <c r="C1366" s="9">
        <v>46140</v>
      </c>
      <c r="D1366" s="10">
        <v>44084</v>
      </c>
    </row>
    <row r="1367" spans="1:4">
      <c r="A1367" t="s">
        <v>5</v>
      </c>
      <c r="B1367" t="s">
        <v>203</v>
      </c>
      <c r="C1367" s="9">
        <v>46140</v>
      </c>
      <c r="D1367" s="10">
        <v>30844</v>
      </c>
    </row>
    <row r="1368" spans="1:4">
      <c r="A1368" t="s">
        <v>5</v>
      </c>
      <c r="B1368" t="s">
        <v>156</v>
      </c>
      <c r="C1368" s="9">
        <v>46140</v>
      </c>
      <c r="D1368" s="10">
        <v>47207</v>
      </c>
    </row>
    <row r="1369" spans="1:4">
      <c r="A1369" t="s">
        <v>5</v>
      </c>
      <c r="B1369" t="s">
        <v>140</v>
      </c>
      <c r="C1369" s="9">
        <v>46140</v>
      </c>
      <c r="D1369" s="10">
        <v>36218</v>
      </c>
    </row>
    <row r="1370" spans="1:4">
      <c r="A1370" t="s">
        <v>4</v>
      </c>
      <c r="B1370" t="s">
        <v>214</v>
      </c>
      <c r="C1370" s="9">
        <v>46141</v>
      </c>
      <c r="D1370" s="10">
        <v>24346</v>
      </c>
    </row>
    <row r="1371" spans="1:4">
      <c r="A1371" t="s">
        <v>25</v>
      </c>
      <c r="B1371" t="s">
        <v>282</v>
      </c>
      <c r="C1371" s="9">
        <v>46141</v>
      </c>
      <c r="D1371" s="10">
        <v>23328</v>
      </c>
    </row>
    <row r="1372" spans="1:4">
      <c r="A1372" t="s">
        <v>8</v>
      </c>
      <c r="B1372" t="s">
        <v>256</v>
      </c>
      <c r="C1372" s="9">
        <v>46141</v>
      </c>
      <c r="D1372" s="10">
        <v>21652</v>
      </c>
    </row>
    <row r="1373" spans="1:4">
      <c r="A1373" t="s">
        <v>29</v>
      </c>
      <c r="B1373" t="s">
        <v>84</v>
      </c>
      <c r="C1373" s="9">
        <v>46141</v>
      </c>
      <c r="D1373" s="10">
        <v>15759</v>
      </c>
    </row>
    <row r="1374" spans="1:4">
      <c r="A1374" t="s">
        <v>9</v>
      </c>
      <c r="B1374" t="s">
        <v>246</v>
      </c>
      <c r="C1374" s="9">
        <v>46141</v>
      </c>
      <c r="D1374" s="10">
        <v>27853</v>
      </c>
    </row>
    <row r="1375" spans="1:4">
      <c r="A1375" t="s">
        <v>5</v>
      </c>
      <c r="B1375" t="s">
        <v>69</v>
      </c>
      <c r="C1375" s="9">
        <v>46141</v>
      </c>
      <c r="D1375" s="10">
        <v>36182</v>
      </c>
    </row>
    <row r="1376" spans="1:4">
      <c r="A1376" t="s">
        <v>5</v>
      </c>
      <c r="B1376" t="s">
        <v>70</v>
      </c>
      <c r="C1376" s="9">
        <v>46141</v>
      </c>
      <c r="D1376" s="10">
        <v>49001</v>
      </c>
    </row>
    <row r="1377" spans="1:4">
      <c r="A1377" t="s">
        <v>5</v>
      </c>
      <c r="B1377" t="s">
        <v>148</v>
      </c>
      <c r="C1377" s="9">
        <v>46141</v>
      </c>
      <c r="D1377" s="10">
        <v>43000</v>
      </c>
    </row>
    <row r="1378" spans="1:4">
      <c r="A1378" t="s">
        <v>5</v>
      </c>
      <c r="B1378" t="s">
        <v>168</v>
      </c>
      <c r="C1378" s="9">
        <v>46141</v>
      </c>
      <c r="D1378" s="10">
        <v>43486</v>
      </c>
    </row>
    <row r="1379" spans="1:4">
      <c r="A1379" t="s">
        <v>5</v>
      </c>
      <c r="B1379" t="s">
        <v>88</v>
      </c>
      <c r="C1379" s="9">
        <v>46141</v>
      </c>
      <c r="D1379" s="10">
        <v>52627</v>
      </c>
    </row>
    <row r="1380" spans="1:4">
      <c r="A1380" t="s">
        <v>4</v>
      </c>
      <c r="B1380" t="s">
        <v>214</v>
      </c>
      <c r="C1380" s="9">
        <v>46142</v>
      </c>
      <c r="D1380" s="10">
        <v>27389</v>
      </c>
    </row>
    <row r="1381" spans="1:4">
      <c r="A1381" t="s">
        <v>4</v>
      </c>
      <c r="B1381" t="s">
        <v>235</v>
      </c>
      <c r="C1381" s="9">
        <v>46142</v>
      </c>
      <c r="D1381" s="10">
        <v>34843</v>
      </c>
    </row>
    <row r="1382" spans="1:4">
      <c r="A1382" t="s">
        <v>31</v>
      </c>
      <c r="B1382" t="s">
        <v>129</v>
      </c>
      <c r="C1382" s="9">
        <v>46142</v>
      </c>
      <c r="D1382" s="10">
        <v>12727</v>
      </c>
    </row>
    <row r="1383" spans="1:4">
      <c r="A1383" t="s">
        <v>26</v>
      </c>
      <c r="B1383" t="s">
        <v>162</v>
      </c>
      <c r="C1383" s="9">
        <v>46142</v>
      </c>
      <c r="D1383" s="10">
        <v>14920</v>
      </c>
    </row>
    <row r="1384" spans="1:4">
      <c r="A1384" t="s">
        <v>8</v>
      </c>
      <c r="B1384" t="s">
        <v>132</v>
      </c>
      <c r="C1384" s="9">
        <v>46142</v>
      </c>
      <c r="D1384" s="10">
        <v>19243</v>
      </c>
    </row>
    <row r="1385" spans="1:4">
      <c r="A1385" t="s">
        <v>29</v>
      </c>
      <c r="B1385" t="s">
        <v>109</v>
      </c>
      <c r="C1385" s="9">
        <v>46142</v>
      </c>
      <c r="D1385" s="10">
        <v>28357</v>
      </c>
    </row>
    <row r="1386" spans="1:4">
      <c r="A1386" t="s">
        <v>7</v>
      </c>
      <c r="B1386" t="s">
        <v>153</v>
      </c>
      <c r="C1386" s="9">
        <v>46142</v>
      </c>
      <c r="D1386" s="10">
        <v>26046</v>
      </c>
    </row>
    <row r="1387" spans="1:4">
      <c r="A1387" t="s">
        <v>9</v>
      </c>
      <c r="B1387" t="s">
        <v>240</v>
      </c>
      <c r="C1387" s="9">
        <v>46142</v>
      </c>
      <c r="D1387" s="10">
        <v>28654</v>
      </c>
    </row>
    <row r="1388" spans="1:4">
      <c r="A1388" t="s">
        <v>5</v>
      </c>
      <c r="B1388" t="s">
        <v>80</v>
      </c>
      <c r="C1388" s="9">
        <v>46142</v>
      </c>
      <c r="D1388" s="10">
        <v>48699</v>
      </c>
    </row>
    <row r="1389" spans="1:4">
      <c r="A1389" t="s">
        <v>5</v>
      </c>
      <c r="B1389" t="s">
        <v>80</v>
      </c>
      <c r="C1389" s="9">
        <v>46142</v>
      </c>
      <c r="D1389" s="10">
        <v>43046</v>
      </c>
    </row>
    <row r="1390" spans="1:4">
      <c r="A1390" t="s">
        <v>4</v>
      </c>
      <c r="B1390" t="s">
        <v>139</v>
      </c>
      <c r="C1390" s="9">
        <v>46143</v>
      </c>
      <c r="D1390" s="10">
        <v>36637</v>
      </c>
    </row>
    <row r="1391" spans="1:4">
      <c r="A1391" t="s">
        <v>4</v>
      </c>
      <c r="B1391" t="s">
        <v>142</v>
      </c>
      <c r="C1391" s="9">
        <v>46143</v>
      </c>
      <c r="D1391" s="10">
        <v>21402</v>
      </c>
    </row>
    <row r="1392" spans="1:4">
      <c r="A1392" t="s">
        <v>4</v>
      </c>
      <c r="B1392" t="s">
        <v>155</v>
      </c>
      <c r="C1392" s="9">
        <v>46143</v>
      </c>
      <c r="D1392" s="10">
        <v>58020</v>
      </c>
    </row>
    <row r="1393" spans="1:4">
      <c r="A1393" t="s">
        <v>6</v>
      </c>
      <c r="B1393" t="s">
        <v>136</v>
      </c>
      <c r="C1393" s="9">
        <v>46143</v>
      </c>
      <c r="D1393" s="10">
        <v>28839</v>
      </c>
    </row>
    <row r="1394" spans="1:4">
      <c r="A1394" t="s">
        <v>7</v>
      </c>
      <c r="B1394" t="s">
        <v>78</v>
      </c>
      <c r="C1394" s="9">
        <v>46143</v>
      </c>
      <c r="D1394" s="10">
        <v>24156</v>
      </c>
    </row>
    <row r="1395" spans="1:4">
      <c r="A1395" t="s">
        <v>9</v>
      </c>
      <c r="B1395" t="s">
        <v>85</v>
      </c>
      <c r="C1395" s="9">
        <v>46143</v>
      </c>
      <c r="D1395" s="10">
        <v>38018</v>
      </c>
    </row>
    <row r="1396" spans="1:4">
      <c r="A1396" t="s">
        <v>5</v>
      </c>
      <c r="B1396" t="s">
        <v>187</v>
      </c>
      <c r="C1396" s="9">
        <v>46143</v>
      </c>
      <c r="D1396" s="10">
        <v>38135</v>
      </c>
    </row>
    <row r="1397" spans="1:4">
      <c r="A1397" t="s">
        <v>5</v>
      </c>
      <c r="B1397" t="s">
        <v>81</v>
      </c>
      <c r="C1397" s="9">
        <v>46143</v>
      </c>
      <c r="D1397" s="10">
        <v>47450</v>
      </c>
    </row>
    <row r="1398" spans="1:4">
      <c r="A1398" t="s">
        <v>5</v>
      </c>
      <c r="B1398" t="s">
        <v>211</v>
      </c>
      <c r="C1398" s="9">
        <v>46143</v>
      </c>
      <c r="D1398" s="10">
        <v>31173</v>
      </c>
    </row>
    <row r="1399" spans="1:4">
      <c r="A1399" t="s">
        <v>5</v>
      </c>
      <c r="B1399" t="s">
        <v>127</v>
      </c>
      <c r="C1399" s="9">
        <v>46143</v>
      </c>
      <c r="D1399" s="10">
        <v>29165</v>
      </c>
    </row>
    <row r="1400" spans="1:4">
      <c r="A1400" t="s">
        <v>5</v>
      </c>
      <c r="B1400" t="s">
        <v>140</v>
      </c>
      <c r="C1400" s="9">
        <v>46143</v>
      </c>
      <c r="D1400" s="10">
        <v>35128</v>
      </c>
    </row>
    <row r="1401" spans="1:4">
      <c r="A1401" t="s">
        <v>4</v>
      </c>
      <c r="B1401" t="s">
        <v>226</v>
      </c>
      <c r="C1401" s="9">
        <v>46144</v>
      </c>
      <c r="D1401" s="10">
        <v>17507</v>
      </c>
    </row>
    <row r="1402" spans="1:4">
      <c r="A1402" t="s">
        <v>4</v>
      </c>
      <c r="B1402" t="s">
        <v>158</v>
      </c>
      <c r="C1402" s="9">
        <v>46144</v>
      </c>
      <c r="D1402" s="10">
        <v>29232</v>
      </c>
    </row>
    <row r="1403" spans="1:4">
      <c r="A1403" t="s">
        <v>4</v>
      </c>
      <c r="B1403" t="s">
        <v>175</v>
      </c>
      <c r="C1403" s="9">
        <v>46144</v>
      </c>
      <c r="D1403" s="10">
        <v>31148</v>
      </c>
    </row>
    <row r="1404" spans="1:4">
      <c r="A1404" t="s">
        <v>8</v>
      </c>
      <c r="B1404" t="s">
        <v>250</v>
      </c>
      <c r="C1404" s="9">
        <v>46144</v>
      </c>
      <c r="D1404" s="10">
        <v>9630</v>
      </c>
    </row>
    <row r="1405" spans="1:4">
      <c r="A1405" t="s">
        <v>8</v>
      </c>
      <c r="B1405" t="s">
        <v>93</v>
      </c>
      <c r="C1405" s="9">
        <v>46144</v>
      </c>
      <c r="D1405" s="10">
        <v>18320</v>
      </c>
    </row>
    <row r="1406" spans="1:4">
      <c r="A1406" t="s">
        <v>6</v>
      </c>
      <c r="B1406" t="s">
        <v>200</v>
      </c>
      <c r="C1406" s="9">
        <v>46144</v>
      </c>
      <c r="D1406" s="10">
        <v>44982</v>
      </c>
    </row>
    <row r="1407" spans="1:4">
      <c r="A1407" t="s">
        <v>9</v>
      </c>
      <c r="B1407" t="s">
        <v>240</v>
      </c>
      <c r="C1407" s="9">
        <v>46144</v>
      </c>
      <c r="D1407" s="10">
        <v>57960</v>
      </c>
    </row>
    <row r="1408" spans="1:4">
      <c r="A1408" t="s">
        <v>5</v>
      </c>
      <c r="B1408" t="s">
        <v>188</v>
      </c>
      <c r="C1408" s="9">
        <v>46144</v>
      </c>
      <c r="D1408" s="10">
        <v>35920</v>
      </c>
    </row>
    <row r="1409" spans="1:4">
      <c r="A1409" t="s">
        <v>5</v>
      </c>
      <c r="B1409" t="s">
        <v>82</v>
      </c>
      <c r="C1409" s="9">
        <v>46144</v>
      </c>
      <c r="D1409" s="10">
        <v>45021</v>
      </c>
    </row>
    <row r="1410" spans="1:4">
      <c r="A1410" t="s">
        <v>5</v>
      </c>
      <c r="B1410" t="s">
        <v>140</v>
      </c>
      <c r="C1410" s="9">
        <v>46144</v>
      </c>
      <c r="D1410" s="10">
        <v>37239</v>
      </c>
    </row>
    <row r="1411" spans="1:4">
      <c r="A1411" t="s">
        <v>35</v>
      </c>
      <c r="B1411" t="s">
        <v>259</v>
      </c>
      <c r="C1411" s="9">
        <v>46145</v>
      </c>
      <c r="D1411" s="10">
        <v>12811</v>
      </c>
    </row>
    <row r="1412" spans="1:4">
      <c r="A1412" t="s">
        <v>28</v>
      </c>
      <c r="B1412" t="s">
        <v>64</v>
      </c>
      <c r="C1412" s="9">
        <v>46145</v>
      </c>
      <c r="D1412" s="10">
        <v>12204</v>
      </c>
    </row>
    <row r="1413" spans="1:4">
      <c r="A1413" t="s">
        <v>30</v>
      </c>
      <c r="B1413" t="s">
        <v>236</v>
      </c>
      <c r="C1413" s="9">
        <v>46145</v>
      </c>
      <c r="D1413" s="10">
        <v>12803</v>
      </c>
    </row>
    <row r="1414" spans="1:4">
      <c r="A1414" t="s">
        <v>6</v>
      </c>
      <c r="B1414" t="s">
        <v>163</v>
      </c>
      <c r="C1414" s="9">
        <v>46145</v>
      </c>
      <c r="D1414" s="10">
        <v>40184</v>
      </c>
    </row>
    <row r="1415" spans="1:4">
      <c r="A1415" t="s">
        <v>6</v>
      </c>
      <c r="B1415" t="s">
        <v>171</v>
      </c>
      <c r="C1415" s="9">
        <v>46145</v>
      </c>
      <c r="D1415" s="10">
        <v>21723</v>
      </c>
    </row>
    <row r="1416" spans="1:4">
      <c r="A1416" t="s">
        <v>33</v>
      </c>
      <c r="B1416" t="s">
        <v>253</v>
      </c>
      <c r="C1416" s="9">
        <v>46145</v>
      </c>
      <c r="D1416" s="10">
        <v>14070</v>
      </c>
    </row>
    <row r="1417" spans="1:4">
      <c r="A1417" t="s">
        <v>5</v>
      </c>
      <c r="B1417" t="s">
        <v>114</v>
      </c>
      <c r="C1417" s="9">
        <v>46145</v>
      </c>
      <c r="D1417" s="10">
        <v>36945</v>
      </c>
    </row>
    <row r="1418" spans="1:4">
      <c r="A1418" t="s">
        <v>5</v>
      </c>
      <c r="B1418" t="s">
        <v>62</v>
      </c>
      <c r="C1418" s="9">
        <v>46145</v>
      </c>
      <c r="D1418" s="10">
        <v>41973</v>
      </c>
    </row>
    <row r="1419" spans="1:4">
      <c r="A1419" t="s">
        <v>5</v>
      </c>
      <c r="B1419" t="s">
        <v>159</v>
      </c>
      <c r="C1419" s="9">
        <v>46145</v>
      </c>
      <c r="D1419" s="10">
        <v>42169</v>
      </c>
    </row>
    <row r="1420" spans="1:4">
      <c r="A1420" t="s">
        <v>5</v>
      </c>
      <c r="B1420" t="s">
        <v>128</v>
      </c>
      <c r="C1420" s="9">
        <v>46145</v>
      </c>
      <c r="D1420" s="10">
        <v>27341</v>
      </c>
    </row>
    <row r="1421" spans="1:4">
      <c r="A1421" t="s">
        <v>6</v>
      </c>
      <c r="B1421" t="s">
        <v>177</v>
      </c>
      <c r="C1421" s="9">
        <v>46146</v>
      </c>
      <c r="D1421" s="10">
        <v>20850</v>
      </c>
    </row>
    <row r="1422" spans="1:4">
      <c r="A1422" t="s">
        <v>6</v>
      </c>
      <c r="B1422" t="s">
        <v>172</v>
      </c>
      <c r="C1422" s="9">
        <v>46146</v>
      </c>
      <c r="D1422" s="10">
        <v>18748</v>
      </c>
    </row>
    <row r="1423" spans="1:4">
      <c r="A1423" t="s">
        <v>29</v>
      </c>
      <c r="B1423" t="s">
        <v>84</v>
      </c>
      <c r="C1423" s="9">
        <v>46146</v>
      </c>
      <c r="D1423" s="10">
        <v>15717</v>
      </c>
    </row>
    <row r="1424" spans="1:4">
      <c r="A1424" t="s">
        <v>7</v>
      </c>
      <c r="B1424" t="s">
        <v>119</v>
      </c>
      <c r="C1424" s="9">
        <v>46146</v>
      </c>
      <c r="D1424" s="10">
        <v>23718</v>
      </c>
    </row>
    <row r="1425" spans="1:4">
      <c r="A1425" t="s">
        <v>9</v>
      </c>
      <c r="B1425" t="s">
        <v>201</v>
      </c>
      <c r="C1425" s="9">
        <v>46146</v>
      </c>
      <c r="D1425" s="10">
        <v>41800</v>
      </c>
    </row>
    <row r="1426" spans="1:4">
      <c r="A1426" t="s">
        <v>9</v>
      </c>
      <c r="B1426" t="s">
        <v>201</v>
      </c>
      <c r="C1426" s="9">
        <v>46146</v>
      </c>
      <c r="D1426" s="10">
        <v>33758</v>
      </c>
    </row>
    <row r="1427" spans="1:4">
      <c r="A1427" t="s">
        <v>9</v>
      </c>
      <c r="B1427" t="s">
        <v>137</v>
      </c>
      <c r="C1427" s="9">
        <v>46146</v>
      </c>
      <c r="D1427" s="10">
        <v>20975</v>
      </c>
    </row>
    <row r="1428" spans="1:4">
      <c r="A1428" t="s">
        <v>9</v>
      </c>
      <c r="B1428" t="s">
        <v>246</v>
      </c>
      <c r="C1428" s="9">
        <v>46146</v>
      </c>
      <c r="D1428" s="10">
        <v>15875</v>
      </c>
    </row>
    <row r="1429" spans="1:4">
      <c r="A1429" t="s">
        <v>9</v>
      </c>
      <c r="B1429" t="s">
        <v>166</v>
      </c>
      <c r="C1429" s="9">
        <v>46146</v>
      </c>
      <c r="D1429" s="10">
        <v>58816</v>
      </c>
    </row>
    <row r="1430" spans="1:4">
      <c r="A1430" t="s">
        <v>5</v>
      </c>
      <c r="B1430" t="s">
        <v>241</v>
      </c>
      <c r="C1430" s="9">
        <v>46146</v>
      </c>
      <c r="D1430" s="10">
        <v>40142</v>
      </c>
    </row>
    <row r="1431" spans="1:4">
      <c r="A1431" t="s">
        <v>5</v>
      </c>
      <c r="B1431" t="s">
        <v>86</v>
      </c>
      <c r="C1431" s="9">
        <v>46146</v>
      </c>
      <c r="D1431" s="10">
        <v>34722</v>
      </c>
    </row>
    <row r="1432" spans="1:4">
      <c r="A1432" t="s">
        <v>5</v>
      </c>
      <c r="B1432" t="s">
        <v>203</v>
      </c>
      <c r="C1432" s="9">
        <v>46146</v>
      </c>
      <c r="D1432" s="10">
        <v>38073</v>
      </c>
    </row>
    <row r="1433" spans="1:4">
      <c r="A1433" t="s">
        <v>5</v>
      </c>
      <c r="B1433" t="s">
        <v>159</v>
      </c>
      <c r="C1433" s="9">
        <v>46146</v>
      </c>
      <c r="D1433" s="10">
        <v>34127</v>
      </c>
    </row>
    <row r="1434" spans="1:4">
      <c r="A1434" t="s">
        <v>27</v>
      </c>
      <c r="B1434" t="s">
        <v>217</v>
      </c>
      <c r="C1434" s="9">
        <v>46147</v>
      </c>
      <c r="D1434" s="10">
        <v>14334</v>
      </c>
    </row>
    <row r="1435" spans="1:4">
      <c r="A1435" t="s">
        <v>4</v>
      </c>
      <c r="B1435" t="s">
        <v>157</v>
      </c>
      <c r="C1435" s="9">
        <v>46147</v>
      </c>
      <c r="D1435" s="10">
        <v>24774</v>
      </c>
    </row>
    <row r="1436" spans="1:4">
      <c r="A1436" t="s">
        <v>26</v>
      </c>
      <c r="B1436" t="s">
        <v>281</v>
      </c>
      <c r="C1436" s="9">
        <v>46147</v>
      </c>
      <c r="D1436" s="10">
        <v>5226</v>
      </c>
    </row>
    <row r="1437" spans="1:4">
      <c r="A1437" t="s">
        <v>26</v>
      </c>
      <c r="B1437" t="s">
        <v>221</v>
      </c>
      <c r="C1437" s="9">
        <v>46147</v>
      </c>
      <c r="D1437" s="10">
        <v>14233</v>
      </c>
    </row>
    <row r="1438" spans="1:4">
      <c r="A1438" t="s">
        <v>29</v>
      </c>
      <c r="B1438" t="s">
        <v>254</v>
      </c>
      <c r="C1438" s="9">
        <v>46147</v>
      </c>
      <c r="D1438" s="10">
        <v>12570</v>
      </c>
    </row>
    <row r="1439" spans="1:4">
      <c r="A1439" t="s">
        <v>9</v>
      </c>
      <c r="B1439" t="s">
        <v>101</v>
      </c>
      <c r="C1439" s="9">
        <v>46147</v>
      </c>
      <c r="D1439" s="10">
        <v>31468</v>
      </c>
    </row>
    <row r="1440" spans="1:4">
      <c r="A1440" t="s">
        <v>5</v>
      </c>
      <c r="B1440" t="s">
        <v>72</v>
      </c>
      <c r="C1440" s="9">
        <v>46147</v>
      </c>
      <c r="D1440" s="10">
        <v>33885</v>
      </c>
    </row>
    <row r="1441" spans="1:4">
      <c r="A1441" t="s">
        <v>5</v>
      </c>
      <c r="B1441" t="s">
        <v>224</v>
      </c>
      <c r="C1441" s="9">
        <v>46147</v>
      </c>
      <c r="D1441" s="10">
        <v>51057</v>
      </c>
    </row>
    <row r="1442" spans="1:4">
      <c r="A1442" t="s">
        <v>5</v>
      </c>
      <c r="B1442" t="s">
        <v>103</v>
      </c>
      <c r="C1442" s="9">
        <v>46147</v>
      </c>
      <c r="D1442" s="10">
        <v>31480</v>
      </c>
    </row>
    <row r="1443" spans="1:4">
      <c r="A1443" t="s">
        <v>4</v>
      </c>
      <c r="B1443" t="s">
        <v>242</v>
      </c>
      <c r="C1443" s="9">
        <v>46148</v>
      </c>
      <c r="D1443" s="10">
        <v>31879</v>
      </c>
    </row>
    <row r="1444" spans="1:4">
      <c r="A1444" t="s">
        <v>25</v>
      </c>
      <c r="B1444" t="s">
        <v>277</v>
      </c>
      <c r="C1444" s="9">
        <v>46148</v>
      </c>
      <c r="D1444" s="10">
        <v>10589</v>
      </c>
    </row>
    <row r="1445" spans="1:4">
      <c r="A1445" t="s">
        <v>32</v>
      </c>
      <c r="B1445" t="s">
        <v>145</v>
      </c>
      <c r="C1445" s="9">
        <v>46148</v>
      </c>
      <c r="D1445" s="10">
        <v>5200</v>
      </c>
    </row>
    <row r="1446" spans="1:4">
      <c r="A1446" t="s">
        <v>9</v>
      </c>
      <c r="B1446" t="s">
        <v>146</v>
      </c>
      <c r="C1446" s="9">
        <v>46148</v>
      </c>
      <c r="D1446" s="10">
        <v>40213</v>
      </c>
    </row>
    <row r="1447" spans="1:4">
      <c r="A1447" t="s">
        <v>9</v>
      </c>
      <c r="B1447" t="s">
        <v>185</v>
      </c>
      <c r="C1447" s="9">
        <v>46148</v>
      </c>
      <c r="D1447" s="10">
        <v>53121</v>
      </c>
    </row>
    <row r="1448" spans="1:4">
      <c r="A1448" t="s">
        <v>5</v>
      </c>
      <c r="B1448" t="s">
        <v>155</v>
      </c>
      <c r="C1448" s="9">
        <v>46148</v>
      </c>
      <c r="D1448" s="10">
        <v>64167</v>
      </c>
    </row>
    <row r="1449" spans="1:4">
      <c r="A1449" t="s">
        <v>5</v>
      </c>
      <c r="B1449" t="s">
        <v>159</v>
      </c>
      <c r="C1449" s="9">
        <v>46148</v>
      </c>
      <c r="D1449" s="10">
        <v>45004</v>
      </c>
    </row>
    <row r="1450" spans="1:4">
      <c r="A1450" t="s">
        <v>5</v>
      </c>
      <c r="B1450" t="s">
        <v>104</v>
      </c>
      <c r="C1450" s="9">
        <v>46148</v>
      </c>
      <c r="D1450" s="10">
        <v>43388</v>
      </c>
    </row>
    <row r="1451" spans="1:4">
      <c r="A1451" t="s">
        <v>5</v>
      </c>
      <c r="B1451" t="s">
        <v>128</v>
      </c>
      <c r="C1451" s="9">
        <v>46148</v>
      </c>
      <c r="D1451" s="10">
        <v>33596</v>
      </c>
    </row>
    <row r="1452" spans="1:4">
      <c r="A1452" t="s">
        <v>27</v>
      </c>
      <c r="B1452" t="s">
        <v>225</v>
      </c>
      <c r="C1452" s="9">
        <v>46149</v>
      </c>
      <c r="D1452" s="10">
        <v>17540</v>
      </c>
    </row>
    <row r="1453" spans="1:4">
      <c r="A1453" t="s">
        <v>4</v>
      </c>
      <c r="B1453" t="s">
        <v>263</v>
      </c>
      <c r="C1453" s="9">
        <v>46149</v>
      </c>
      <c r="D1453" s="10">
        <v>31404</v>
      </c>
    </row>
    <row r="1454" spans="1:4">
      <c r="A1454" t="s">
        <v>6</v>
      </c>
      <c r="B1454" t="s">
        <v>184</v>
      </c>
      <c r="C1454" s="9">
        <v>46149</v>
      </c>
      <c r="D1454" s="10">
        <v>18943</v>
      </c>
    </row>
    <row r="1455" spans="1:4">
      <c r="A1455" t="s">
        <v>37</v>
      </c>
      <c r="B1455" t="s">
        <v>186</v>
      </c>
      <c r="C1455" s="9">
        <v>46149</v>
      </c>
      <c r="D1455" s="10">
        <v>13464</v>
      </c>
    </row>
    <row r="1456" spans="1:4">
      <c r="A1456" t="s">
        <v>9</v>
      </c>
      <c r="B1456" t="s">
        <v>70</v>
      </c>
      <c r="C1456" s="9">
        <v>46149</v>
      </c>
      <c r="D1456" s="10">
        <v>57556</v>
      </c>
    </row>
    <row r="1457" spans="1:4">
      <c r="A1457" t="s">
        <v>9</v>
      </c>
      <c r="B1457" t="s">
        <v>202</v>
      </c>
      <c r="C1457" s="9">
        <v>46149</v>
      </c>
      <c r="D1457" s="10">
        <v>35528</v>
      </c>
    </row>
    <row r="1458" spans="1:4">
      <c r="A1458" t="s">
        <v>9</v>
      </c>
      <c r="B1458" t="s">
        <v>106</v>
      </c>
      <c r="C1458" s="9">
        <v>46149</v>
      </c>
      <c r="D1458" s="10">
        <v>29396</v>
      </c>
    </row>
    <row r="1459" spans="1:4">
      <c r="A1459" t="s">
        <v>5</v>
      </c>
      <c r="B1459" t="s">
        <v>209</v>
      </c>
      <c r="C1459" s="9">
        <v>46149</v>
      </c>
      <c r="D1459" s="10">
        <v>43764</v>
      </c>
    </row>
    <row r="1460" spans="1:4">
      <c r="A1460" t="s">
        <v>5</v>
      </c>
      <c r="B1460" t="s">
        <v>154</v>
      </c>
      <c r="C1460" s="9">
        <v>46149</v>
      </c>
      <c r="D1460" s="10">
        <v>41416</v>
      </c>
    </row>
    <row r="1461" spans="1:4">
      <c r="A1461" t="s">
        <v>5</v>
      </c>
      <c r="B1461" t="s">
        <v>102</v>
      </c>
      <c r="C1461" s="9">
        <v>46149</v>
      </c>
      <c r="D1461" s="10">
        <v>42855</v>
      </c>
    </row>
    <row r="1462" spans="1:4">
      <c r="A1462" t="s">
        <v>5</v>
      </c>
      <c r="B1462" t="s">
        <v>149</v>
      </c>
      <c r="C1462" s="9">
        <v>46149</v>
      </c>
      <c r="D1462" s="10">
        <v>34634</v>
      </c>
    </row>
    <row r="1463" spans="1:4">
      <c r="A1463" t="s">
        <v>5</v>
      </c>
      <c r="B1463" t="s">
        <v>293</v>
      </c>
      <c r="C1463" s="9">
        <v>46149</v>
      </c>
      <c r="D1463" s="10">
        <v>29372</v>
      </c>
    </row>
    <row r="1464" spans="1:4">
      <c r="A1464" t="s">
        <v>5</v>
      </c>
      <c r="B1464" t="s">
        <v>81</v>
      </c>
      <c r="C1464" s="9">
        <v>46149</v>
      </c>
      <c r="D1464" s="10">
        <v>42982</v>
      </c>
    </row>
    <row r="1465" spans="1:4">
      <c r="A1465" t="s">
        <v>5</v>
      </c>
      <c r="B1465" t="s">
        <v>189</v>
      </c>
      <c r="C1465" s="9">
        <v>46149</v>
      </c>
      <c r="D1465" s="10">
        <v>43091</v>
      </c>
    </row>
    <row r="1466" spans="1:4">
      <c r="A1466" t="s">
        <v>5</v>
      </c>
      <c r="B1466" t="s">
        <v>203</v>
      </c>
      <c r="C1466" s="9">
        <v>46149</v>
      </c>
      <c r="D1466" s="10">
        <v>49683</v>
      </c>
    </row>
    <row r="1467" spans="1:4">
      <c r="A1467" t="s">
        <v>27</v>
      </c>
      <c r="B1467" t="s">
        <v>115</v>
      </c>
      <c r="C1467" s="9">
        <v>46150</v>
      </c>
      <c r="D1467" s="10">
        <v>10513</v>
      </c>
    </row>
    <row r="1468" spans="1:4">
      <c r="A1468" t="s">
        <v>29</v>
      </c>
      <c r="B1468" t="s">
        <v>227</v>
      </c>
      <c r="C1468" s="9">
        <v>46150</v>
      </c>
      <c r="D1468" s="10">
        <v>12341</v>
      </c>
    </row>
    <row r="1469" spans="1:4">
      <c r="A1469" t="s">
        <v>29</v>
      </c>
      <c r="B1469" t="s">
        <v>152</v>
      </c>
      <c r="C1469" s="9">
        <v>46150</v>
      </c>
      <c r="D1469" s="10">
        <v>5200</v>
      </c>
    </row>
    <row r="1470" spans="1:4">
      <c r="A1470" t="s">
        <v>7</v>
      </c>
      <c r="B1470" t="s">
        <v>278</v>
      </c>
      <c r="C1470" s="9">
        <v>46150</v>
      </c>
      <c r="D1470" s="10">
        <v>8120</v>
      </c>
    </row>
    <row r="1471" spans="1:4">
      <c r="A1471" t="s">
        <v>9</v>
      </c>
      <c r="B1471" t="s">
        <v>111</v>
      </c>
      <c r="C1471" s="9">
        <v>46150</v>
      </c>
      <c r="D1471" s="10">
        <v>37850</v>
      </c>
    </row>
    <row r="1472" spans="1:4">
      <c r="A1472" t="s">
        <v>9</v>
      </c>
      <c r="B1472" t="s">
        <v>106</v>
      </c>
      <c r="C1472" s="9">
        <v>46150</v>
      </c>
      <c r="D1472" s="10">
        <v>27017</v>
      </c>
    </row>
    <row r="1473" spans="1:4">
      <c r="A1473" t="s">
        <v>5</v>
      </c>
      <c r="B1473" t="s">
        <v>69</v>
      </c>
      <c r="C1473" s="9">
        <v>46150</v>
      </c>
      <c r="D1473" s="10">
        <v>46784</v>
      </c>
    </row>
    <row r="1474" spans="1:4">
      <c r="A1474" t="s">
        <v>5</v>
      </c>
      <c r="B1474" t="s">
        <v>103</v>
      </c>
      <c r="C1474" s="9">
        <v>46150</v>
      </c>
      <c r="D1474" s="10">
        <v>37256</v>
      </c>
    </row>
    <row r="1475" spans="1:4">
      <c r="A1475" t="s">
        <v>4</v>
      </c>
      <c r="B1475" t="s">
        <v>195</v>
      </c>
      <c r="C1475" s="9">
        <v>46151</v>
      </c>
      <c r="D1475" s="10">
        <v>30251</v>
      </c>
    </row>
    <row r="1476" spans="1:4">
      <c r="A1476" t="s">
        <v>4</v>
      </c>
      <c r="B1476" t="s">
        <v>261</v>
      </c>
      <c r="C1476" s="9">
        <v>46151</v>
      </c>
      <c r="D1476" s="10">
        <v>43517</v>
      </c>
    </row>
    <row r="1477" spans="1:4">
      <c r="A1477" t="s">
        <v>8</v>
      </c>
      <c r="B1477" t="s">
        <v>125</v>
      </c>
      <c r="C1477" s="9">
        <v>46151</v>
      </c>
      <c r="D1477" s="10">
        <v>17054</v>
      </c>
    </row>
    <row r="1478" spans="1:4">
      <c r="A1478" t="s">
        <v>32</v>
      </c>
      <c r="B1478" t="s">
        <v>118</v>
      </c>
      <c r="C1478" s="9">
        <v>46151</v>
      </c>
      <c r="D1478" s="10">
        <v>21567</v>
      </c>
    </row>
    <row r="1479" spans="1:4">
      <c r="A1479" t="s">
        <v>6</v>
      </c>
      <c r="B1479" t="s">
        <v>207</v>
      </c>
      <c r="C1479" s="9">
        <v>46151</v>
      </c>
      <c r="D1479" s="10">
        <v>19657</v>
      </c>
    </row>
    <row r="1480" spans="1:4">
      <c r="A1480" t="s">
        <v>6</v>
      </c>
      <c r="B1480" t="s">
        <v>178</v>
      </c>
      <c r="C1480" s="9">
        <v>46151</v>
      </c>
      <c r="D1480" s="10">
        <v>5200</v>
      </c>
    </row>
    <row r="1481" spans="1:4">
      <c r="A1481" t="s">
        <v>7</v>
      </c>
      <c r="B1481" t="s">
        <v>173</v>
      </c>
      <c r="C1481" s="9">
        <v>46151</v>
      </c>
      <c r="D1481" s="10">
        <v>18706</v>
      </c>
    </row>
    <row r="1482" spans="1:4">
      <c r="A1482" t="s">
        <v>9</v>
      </c>
      <c r="B1482" t="s">
        <v>179</v>
      </c>
      <c r="C1482" s="9">
        <v>46151</v>
      </c>
      <c r="D1482" s="10">
        <v>53213</v>
      </c>
    </row>
    <row r="1483" spans="1:4">
      <c r="A1483" t="s">
        <v>9</v>
      </c>
      <c r="B1483" t="s">
        <v>274</v>
      </c>
      <c r="C1483" s="9">
        <v>46151</v>
      </c>
      <c r="D1483" s="10">
        <v>46479</v>
      </c>
    </row>
    <row r="1484" spans="1:4">
      <c r="A1484" t="s">
        <v>5</v>
      </c>
      <c r="B1484" t="s">
        <v>209</v>
      </c>
      <c r="C1484" s="9">
        <v>46151</v>
      </c>
      <c r="D1484" s="10">
        <v>40590</v>
      </c>
    </row>
    <row r="1485" spans="1:4">
      <c r="A1485" t="s">
        <v>5</v>
      </c>
      <c r="B1485" t="s">
        <v>86</v>
      </c>
      <c r="C1485" s="9">
        <v>46151</v>
      </c>
      <c r="D1485" s="10">
        <v>27543</v>
      </c>
    </row>
    <row r="1486" spans="1:4">
      <c r="A1486" t="s">
        <v>5</v>
      </c>
      <c r="B1486" t="s">
        <v>159</v>
      </c>
      <c r="C1486" s="9">
        <v>46151</v>
      </c>
      <c r="D1486" s="10">
        <v>45011</v>
      </c>
    </row>
    <row r="1487" spans="1:4">
      <c r="A1487" t="s">
        <v>27</v>
      </c>
      <c r="B1487" t="s">
        <v>182</v>
      </c>
      <c r="C1487" s="9">
        <v>46152</v>
      </c>
      <c r="D1487" s="10">
        <v>8807</v>
      </c>
    </row>
    <row r="1488" spans="1:4">
      <c r="A1488" t="s">
        <v>38</v>
      </c>
      <c r="B1488" t="s">
        <v>212</v>
      </c>
      <c r="C1488" s="9">
        <v>46152</v>
      </c>
      <c r="D1488" s="10">
        <v>14060</v>
      </c>
    </row>
    <row r="1489" spans="1:4">
      <c r="A1489" t="s">
        <v>4</v>
      </c>
      <c r="B1489" t="s">
        <v>230</v>
      </c>
      <c r="C1489" s="9">
        <v>46152</v>
      </c>
      <c r="D1489" s="10">
        <v>27890</v>
      </c>
    </row>
    <row r="1490" spans="1:4">
      <c r="A1490" t="s">
        <v>4</v>
      </c>
      <c r="B1490" t="s">
        <v>262</v>
      </c>
      <c r="C1490" s="9">
        <v>46152</v>
      </c>
      <c r="D1490" s="10">
        <v>8671</v>
      </c>
    </row>
    <row r="1491" spans="1:4">
      <c r="A1491" t="s">
        <v>4</v>
      </c>
      <c r="B1491" t="s">
        <v>57</v>
      </c>
      <c r="C1491" s="9">
        <v>46152</v>
      </c>
      <c r="D1491" s="10">
        <v>40904</v>
      </c>
    </row>
    <row r="1492" spans="1:4">
      <c r="A1492" t="s">
        <v>25</v>
      </c>
      <c r="B1492" t="s">
        <v>220</v>
      </c>
      <c r="C1492" s="9">
        <v>46152</v>
      </c>
      <c r="D1492" s="10">
        <v>16105</v>
      </c>
    </row>
    <row r="1493" spans="1:4">
      <c r="A1493" t="s">
        <v>26</v>
      </c>
      <c r="B1493" t="s">
        <v>143</v>
      </c>
      <c r="C1493" s="9">
        <v>46152</v>
      </c>
      <c r="D1493" s="10">
        <v>16590</v>
      </c>
    </row>
    <row r="1494" spans="1:4">
      <c r="A1494" t="s">
        <v>8</v>
      </c>
      <c r="B1494" t="s">
        <v>233</v>
      </c>
      <c r="C1494" s="9">
        <v>46152</v>
      </c>
      <c r="D1494" s="10">
        <v>13363</v>
      </c>
    </row>
    <row r="1495" spans="1:4">
      <c r="A1495" t="s">
        <v>8</v>
      </c>
      <c r="B1495" t="s">
        <v>238</v>
      </c>
      <c r="C1495" s="9">
        <v>46152</v>
      </c>
      <c r="D1495" s="10">
        <v>16517</v>
      </c>
    </row>
    <row r="1496" spans="1:4">
      <c r="A1496" t="s">
        <v>33</v>
      </c>
      <c r="B1496" t="s">
        <v>245</v>
      </c>
      <c r="C1496" s="9">
        <v>46152</v>
      </c>
      <c r="D1496" s="10">
        <v>12091</v>
      </c>
    </row>
    <row r="1497" spans="1:4">
      <c r="A1497" t="s">
        <v>7</v>
      </c>
      <c r="B1497" t="s">
        <v>239</v>
      </c>
      <c r="C1497" s="9">
        <v>46152</v>
      </c>
      <c r="D1497" s="10">
        <v>21112</v>
      </c>
    </row>
    <row r="1498" spans="1:4">
      <c r="A1498" t="s">
        <v>9</v>
      </c>
      <c r="B1498" t="s">
        <v>146</v>
      </c>
      <c r="C1498" s="9">
        <v>46152</v>
      </c>
      <c r="D1498" s="10">
        <v>37485</v>
      </c>
    </row>
    <row r="1499" spans="1:4">
      <c r="A1499" t="s">
        <v>9</v>
      </c>
      <c r="B1499" t="s">
        <v>192</v>
      </c>
      <c r="C1499" s="9">
        <v>46152</v>
      </c>
      <c r="D1499" s="10">
        <v>32832</v>
      </c>
    </row>
    <row r="1500" spans="1:4">
      <c r="A1500" t="s">
        <v>9</v>
      </c>
      <c r="B1500" t="s">
        <v>234</v>
      </c>
      <c r="C1500" s="9">
        <v>46152</v>
      </c>
      <c r="D1500" s="10">
        <v>45921</v>
      </c>
    </row>
    <row r="1501" spans="1:4">
      <c r="A1501" t="s">
        <v>5</v>
      </c>
      <c r="B1501" t="s">
        <v>59</v>
      </c>
      <c r="C1501" s="9">
        <v>46152</v>
      </c>
      <c r="D1501" s="10">
        <v>41701</v>
      </c>
    </row>
    <row r="1502" spans="1:4">
      <c r="A1502" t="s">
        <v>5</v>
      </c>
      <c r="B1502" t="s">
        <v>82</v>
      </c>
      <c r="C1502" s="9">
        <v>46152</v>
      </c>
      <c r="D1502" s="10">
        <v>48986</v>
      </c>
    </row>
    <row r="1503" spans="1:4">
      <c r="A1503" t="s">
        <v>27</v>
      </c>
      <c r="B1503" t="s">
        <v>169</v>
      </c>
      <c r="C1503" s="9">
        <v>46153</v>
      </c>
      <c r="D1503" s="10">
        <v>13664</v>
      </c>
    </row>
    <row r="1504" spans="1:4">
      <c r="A1504" t="s">
        <v>31</v>
      </c>
      <c r="B1504" t="s">
        <v>90</v>
      </c>
      <c r="C1504" s="9">
        <v>46153</v>
      </c>
      <c r="D1504" s="10">
        <v>10419</v>
      </c>
    </row>
    <row r="1505" spans="1:4">
      <c r="A1505" t="s">
        <v>28</v>
      </c>
      <c r="B1505" t="s">
        <v>269</v>
      </c>
      <c r="C1505" s="9">
        <v>46153</v>
      </c>
      <c r="D1505" s="10">
        <v>15536</v>
      </c>
    </row>
    <row r="1506" spans="1:4">
      <c r="A1506" t="s">
        <v>26</v>
      </c>
      <c r="B1506" t="s">
        <v>162</v>
      </c>
      <c r="C1506" s="9">
        <v>46153</v>
      </c>
      <c r="D1506" s="10">
        <v>18047</v>
      </c>
    </row>
    <row r="1507" spans="1:4">
      <c r="A1507" t="s">
        <v>30</v>
      </c>
      <c r="B1507" t="s">
        <v>198</v>
      </c>
      <c r="C1507" s="9">
        <v>46153</v>
      </c>
      <c r="D1507" s="10">
        <v>14802</v>
      </c>
    </row>
    <row r="1508" spans="1:4">
      <c r="A1508" t="s">
        <v>5</v>
      </c>
      <c r="B1508" t="s">
        <v>154</v>
      </c>
      <c r="C1508" s="9">
        <v>46153</v>
      </c>
      <c r="D1508" s="10">
        <v>31404</v>
      </c>
    </row>
    <row r="1509" spans="1:4">
      <c r="A1509" t="s">
        <v>5</v>
      </c>
      <c r="B1509" t="s">
        <v>189</v>
      </c>
      <c r="C1509" s="9">
        <v>46153</v>
      </c>
      <c r="D1509" s="10">
        <v>43739</v>
      </c>
    </row>
    <row r="1510" spans="1:4">
      <c r="A1510" t="s">
        <v>5</v>
      </c>
      <c r="B1510" t="s">
        <v>155</v>
      </c>
      <c r="C1510" s="9">
        <v>46153</v>
      </c>
      <c r="D1510" s="10">
        <v>44022</v>
      </c>
    </row>
    <row r="1511" spans="1:4">
      <c r="A1511" t="s">
        <v>5</v>
      </c>
      <c r="B1511" t="s">
        <v>124</v>
      </c>
      <c r="C1511" s="9">
        <v>46153</v>
      </c>
      <c r="D1511" s="10">
        <v>40608</v>
      </c>
    </row>
    <row r="1512" spans="1:4">
      <c r="A1512" t="s">
        <v>4</v>
      </c>
      <c r="B1512" t="s">
        <v>247</v>
      </c>
      <c r="C1512" s="9">
        <v>46154</v>
      </c>
      <c r="D1512" s="10">
        <v>31684</v>
      </c>
    </row>
    <row r="1513" spans="1:4">
      <c r="A1513" t="s">
        <v>7</v>
      </c>
      <c r="B1513" t="s">
        <v>273</v>
      </c>
      <c r="C1513" s="9">
        <v>46154</v>
      </c>
      <c r="D1513" s="10">
        <v>11428</v>
      </c>
    </row>
    <row r="1514" spans="1:4">
      <c r="A1514" t="s">
        <v>5</v>
      </c>
      <c r="B1514" t="s">
        <v>69</v>
      </c>
      <c r="C1514" s="9">
        <v>46154</v>
      </c>
      <c r="D1514" s="10">
        <v>29517</v>
      </c>
    </row>
    <row r="1515" spans="1:4">
      <c r="A1515" t="s">
        <v>5</v>
      </c>
      <c r="B1515" t="s">
        <v>102</v>
      </c>
      <c r="C1515" s="9">
        <v>46154</v>
      </c>
      <c r="D1515" s="10">
        <v>33630</v>
      </c>
    </row>
    <row r="1516" spans="1:4">
      <c r="A1516" t="s">
        <v>5</v>
      </c>
      <c r="B1516" t="s">
        <v>87</v>
      </c>
      <c r="C1516" s="9">
        <v>46154</v>
      </c>
      <c r="D1516" s="10">
        <v>62138</v>
      </c>
    </row>
    <row r="1517" spans="1:4">
      <c r="A1517" t="s">
        <v>5</v>
      </c>
      <c r="B1517" t="s">
        <v>127</v>
      </c>
      <c r="C1517" s="9">
        <v>46154</v>
      </c>
      <c r="D1517" s="10">
        <v>33715</v>
      </c>
    </row>
    <row r="1518" spans="1:4">
      <c r="A1518" t="s">
        <v>5</v>
      </c>
      <c r="B1518" t="s">
        <v>140</v>
      </c>
      <c r="C1518" s="9">
        <v>46154</v>
      </c>
      <c r="D1518" s="10">
        <v>43627</v>
      </c>
    </row>
    <row r="1519" spans="1:4">
      <c r="A1519" t="s">
        <v>35</v>
      </c>
      <c r="B1519" t="s">
        <v>290</v>
      </c>
      <c r="C1519" s="9">
        <v>46155</v>
      </c>
      <c r="D1519" s="10">
        <v>9666</v>
      </c>
    </row>
    <row r="1520" spans="1:4">
      <c r="A1520" t="s">
        <v>4</v>
      </c>
      <c r="B1520" t="s">
        <v>147</v>
      </c>
      <c r="C1520" s="9">
        <v>46155</v>
      </c>
      <c r="D1520" s="10">
        <v>40738</v>
      </c>
    </row>
    <row r="1521" spans="1:4">
      <c r="A1521" t="s">
        <v>4</v>
      </c>
      <c r="B1521" t="s">
        <v>204</v>
      </c>
      <c r="C1521" s="9">
        <v>46155</v>
      </c>
      <c r="D1521" s="10">
        <v>37070</v>
      </c>
    </row>
    <row r="1522" spans="1:4">
      <c r="A1522" t="s">
        <v>25</v>
      </c>
      <c r="B1522" t="s">
        <v>205</v>
      </c>
      <c r="C1522" s="9">
        <v>46155</v>
      </c>
      <c r="D1522" s="10">
        <v>13582</v>
      </c>
    </row>
    <row r="1523" spans="1:4">
      <c r="A1523" t="s">
        <v>6</v>
      </c>
      <c r="B1523" t="s">
        <v>61</v>
      </c>
      <c r="C1523" s="9">
        <v>46155</v>
      </c>
      <c r="D1523" s="10">
        <v>20778</v>
      </c>
    </row>
    <row r="1524" spans="1:4">
      <c r="A1524" t="s">
        <v>9</v>
      </c>
      <c r="B1524" t="s">
        <v>216</v>
      </c>
      <c r="C1524" s="9">
        <v>46155</v>
      </c>
      <c r="D1524" s="10">
        <v>42760</v>
      </c>
    </row>
    <row r="1525" spans="1:4">
      <c r="A1525" t="s">
        <v>9</v>
      </c>
      <c r="B1525" t="s">
        <v>113</v>
      </c>
      <c r="C1525" s="9">
        <v>46155</v>
      </c>
      <c r="D1525" s="10">
        <v>47872</v>
      </c>
    </row>
    <row r="1526" spans="1:4">
      <c r="A1526" t="s">
        <v>9</v>
      </c>
      <c r="B1526" t="s">
        <v>202</v>
      </c>
      <c r="C1526" s="9">
        <v>46155</v>
      </c>
      <c r="D1526" s="10">
        <v>42939</v>
      </c>
    </row>
    <row r="1527" spans="1:4">
      <c r="A1527" t="s">
        <v>9</v>
      </c>
      <c r="B1527" t="s">
        <v>176</v>
      </c>
      <c r="C1527" s="9">
        <v>46155</v>
      </c>
      <c r="D1527" s="10">
        <v>43605</v>
      </c>
    </row>
    <row r="1528" spans="1:4">
      <c r="A1528" t="s">
        <v>5</v>
      </c>
      <c r="B1528" t="s">
        <v>148</v>
      </c>
      <c r="C1528" s="9">
        <v>46155</v>
      </c>
      <c r="D1528" s="10">
        <v>40449</v>
      </c>
    </row>
    <row r="1529" spans="1:4">
      <c r="A1529" t="s">
        <v>5</v>
      </c>
      <c r="B1529" t="s">
        <v>123</v>
      </c>
      <c r="C1529" s="9">
        <v>46155</v>
      </c>
      <c r="D1529" s="10">
        <v>29732</v>
      </c>
    </row>
    <row r="1530" spans="1:4">
      <c r="A1530" t="s">
        <v>5</v>
      </c>
      <c r="B1530" t="s">
        <v>210</v>
      </c>
      <c r="C1530" s="9">
        <v>46155</v>
      </c>
      <c r="D1530" s="10">
        <v>56469</v>
      </c>
    </row>
    <row r="1531" spans="1:4">
      <c r="A1531" t="s">
        <v>5</v>
      </c>
      <c r="B1531" t="s">
        <v>71</v>
      </c>
      <c r="C1531" s="9">
        <v>46155</v>
      </c>
      <c r="D1531" s="10">
        <v>35920</v>
      </c>
    </row>
    <row r="1532" spans="1:4">
      <c r="A1532" t="s">
        <v>4</v>
      </c>
      <c r="B1532" t="s">
        <v>193</v>
      </c>
      <c r="C1532" s="9">
        <v>46156</v>
      </c>
      <c r="D1532" s="10">
        <v>27983</v>
      </c>
    </row>
    <row r="1533" spans="1:4">
      <c r="A1533" t="s">
        <v>4</v>
      </c>
      <c r="B1533" t="s">
        <v>235</v>
      </c>
      <c r="C1533" s="9">
        <v>46156</v>
      </c>
      <c r="D1533" s="10">
        <v>37932</v>
      </c>
    </row>
    <row r="1534" spans="1:4">
      <c r="A1534" t="s">
        <v>25</v>
      </c>
      <c r="B1534" t="s">
        <v>271</v>
      </c>
      <c r="C1534" s="9">
        <v>46156</v>
      </c>
      <c r="D1534" s="10">
        <v>28008</v>
      </c>
    </row>
    <row r="1535" spans="1:4">
      <c r="A1535" t="s">
        <v>30</v>
      </c>
      <c r="B1535" t="s">
        <v>108</v>
      </c>
      <c r="C1535" s="9">
        <v>46156</v>
      </c>
      <c r="D1535" s="10">
        <v>22640</v>
      </c>
    </row>
    <row r="1536" spans="1:4">
      <c r="A1536" t="s">
        <v>30</v>
      </c>
      <c r="B1536" t="s">
        <v>191</v>
      </c>
      <c r="C1536" s="9">
        <v>46156</v>
      </c>
      <c r="D1536" s="10">
        <v>5200</v>
      </c>
    </row>
    <row r="1537" spans="1:4">
      <c r="A1537" t="s">
        <v>8</v>
      </c>
      <c r="B1537" t="s">
        <v>65</v>
      </c>
      <c r="C1537" s="9">
        <v>46156</v>
      </c>
      <c r="D1537" s="10">
        <v>20922</v>
      </c>
    </row>
    <row r="1538" spans="1:4">
      <c r="A1538" t="s">
        <v>5</v>
      </c>
      <c r="B1538" t="s">
        <v>148</v>
      </c>
      <c r="C1538" s="9">
        <v>46156</v>
      </c>
      <c r="D1538" s="10">
        <v>43778</v>
      </c>
    </row>
    <row r="1539" spans="1:4">
      <c r="A1539" t="s">
        <v>5</v>
      </c>
      <c r="B1539" t="s">
        <v>276</v>
      </c>
      <c r="C1539" s="9">
        <v>46156</v>
      </c>
      <c r="D1539" s="10">
        <v>37229</v>
      </c>
    </row>
    <row r="1540" spans="1:4">
      <c r="A1540" t="s">
        <v>5</v>
      </c>
      <c r="B1540" t="s">
        <v>82</v>
      </c>
      <c r="C1540" s="9">
        <v>46156</v>
      </c>
      <c r="D1540" s="10">
        <v>48292</v>
      </c>
    </row>
    <row r="1541" spans="1:4">
      <c r="A1541" t="s">
        <v>5</v>
      </c>
      <c r="B1541" t="s">
        <v>203</v>
      </c>
      <c r="C1541" s="9">
        <v>46156</v>
      </c>
      <c r="D1541" s="10">
        <v>33201</v>
      </c>
    </row>
    <row r="1542" spans="1:4">
      <c r="A1542" t="s">
        <v>5</v>
      </c>
      <c r="B1542" t="s">
        <v>156</v>
      </c>
      <c r="C1542" s="9">
        <v>46156</v>
      </c>
      <c r="D1542" s="10">
        <v>50543</v>
      </c>
    </row>
    <row r="1543" spans="1:4">
      <c r="A1543" t="s">
        <v>5</v>
      </c>
      <c r="B1543" t="s">
        <v>156</v>
      </c>
      <c r="C1543" s="9">
        <v>46156</v>
      </c>
      <c r="D1543" s="10">
        <v>50335</v>
      </c>
    </row>
    <row r="1544" spans="1:4">
      <c r="A1544" t="s">
        <v>25</v>
      </c>
      <c r="B1544" t="s">
        <v>73</v>
      </c>
      <c r="C1544" s="9">
        <v>46157</v>
      </c>
      <c r="D1544" s="10">
        <v>15449</v>
      </c>
    </row>
    <row r="1545" spans="1:4">
      <c r="A1545" t="s">
        <v>6</v>
      </c>
      <c r="B1545" t="s">
        <v>287</v>
      </c>
      <c r="C1545" s="9">
        <v>46157</v>
      </c>
      <c r="D1545" s="10">
        <v>19236</v>
      </c>
    </row>
    <row r="1546" spans="1:4">
      <c r="A1546" t="s">
        <v>9</v>
      </c>
      <c r="B1546" t="s">
        <v>85</v>
      </c>
      <c r="C1546" s="9">
        <v>46157</v>
      </c>
      <c r="D1546" s="10">
        <v>30492</v>
      </c>
    </row>
    <row r="1547" spans="1:4">
      <c r="A1547" t="s">
        <v>5</v>
      </c>
      <c r="B1547" t="s">
        <v>224</v>
      </c>
      <c r="C1547" s="9">
        <v>46157</v>
      </c>
      <c r="D1547" s="10">
        <v>42256</v>
      </c>
    </row>
    <row r="1548" spans="1:4">
      <c r="A1548" t="s">
        <v>5</v>
      </c>
      <c r="B1548" t="s">
        <v>102</v>
      </c>
      <c r="C1548" s="9">
        <v>46157</v>
      </c>
      <c r="D1548" s="10">
        <v>39448</v>
      </c>
    </row>
    <row r="1549" spans="1:4">
      <c r="A1549" t="s">
        <v>5</v>
      </c>
      <c r="B1549" t="s">
        <v>241</v>
      </c>
      <c r="C1549" s="9">
        <v>46157</v>
      </c>
      <c r="D1549" s="10">
        <v>40841</v>
      </c>
    </row>
    <row r="1550" spans="1:4">
      <c r="A1550" t="s">
        <v>5</v>
      </c>
      <c r="B1550" t="s">
        <v>81</v>
      </c>
      <c r="C1550" s="9">
        <v>46157</v>
      </c>
      <c r="D1550" s="10">
        <v>32040</v>
      </c>
    </row>
    <row r="1551" spans="1:4">
      <c r="A1551" t="s">
        <v>5</v>
      </c>
      <c r="B1551" t="s">
        <v>150</v>
      </c>
      <c r="C1551" s="9">
        <v>46157</v>
      </c>
      <c r="D1551" s="10">
        <v>40130</v>
      </c>
    </row>
    <row r="1552" spans="1:4">
      <c r="A1552" t="s">
        <v>4</v>
      </c>
      <c r="B1552" t="s">
        <v>213</v>
      </c>
      <c r="C1552" s="9">
        <v>46158</v>
      </c>
      <c r="D1552" s="10">
        <v>36477</v>
      </c>
    </row>
    <row r="1553" spans="1:4">
      <c r="A1553" t="s">
        <v>4</v>
      </c>
      <c r="B1553" t="s">
        <v>268</v>
      </c>
      <c r="C1553" s="9">
        <v>46158</v>
      </c>
      <c r="D1553" s="10">
        <v>33683</v>
      </c>
    </row>
    <row r="1554" spans="1:4">
      <c r="A1554" t="s">
        <v>25</v>
      </c>
      <c r="B1554" t="s">
        <v>117</v>
      </c>
      <c r="C1554" s="9">
        <v>46158</v>
      </c>
      <c r="D1554" s="10">
        <v>15120</v>
      </c>
    </row>
    <row r="1555" spans="1:4">
      <c r="A1555" t="s">
        <v>28</v>
      </c>
      <c r="B1555" t="s">
        <v>131</v>
      </c>
      <c r="C1555" s="9">
        <v>46158</v>
      </c>
      <c r="D1555" s="10">
        <v>12120</v>
      </c>
    </row>
    <row r="1556" spans="1:4">
      <c r="A1556" t="s">
        <v>26</v>
      </c>
      <c r="B1556" t="s">
        <v>91</v>
      </c>
      <c r="C1556" s="9">
        <v>46158</v>
      </c>
      <c r="D1556" s="10">
        <v>12820</v>
      </c>
    </row>
    <row r="1557" spans="1:4">
      <c r="A1557" t="s">
        <v>30</v>
      </c>
      <c r="B1557" t="s">
        <v>243</v>
      </c>
      <c r="C1557" s="9">
        <v>46158</v>
      </c>
      <c r="D1557" s="10">
        <v>12862</v>
      </c>
    </row>
    <row r="1558" spans="1:4">
      <c r="A1558" t="s">
        <v>8</v>
      </c>
      <c r="B1558" t="s">
        <v>237</v>
      </c>
      <c r="C1558" s="9">
        <v>46158</v>
      </c>
      <c r="D1558" s="10">
        <v>18277</v>
      </c>
    </row>
    <row r="1559" spans="1:4">
      <c r="A1559" t="s">
        <v>32</v>
      </c>
      <c r="B1559" t="s">
        <v>266</v>
      </c>
      <c r="C1559" s="9">
        <v>46158</v>
      </c>
      <c r="D1559" s="10">
        <v>12590</v>
      </c>
    </row>
    <row r="1560" spans="1:4">
      <c r="A1560" t="s">
        <v>6</v>
      </c>
      <c r="B1560" t="s">
        <v>83</v>
      </c>
      <c r="C1560" s="9">
        <v>46158</v>
      </c>
      <c r="D1560" s="10">
        <v>17705</v>
      </c>
    </row>
    <row r="1561" spans="1:4">
      <c r="A1561" t="s">
        <v>7</v>
      </c>
      <c r="B1561" t="s">
        <v>257</v>
      </c>
      <c r="C1561" s="9">
        <v>46158</v>
      </c>
      <c r="D1561" s="10">
        <v>35670</v>
      </c>
    </row>
    <row r="1562" spans="1:4">
      <c r="A1562" t="s">
        <v>7</v>
      </c>
      <c r="B1562" t="s">
        <v>79</v>
      </c>
      <c r="C1562" s="9">
        <v>46158</v>
      </c>
      <c r="D1562" s="10">
        <v>32697</v>
      </c>
    </row>
    <row r="1563" spans="1:4">
      <c r="A1563" t="s">
        <v>9</v>
      </c>
      <c r="B1563" t="s">
        <v>224</v>
      </c>
      <c r="C1563" s="9">
        <v>46158</v>
      </c>
      <c r="D1563" s="10">
        <v>39051</v>
      </c>
    </row>
    <row r="1564" spans="1:4">
      <c r="A1564" t="s">
        <v>9</v>
      </c>
      <c r="B1564" t="s">
        <v>223</v>
      </c>
      <c r="C1564" s="9">
        <v>46158</v>
      </c>
      <c r="D1564" s="10">
        <v>29642</v>
      </c>
    </row>
    <row r="1565" spans="1:4">
      <c r="A1565" t="s">
        <v>5</v>
      </c>
      <c r="B1565" t="s">
        <v>188</v>
      </c>
      <c r="C1565" s="9">
        <v>46158</v>
      </c>
      <c r="D1565" s="10">
        <v>34093</v>
      </c>
    </row>
    <row r="1566" spans="1:4">
      <c r="A1566" t="s">
        <v>5</v>
      </c>
      <c r="B1566" t="s">
        <v>139</v>
      </c>
      <c r="C1566" s="9">
        <v>46158</v>
      </c>
      <c r="D1566" s="10">
        <v>32813</v>
      </c>
    </row>
    <row r="1567" spans="1:4">
      <c r="A1567" t="s">
        <v>5</v>
      </c>
      <c r="B1567" t="s">
        <v>80</v>
      </c>
      <c r="C1567" s="9">
        <v>46158</v>
      </c>
      <c r="D1567" s="10">
        <v>45729</v>
      </c>
    </row>
    <row r="1568" spans="1:4">
      <c r="A1568" t="s">
        <v>4</v>
      </c>
      <c r="B1568" t="s">
        <v>138</v>
      </c>
      <c r="C1568" s="9">
        <v>46159</v>
      </c>
      <c r="D1568" s="10">
        <v>25412</v>
      </c>
    </row>
    <row r="1569" spans="1:4">
      <c r="A1569" t="s">
        <v>4</v>
      </c>
      <c r="B1569" t="s">
        <v>99</v>
      </c>
      <c r="C1569" s="9">
        <v>46159</v>
      </c>
      <c r="D1569" s="10">
        <v>29242</v>
      </c>
    </row>
    <row r="1570" spans="1:4">
      <c r="A1570" t="s">
        <v>25</v>
      </c>
      <c r="B1570" t="s">
        <v>232</v>
      </c>
      <c r="C1570" s="9">
        <v>46159</v>
      </c>
      <c r="D1570" s="10">
        <v>26838</v>
      </c>
    </row>
    <row r="1571" spans="1:4">
      <c r="A1571" t="s">
        <v>8</v>
      </c>
      <c r="B1571" t="s">
        <v>144</v>
      </c>
      <c r="C1571" s="9">
        <v>46159</v>
      </c>
      <c r="D1571" s="10">
        <v>34138</v>
      </c>
    </row>
    <row r="1572" spans="1:4">
      <c r="A1572" t="s">
        <v>29</v>
      </c>
      <c r="B1572" t="s">
        <v>95</v>
      </c>
      <c r="C1572" s="9">
        <v>46159</v>
      </c>
      <c r="D1572" s="10">
        <v>16982</v>
      </c>
    </row>
    <row r="1573" spans="1:4">
      <c r="A1573" t="s">
        <v>7</v>
      </c>
      <c r="B1573" t="s">
        <v>208</v>
      </c>
      <c r="C1573" s="9">
        <v>46159</v>
      </c>
      <c r="D1573" s="10">
        <v>28687</v>
      </c>
    </row>
    <row r="1574" spans="1:4">
      <c r="A1574" t="s">
        <v>9</v>
      </c>
      <c r="B1574" t="s">
        <v>100</v>
      </c>
      <c r="C1574" s="9">
        <v>46159</v>
      </c>
      <c r="D1574" s="10">
        <v>43373</v>
      </c>
    </row>
    <row r="1575" spans="1:4">
      <c r="A1575" t="s">
        <v>5</v>
      </c>
      <c r="B1575" t="s">
        <v>209</v>
      </c>
      <c r="C1575" s="9">
        <v>46159</v>
      </c>
      <c r="D1575" s="10">
        <v>41747</v>
      </c>
    </row>
    <row r="1576" spans="1:4">
      <c r="A1576" t="s">
        <v>5</v>
      </c>
      <c r="B1576" t="s">
        <v>69</v>
      </c>
      <c r="C1576" s="9">
        <v>46159</v>
      </c>
      <c r="D1576" s="10">
        <v>48358</v>
      </c>
    </row>
    <row r="1577" spans="1:4">
      <c r="A1577" t="s">
        <v>5</v>
      </c>
      <c r="B1577" t="s">
        <v>139</v>
      </c>
      <c r="C1577" s="9">
        <v>46159</v>
      </c>
      <c r="D1577" s="10">
        <v>39348</v>
      </c>
    </row>
    <row r="1578" spans="1:4">
      <c r="A1578" t="s">
        <v>5</v>
      </c>
      <c r="B1578" t="s">
        <v>210</v>
      </c>
      <c r="C1578" s="9">
        <v>46159</v>
      </c>
      <c r="D1578" s="10">
        <v>53658</v>
      </c>
    </row>
    <row r="1579" spans="1:4">
      <c r="A1579" t="s">
        <v>5</v>
      </c>
      <c r="B1579" t="s">
        <v>128</v>
      </c>
      <c r="C1579" s="9">
        <v>46159</v>
      </c>
      <c r="D1579" s="10">
        <v>35365</v>
      </c>
    </row>
    <row r="1580" spans="1:4">
      <c r="A1580" t="s">
        <v>31</v>
      </c>
      <c r="B1580" t="s">
        <v>129</v>
      </c>
      <c r="C1580" s="9">
        <v>46160</v>
      </c>
      <c r="D1580" s="10">
        <v>12640</v>
      </c>
    </row>
    <row r="1581" spans="1:4">
      <c r="A1581" t="s">
        <v>36</v>
      </c>
      <c r="B1581" t="s">
        <v>280</v>
      </c>
      <c r="C1581" s="9">
        <v>46160</v>
      </c>
      <c r="D1581" s="10">
        <v>5200</v>
      </c>
    </row>
    <row r="1582" spans="1:4">
      <c r="A1582" t="s">
        <v>29</v>
      </c>
      <c r="B1582" t="s">
        <v>109</v>
      </c>
      <c r="C1582" s="9">
        <v>46160</v>
      </c>
      <c r="D1582" s="10">
        <v>28489</v>
      </c>
    </row>
    <row r="1583" spans="1:4">
      <c r="A1583" t="s">
        <v>7</v>
      </c>
      <c r="B1583" t="s">
        <v>231</v>
      </c>
      <c r="C1583" s="9">
        <v>46160</v>
      </c>
      <c r="D1583" s="10">
        <v>17989</v>
      </c>
    </row>
    <row r="1584" spans="1:4">
      <c r="A1584" t="s">
        <v>9</v>
      </c>
      <c r="B1584" t="s">
        <v>192</v>
      </c>
      <c r="C1584" s="9">
        <v>46160</v>
      </c>
      <c r="D1584" s="10">
        <v>36887</v>
      </c>
    </row>
    <row r="1585" spans="1:4">
      <c r="A1585" t="s">
        <v>5</v>
      </c>
      <c r="B1585" t="s">
        <v>187</v>
      </c>
      <c r="C1585" s="9">
        <v>46160</v>
      </c>
      <c r="D1585" s="10">
        <v>43641</v>
      </c>
    </row>
    <row r="1586" spans="1:4">
      <c r="A1586" t="s">
        <v>5</v>
      </c>
      <c r="B1586" t="s">
        <v>70</v>
      </c>
      <c r="C1586" s="9">
        <v>46160</v>
      </c>
      <c r="D1586" s="10">
        <v>40049</v>
      </c>
    </row>
    <row r="1587" spans="1:4">
      <c r="A1587" t="s">
        <v>5</v>
      </c>
      <c r="B1587" t="s">
        <v>71</v>
      </c>
      <c r="C1587" s="9">
        <v>46160</v>
      </c>
      <c r="D1587" s="10">
        <v>38950</v>
      </c>
    </row>
    <row r="1588" spans="1:4">
      <c r="A1588" t="s">
        <v>4</v>
      </c>
      <c r="B1588" t="s">
        <v>283</v>
      </c>
      <c r="C1588" s="9">
        <v>46161</v>
      </c>
      <c r="D1588" s="10">
        <v>37694</v>
      </c>
    </row>
    <row r="1589" spans="1:4">
      <c r="A1589" t="s">
        <v>26</v>
      </c>
      <c r="B1589" t="s">
        <v>197</v>
      </c>
      <c r="C1589" s="9">
        <v>46161</v>
      </c>
      <c r="D1589" s="10">
        <v>14842</v>
      </c>
    </row>
    <row r="1590" spans="1:4">
      <c r="A1590" t="s">
        <v>8</v>
      </c>
      <c r="B1590" t="s">
        <v>256</v>
      </c>
      <c r="C1590" s="9">
        <v>46161</v>
      </c>
      <c r="D1590" s="10">
        <v>16306</v>
      </c>
    </row>
    <row r="1591" spans="1:4">
      <c r="A1591" t="s">
        <v>7</v>
      </c>
      <c r="B1591" t="s">
        <v>96</v>
      </c>
      <c r="C1591" s="9">
        <v>46161</v>
      </c>
      <c r="D1591" s="10">
        <v>26733</v>
      </c>
    </row>
    <row r="1592" spans="1:4">
      <c r="A1592" t="s">
        <v>9</v>
      </c>
      <c r="B1592" t="s">
        <v>111</v>
      </c>
      <c r="C1592" s="9">
        <v>46161</v>
      </c>
      <c r="D1592" s="10">
        <v>42251</v>
      </c>
    </row>
    <row r="1593" spans="1:4">
      <c r="A1593" t="s">
        <v>5</v>
      </c>
      <c r="B1593" t="s">
        <v>167</v>
      </c>
      <c r="C1593" s="9">
        <v>46161</v>
      </c>
      <c r="D1593" s="10">
        <v>38375</v>
      </c>
    </row>
    <row r="1594" spans="1:4">
      <c r="A1594" t="s">
        <v>5</v>
      </c>
      <c r="B1594" t="s">
        <v>147</v>
      </c>
      <c r="C1594" s="9">
        <v>46161</v>
      </c>
      <c r="D1594" s="10">
        <v>44229</v>
      </c>
    </row>
    <row r="1595" spans="1:4">
      <c r="A1595" t="s">
        <v>5</v>
      </c>
      <c r="B1595" t="s">
        <v>81</v>
      </c>
      <c r="C1595" s="9">
        <v>46161</v>
      </c>
      <c r="D1595" s="10">
        <v>39114</v>
      </c>
    </row>
    <row r="1596" spans="1:4">
      <c r="A1596" t="s">
        <v>5</v>
      </c>
      <c r="B1596" t="s">
        <v>79</v>
      </c>
      <c r="C1596" s="9">
        <v>46161</v>
      </c>
      <c r="D1596" s="10">
        <v>35058</v>
      </c>
    </row>
    <row r="1597" spans="1:4">
      <c r="A1597" t="s">
        <v>4</v>
      </c>
      <c r="B1597" t="s">
        <v>214</v>
      </c>
      <c r="C1597" s="9">
        <v>46162</v>
      </c>
      <c r="D1597" s="10">
        <v>31743</v>
      </c>
    </row>
    <row r="1598" spans="1:4">
      <c r="A1598" t="s">
        <v>4</v>
      </c>
      <c r="B1598" t="s">
        <v>105</v>
      </c>
      <c r="C1598" s="9">
        <v>46162</v>
      </c>
      <c r="D1598" s="10">
        <v>28350</v>
      </c>
    </row>
    <row r="1599" spans="1:4">
      <c r="A1599" t="s">
        <v>31</v>
      </c>
      <c r="B1599" t="s">
        <v>63</v>
      </c>
      <c r="C1599" s="9">
        <v>46162</v>
      </c>
      <c r="D1599" s="10">
        <v>9014</v>
      </c>
    </row>
    <row r="1600" spans="1:4">
      <c r="A1600" t="s">
        <v>31</v>
      </c>
      <c r="B1600" t="s">
        <v>130</v>
      </c>
      <c r="C1600" s="9">
        <v>46162</v>
      </c>
      <c r="D1600" s="10">
        <v>26415</v>
      </c>
    </row>
    <row r="1601" spans="1:4">
      <c r="A1601" t="s">
        <v>25</v>
      </c>
      <c r="B1601" t="s">
        <v>279</v>
      </c>
      <c r="C1601" s="9">
        <v>46162</v>
      </c>
      <c r="D1601" s="10">
        <v>17269</v>
      </c>
    </row>
    <row r="1602" spans="1:4">
      <c r="A1602" t="s">
        <v>28</v>
      </c>
      <c r="B1602" t="s">
        <v>270</v>
      </c>
      <c r="C1602" s="9">
        <v>46162</v>
      </c>
      <c r="D1602" s="10">
        <v>13600</v>
      </c>
    </row>
    <row r="1603" spans="1:4">
      <c r="A1603" t="s">
        <v>26</v>
      </c>
      <c r="B1603" t="s">
        <v>265</v>
      </c>
      <c r="C1603" s="9">
        <v>46162</v>
      </c>
      <c r="D1603" s="10">
        <v>5484</v>
      </c>
    </row>
    <row r="1604" spans="1:4">
      <c r="A1604" t="s">
        <v>30</v>
      </c>
      <c r="B1604" t="s">
        <v>60</v>
      </c>
      <c r="C1604" s="9">
        <v>46162</v>
      </c>
      <c r="D1604" s="10">
        <v>29412</v>
      </c>
    </row>
    <row r="1605" spans="1:4">
      <c r="A1605" t="s">
        <v>34</v>
      </c>
      <c r="B1605" t="s">
        <v>126</v>
      </c>
      <c r="C1605" s="9">
        <v>46162</v>
      </c>
      <c r="D1605" s="10">
        <v>11222</v>
      </c>
    </row>
    <row r="1606" spans="1:4">
      <c r="A1606" t="s">
        <v>6</v>
      </c>
      <c r="B1606" t="s">
        <v>94</v>
      </c>
      <c r="C1606" s="9">
        <v>46162</v>
      </c>
      <c r="D1606" s="10">
        <v>25695</v>
      </c>
    </row>
    <row r="1607" spans="1:4">
      <c r="A1607" t="s">
        <v>7</v>
      </c>
      <c r="B1607" t="s">
        <v>174</v>
      </c>
      <c r="C1607" s="9">
        <v>46162</v>
      </c>
      <c r="D1607" s="10">
        <v>29409</v>
      </c>
    </row>
    <row r="1608" spans="1:4">
      <c r="A1608" t="s">
        <v>9</v>
      </c>
      <c r="B1608" t="s">
        <v>292</v>
      </c>
      <c r="C1608" s="9">
        <v>46162</v>
      </c>
      <c r="D1608" s="10">
        <v>22119</v>
      </c>
    </row>
    <row r="1609" spans="1:4">
      <c r="A1609" t="s">
        <v>5</v>
      </c>
      <c r="B1609" t="s">
        <v>71</v>
      </c>
      <c r="C1609" s="9">
        <v>46162</v>
      </c>
      <c r="D1609" s="10">
        <v>41625</v>
      </c>
    </row>
    <row r="1610" spans="1:4">
      <c r="A1610" t="s">
        <v>5</v>
      </c>
      <c r="B1610" t="s">
        <v>87</v>
      </c>
      <c r="C1610" s="9">
        <v>46162</v>
      </c>
      <c r="D1610" s="10">
        <v>48579</v>
      </c>
    </row>
    <row r="1611" spans="1:4">
      <c r="A1611" t="s">
        <v>4</v>
      </c>
      <c r="B1611" t="s">
        <v>194</v>
      </c>
      <c r="C1611" s="9">
        <v>46163</v>
      </c>
      <c r="D1611" s="10">
        <v>34222</v>
      </c>
    </row>
    <row r="1612" spans="1:4">
      <c r="A1612" t="s">
        <v>4</v>
      </c>
      <c r="B1612" t="s">
        <v>214</v>
      </c>
      <c r="C1612" s="9">
        <v>46163</v>
      </c>
      <c r="D1612" s="10">
        <v>28780</v>
      </c>
    </row>
    <row r="1613" spans="1:4">
      <c r="A1613" t="s">
        <v>25</v>
      </c>
      <c r="B1613" t="s">
        <v>264</v>
      </c>
      <c r="C1613" s="9">
        <v>46163</v>
      </c>
      <c r="D1613" s="10">
        <v>22850</v>
      </c>
    </row>
    <row r="1614" spans="1:4">
      <c r="A1614" t="s">
        <v>8</v>
      </c>
      <c r="B1614" t="s">
        <v>75</v>
      </c>
      <c r="C1614" s="9">
        <v>46163</v>
      </c>
      <c r="D1614" s="10">
        <v>25988</v>
      </c>
    </row>
    <row r="1615" spans="1:4">
      <c r="A1615" t="s">
        <v>32</v>
      </c>
      <c r="B1615" t="s">
        <v>267</v>
      </c>
      <c r="C1615" s="9">
        <v>46163</v>
      </c>
      <c r="D1615" s="10">
        <v>13352</v>
      </c>
    </row>
    <row r="1616" spans="1:4">
      <c r="A1616" t="s">
        <v>6</v>
      </c>
      <c r="B1616" t="s">
        <v>199</v>
      </c>
      <c r="C1616" s="9">
        <v>46163</v>
      </c>
      <c r="D1616" s="10">
        <v>31750</v>
      </c>
    </row>
    <row r="1617" spans="1:4">
      <c r="A1617" t="s">
        <v>7</v>
      </c>
      <c r="B1617" t="s">
        <v>97</v>
      </c>
      <c r="C1617" s="9">
        <v>46163</v>
      </c>
      <c r="D1617" s="10">
        <v>25775</v>
      </c>
    </row>
    <row r="1618" spans="1:4">
      <c r="A1618" t="s">
        <v>7</v>
      </c>
      <c r="B1618" t="s">
        <v>98</v>
      </c>
      <c r="C1618" s="9">
        <v>46163</v>
      </c>
      <c r="D1618" s="10">
        <v>17462</v>
      </c>
    </row>
    <row r="1619" spans="1:4">
      <c r="A1619" t="s">
        <v>7</v>
      </c>
      <c r="B1619" t="s">
        <v>222</v>
      </c>
      <c r="C1619" s="9">
        <v>46163</v>
      </c>
      <c r="D1619" s="10">
        <v>24140</v>
      </c>
    </row>
    <row r="1620" spans="1:4">
      <c r="A1620" t="s">
        <v>9</v>
      </c>
      <c r="B1620" t="s">
        <v>258</v>
      </c>
      <c r="C1620" s="9">
        <v>46163</v>
      </c>
      <c r="D1620" s="10">
        <v>41657</v>
      </c>
    </row>
    <row r="1621" spans="1:4">
      <c r="A1621" t="s">
        <v>5</v>
      </c>
      <c r="B1621" t="s">
        <v>209</v>
      </c>
      <c r="C1621" s="9">
        <v>46163</v>
      </c>
      <c r="D1621" s="10">
        <v>29704</v>
      </c>
    </row>
    <row r="1622" spans="1:4">
      <c r="A1622" t="s">
        <v>5</v>
      </c>
      <c r="B1622" t="s">
        <v>276</v>
      </c>
      <c r="C1622" s="9">
        <v>46163</v>
      </c>
      <c r="D1622" s="10">
        <v>27336</v>
      </c>
    </row>
    <row r="1623" spans="1:4">
      <c r="A1623" t="s">
        <v>5</v>
      </c>
      <c r="B1623" t="s">
        <v>140</v>
      </c>
      <c r="C1623" s="9">
        <v>46163</v>
      </c>
      <c r="D1623" s="10">
        <v>33793</v>
      </c>
    </row>
    <row r="1624" spans="1:4">
      <c r="A1624" t="s">
        <v>27</v>
      </c>
      <c r="B1624" t="s">
        <v>218</v>
      </c>
      <c r="C1624" s="9">
        <v>46164</v>
      </c>
      <c r="D1624" s="10">
        <v>11269</v>
      </c>
    </row>
    <row r="1625" spans="1:4">
      <c r="A1625" t="s">
        <v>27</v>
      </c>
      <c r="B1625" t="s">
        <v>229</v>
      </c>
      <c r="C1625" s="9">
        <v>46164</v>
      </c>
      <c r="D1625" s="10">
        <v>14989</v>
      </c>
    </row>
    <row r="1626" spans="1:4">
      <c r="A1626" t="s">
        <v>4</v>
      </c>
      <c r="B1626" t="s">
        <v>188</v>
      </c>
      <c r="C1626" s="9">
        <v>46164</v>
      </c>
      <c r="D1626" s="10">
        <v>36587</v>
      </c>
    </row>
    <row r="1627" spans="1:4">
      <c r="A1627" t="s">
        <v>25</v>
      </c>
      <c r="B1627" t="s">
        <v>160</v>
      </c>
      <c r="C1627" s="9">
        <v>46164</v>
      </c>
      <c r="D1627" s="10">
        <v>16531</v>
      </c>
    </row>
    <row r="1628" spans="1:4">
      <c r="A1628" t="s">
        <v>25</v>
      </c>
      <c r="B1628" t="s">
        <v>196</v>
      </c>
      <c r="C1628" s="9">
        <v>46164</v>
      </c>
      <c r="D1628" s="10">
        <v>11730</v>
      </c>
    </row>
    <row r="1629" spans="1:4">
      <c r="A1629" t="s">
        <v>8</v>
      </c>
      <c r="B1629" t="s">
        <v>161</v>
      </c>
      <c r="C1629" s="9">
        <v>46164</v>
      </c>
      <c r="D1629" s="10">
        <v>15398</v>
      </c>
    </row>
    <row r="1630" spans="1:4">
      <c r="A1630" t="s">
        <v>7</v>
      </c>
      <c r="B1630" t="s">
        <v>76</v>
      </c>
      <c r="C1630" s="9">
        <v>46164</v>
      </c>
      <c r="D1630" s="10">
        <v>24188</v>
      </c>
    </row>
    <row r="1631" spans="1:4">
      <c r="A1631" t="s">
        <v>9</v>
      </c>
      <c r="B1631" t="s">
        <v>101</v>
      </c>
      <c r="C1631" s="9">
        <v>46164</v>
      </c>
      <c r="D1631" s="10">
        <v>29307</v>
      </c>
    </row>
    <row r="1632" spans="1:4">
      <c r="A1632" t="s">
        <v>5</v>
      </c>
      <c r="B1632" t="s">
        <v>168</v>
      </c>
      <c r="C1632" s="9">
        <v>46164</v>
      </c>
      <c r="D1632" s="10">
        <v>35722</v>
      </c>
    </row>
    <row r="1633" spans="1:4">
      <c r="A1633" t="s">
        <v>5</v>
      </c>
      <c r="B1633" t="s">
        <v>150</v>
      </c>
      <c r="C1633" s="9">
        <v>46164</v>
      </c>
      <c r="D1633" s="10">
        <v>40561</v>
      </c>
    </row>
    <row r="1634" spans="1:4">
      <c r="A1634" t="s">
        <v>5</v>
      </c>
      <c r="B1634" t="s">
        <v>103</v>
      </c>
      <c r="C1634" s="9">
        <v>46164</v>
      </c>
      <c r="D1634" s="10">
        <v>36748</v>
      </c>
    </row>
    <row r="1635" spans="1:4">
      <c r="A1635" t="s">
        <v>4</v>
      </c>
      <c r="B1635" t="s">
        <v>89</v>
      </c>
      <c r="C1635" s="9">
        <v>46165</v>
      </c>
      <c r="D1635" s="10">
        <v>21975</v>
      </c>
    </row>
    <row r="1636" spans="1:4">
      <c r="A1636" t="s">
        <v>8</v>
      </c>
      <c r="B1636" t="s">
        <v>66</v>
      </c>
      <c r="C1636" s="9">
        <v>46165</v>
      </c>
      <c r="D1636" s="10">
        <v>15568</v>
      </c>
    </row>
    <row r="1637" spans="1:4">
      <c r="A1637" t="s">
        <v>8</v>
      </c>
      <c r="B1637" t="s">
        <v>132</v>
      </c>
      <c r="C1637" s="9">
        <v>46165</v>
      </c>
      <c r="D1637" s="10">
        <v>14887</v>
      </c>
    </row>
    <row r="1638" spans="1:4">
      <c r="A1638" t="s">
        <v>7</v>
      </c>
      <c r="B1638" t="s">
        <v>219</v>
      </c>
      <c r="C1638" s="9">
        <v>46165</v>
      </c>
      <c r="D1638" s="10">
        <v>29734</v>
      </c>
    </row>
    <row r="1639" spans="1:4">
      <c r="A1639" t="s">
        <v>9</v>
      </c>
      <c r="B1639" t="s">
        <v>153</v>
      </c>
      <c r="C1639" s="9">
        <v>46165</v>
      </c>
      <c r="D1639" s="10">
        <v>27133</v>
      </c>
    </row>
    <row r="1640" spans="1:4">
      <c r="A1640" t="s">
        <v>5</v>
      </c>
      <c r="B1640" t="s">
        <v>209</v>
      </c>
      <c r="C1640" s="9">
        <v>46165</v>
      </c>
      <c r="D1640" s="10">
        <v>45290</v>
      </c>
    </row>
    <row r="1641" spans="1:4">
      <c r="A1641" t="s">
        <v>5</v>
      </c>
      <c r="B1641" t="s">
        <v>72</v>
      </c>
      <c r="C1641" s="9">
        <v>46165</v>
      </c>
      <c r="D1641" s="10">
        <v>51368</v>
      </c>
    </row>
    <row r="1642" spans="1:4">
      <c r="A1642" t="s">
        <v>5</v>
      </c>
      <c r="B1642" t="s">
        <v>122</v>
      </c>
      <c r="C1642" s="9">
        <v>46165</v>
      </c>
      <c r="D1642" s="10">
        <v>26819</v>
      </c>
    </row>
    <row r="1643" spans="1:4">
      <c r="A1643" t="s">
        <v>5</v>
      </c>
      <c r="B1643" t="s">
        <v>80</v>
      </c>
      <c r="C1643" s="9">
        <v>46165</v>
      </c>
      <c r="D1643" s="10">
        <v>52306</v>
      </c>
    </row>
    <row r="1644" spans="1:4">
      <c r="A1644" t="s">
        <v>26</v>
      </c>
      <c r="B1644" t="s">
        <v>291</v>
      </c>
      <c r="C1644" s="9">
        <v>46166</v>
      </c>
      <c r="D1644" s="10">
        <v>14877</v>
      </c>
    </row>
    <row r="1645" spans="1:4">
      <c r="A1645" t="s">
        <v>6</v>
      </c>
      <c r="B1645" t="s">
        <v>286</v>
      </c>
      <c r="C1645" s="9">
        <v>46166</v>
      </c>
      <c r="D1645" s="10">
        <v>13200</v>
      </c>
    </row>
    <row r="1646" spans="1:4">
      <c r="A1646" t="s">
        <v>7</v>
      </c>
      <c r="B1646" t="s">
        <v>255</v>
      </c>
      <c r="C1646" s="9">
        <v>46166</v>
      </c>
      <c r="D1646" s="10">
        <v>25324</v>
      </c>
    </row>
    <row r="1647" spans="1:4">
      <c r="A1647" t="s">
        <v>7</v>
      </c>
      <c r="B1647" t="s">
        <v>165</v>
      </c>
      <c r="C1647" s="9">
        <v>46166</v>
      </c>
      <c r="D1647" s="10">
        <v>28170</v>
      </c>
    </row>
    <row r="1648" spans="1:4">
      <c r="A1648" t="s">
        <v>5</v>
      </c>
      <c r="B1648" t="s">
        <v>276</v>
      </c>
      <c r="C1648" s="9">
        <v>46166</v>
      </c>
      <c r="D1648" s="10">
        <v>30486</v>
      </c>
    </row>
    <row r="1649" spans="1:4">
      <c r="A1649" t="s">
        <v>5</v>
      </c>
      <c r="B1649" t="s">
        <v>87</v>
      </c>
      <c r="C1649" s="9">
        <v>46166</v>
      </c>
      <c r="D1649" s="10">
        <v>47474</v>
      </c>
    </row>
    <row r="1650" spans="1:4">
      <c r="A1650" t="s">
        <v>27</v>
      </c>
      <c r="B1650" t="s">
        <v>260</v>
      </c>
      <c r="C1650" s="9">
        <v>46167</v>
      </c>
      <c r="D1650" s="10">
        <v>7899</v>
      </c>
    </row>
    <row r="1651" spans="1:4">
      <c r="A1651" t="s">
        <v>31</v>
      </c>
      <c r="B1651" t="s">
        <v>107</v>
      </c>
      <c r="C1651" s="9">
        <v>46167</v>
      </c>
      <c r="D1651" s="10">
        <v>13347</v>
      </c>
    </row>
    <row r="1652" spans="1:4">
      <c r="A1652" t="s">
        <v>6</v>
      </c>
      <c r="B1652" t="s">
        <v>272</v>
      </c>
      <c r="C1652" s="9">
        <v>46167</v>
      </c>
      <c r="D1652" s="10">
        <v>17559</v>
      </c>
    </row>
    <row r="1653" spans="1:4">
      <c r="A1653" t="s">
        <v>7</v>
      </c>
      <c r="B1653" t="s">
        <v>288</v>
      </c>
      <c r="C1653" s="9">
        <v>46167</v>
      </c>
      <c r="D1653" s="10">
        <v>24028</v>
      </c>
    </row>
    <row r="1654" spans="1:4">
      <c r="A1654" t="s">
        <v>9</v>
      </c>
      <c r="B1654" t="s">
        <v>134</v>
      </c>
      <c r="C1654" s="9">
        <v>46167</v>
      </c>
      <c r="D1654" s="10">
        <v>48284</v>
      </c>
    </row>
    <row r="1655" spans="1:4">
      <c r="A1655" t="s">
        <v>9</v>
      </c>
      <c r="B1655" t="s">
        <v>258</v>
      </c>
      <c r="C1655" s="9">
        <v>46167</v>
      </c>
      <c r="D1655" s="10">
        <v>36325</v>
      </c>
    </row>
    <row r="1656" spans="1:4">
      <c r="A1656" t="s">
        <v>9</v>
      </c>
      <c r="B1656" t="s">
        <v>121</v>
      </c>
      <c r="C1656" s="9">
        <v>46167</v>
      </c>
      <c r="D1656" s="10">
        <v>17251</v>
      </c>
    </row>
    <row r="1657" spans="1:4">
      <c r="A1657" t="s">
        <v>9</v>
      </c>
      <c r="B1657" t="s">
        <v>223</v>
      </c>
      <c r="C1657" s="9">
        <v>46167</v>
      </c>
      <c r="D1657" s="10">
        <v>30613</v>
      </c>
    </row>
    <row r="1658" spans="1:4">
      <c r="A1658" t="s">
        <v>9</v>
      </c>
      <c r="B1658" t="s">
        <v>67</v>
      </c>
      <c r="C1658" s="9">
        <v>46167</v>
      </c>
      <c r="D1658" s="10">
        <v>36195</v>
      </c>
    </row>
    <row r="1659" spans="1:4">
      <c r="A1659" t="s">
        <v>9</v>
      </c>
      <c r="B1659" t="s">
        <v>181</v>
      </c>
      <c r="C1659" s="9">
        <v>46167</v>
      </c>
      <c r="D1659" s="10">
        <v>15528</v>
      </c>
    </row>
    <row r="1660" spans="1:4">
      <c r="A1660" t="s">
        <v>5</v>
      </c>
      <c r="B1660" t="s">
        <v>88</v>
      </c>
      <c r="C1660" s="9">
        <v>46167</v>
      </c>
      <c r="D1660" s="10">
        <v>54068</v>
      </c>
    </row>
    <row r="1661" spans="1:4">
      <c r="A1661" t="s">
        <v>5</v>
      </c>
      <c r="B1661" t="s">
        <v>140</v>
      </c>
      <c r="C1661" s="9">
        <v>46167</v>
      </c>
      <c r="D1661" s="10">
        <v>35822</v>
      </c>
    </row>
    <row r="1662" spans="1:4">
      <c r="A1662" t="s">
        <v>27</v>
      </c>
      <c r="B1662" t="s">
        <v>141</v>
      </c>
      <c r="C1662" s="9">
        <v>46168</v>
      </c>
      <c r="D1662" s="10">
        <v>10074</v>
      </c>
    </row>
    <row r="1663" spans="1:4">
      <c r="A1663" t="s">
        <v>8</v>
      </c>
      <c r="B1663" t="s">
        <v>92</v>
      </c>
      <c r="C1663" s="9">
        <v>46168</v>
      </c>
      <c r="D1663" s="10">
        <v>25677</v>
      </c>
    </row>
    <row r="1664" spans="1:4">
      <c r="A1664" t="s">
        <v>7</v>
      </c>
      <c r="B1664" t="s">
        <v>164</v>
      </c>
      <c r="C1664" s="9">
        <v>46168</v>
      </c>
      <c r="D1664" s="10">
        <v>23544</v>
      </c>
    </row>
    <row r="1665" spans="1:4">
      <c r="A1665" t="s">
        <v>7</v>
      </c>
      <c r="B1665" t="s">
        <v>77</v>
      </c>
      <c r="C1665" s="9">
        <v>46168</v>
      </c>
      <c r="D1665" s="10">
        <v>36541</v>
      </c>
    </row>
    <row r="1666" spans="1:4">
      <c r="A1666" t="s">
        <v>9</v>
      </c>
      <c r="B1666" t="s">
        <v>180</v>
      </c>
      <c r="C1666" s="9">
        <v>46168</v>
      </c>
      <c r="D1666" s="10">
        <v>50318</v>
      </c>
    </row>
    <row r="1667" spans="1:4">
      <c r="A1667" t="s">
        <v>9</v>
      </c>
      <c r="B1667" t="s">
        <v>87</v>
      </c>
      <c r="C1667" s="9">
        <v>46168</v>
      </c>
      <c r="D1667" s="10">
        <v>51213</v>
      </c>
    </row>
    <row r="1668" spans="1:4">
      <c r="A1668" t="s">
        <v>5</v>
      </c>
      <c r="B1668" t="s">
        <v>59</v>
      </c>
      <c r="C1668" s="9">
        <v>46168</v>
      </c>
      <c r="D1668" s="10">
        <v>46789</v>
      </c>
    </row>
    <row r="1669" spans="1:4">
      <c r="A1669" t="s">
        <v>5</v>
      </c>
      <c r="B1669" t="s">
        <v>167</v>
      </c>
      <c r="C1669" s="9">
        <v>46168</v>
      </c>
      <c r="D1669" s="10">
        <v>32607</v>
      </c>
    </row>
    <row r="1670" spans="1:4">
      <c r="A1670" t="s">
        <v>5</v>
      </c>
      <c r="B1670" t="s">
        <v>275</v>
      </c>
      <c r="C1670" s="9">
        <v>46168</v>
      </c>
      <c r="D1670" s="10">
        <v>32150</v>
      </c>
    </row>
    <row r="1671" spans="1:4">
      <c r="A1671" t="s">
        <v>5</v>
      </c>
      <c r="B1671" t="s">
        <v>149</v>
      </c>
      <c r="C1671" s="9">
        <v>46168</v>
      </c>
      <c r="D1671" s="10">
        <v>49818</v>
      </c>
    </row>
    <row r="1672" spans="1:4">
      <c r="A1672" t="s">
        <v>5</v>
      </c>
      <c r="B1672" t="s">
        <v>80</v>
      </c>
      <c r="C1672" s="9">
        <v>46168</v>
      </c>
      <c r="D1672" s="10">
        <v>35701</v>
      </c>
    </row>
    <row r="1673" spans="1:4">
      <c r="A1673" t="s">
        <v>5</v>
      </c>
      <c r="B1673" t="s">
        <v>159</v>
      </c>
      <c r="C1673" s="9">
        <v>46168</v>
      </c>
      <c r="D1673" s="10">
        <v>38966</v>
      </c>
    </row>
    <row r="1674" spans="1:4">
      <c r="A1674" t="s">
        <v>5</v>
      </c>
      <c r="B1674" t="s">
        <v>88</v>
      </c>
      <c r="C1674" s="9">
        <v>46168</v>
      </c>
      <c r="D1674" s="10">
        <v>51954</v>
      </c>
    </row>
    <row r="1675" spans="1:4">
      <c r="A1675" t="s">
        <v>5</v>
      </c>
      <c r="B1675" t="s">
        <v>88</v>
      </c>
      <c r="C1675" s="9">
        <v>46168</v>
      </c>
      <c r="D1675" s="10">
        <v>44187</v>
      </c>
    </row>
    <row r="1676" spans="1:4">
      <c r="A1676" t="s">
        <v>4</v>
      </c>
      <c r="B1676" t="s">
        <v>230</v>
      </c>
      <c r="C1676" s="9">
        <v>46169</v>
      </c>
      <c r="D1676" s="10">
        <v>26693</v>
      </c>
    </row>
    <row r="1677" spans="1:4">
      <c r="A1677" t="s">
        <v>4</v>
      </c>
      <c r="B1677" t="s">
        <v>248</v>
      </c>
      <c r="C1677" s="9">
        <v>46169</v>
      </c>
      <c r="D1677" s="10">
        <v>40782</v>
      </c>
    </row>
    <row r="1678" spans="1:4">
      <c r="A1678" t="s">
        <v>28</v>
      </c>
      <c r="B1678" t="s">
        <v>190</v>
      </c>
      <c r="C1678" s="9">
        <v>46169</v>
      </c>
      <c r="D1678" s="10">
        <v>14876</v>
      </c>
    </row>
    <row r="1679" spans="1:4">
      <c r="A1679" t="s">
        <v>32</v>
      </c>
      <c r="B1679" t="s">
        <v>206</v>
      </c>
      <c r="C1679" s="9">
        <v>46169</v>
      </c>
      <c r="D1679" s="10">
        <v>14377</v>
      </c>
    </row>
    <row r="1680" spans="1:4">
      <c r="A1680" t="s">
        <v>34</v>
      </c>
      <c r="B1680" t="s">
        <v>285</v>
      </c>
      <c r="C1680" s="9">
        <v>46169</v>
      </c>
      <c r="D1680" s="10">
        <v>26742</v>
      </c>
    </row>
    <row r="1681" spans="1:4">
      <c r="A1681" t="s">
        <v>29</v>
      </c>
      <c r="B1681" t="s">
        <v>135</v>
      </c>
      <c r="C1681" s="9">
        <v>46169</v>
      </c>
      <c r="D1681" s="10">
        <v>25784</v>
      </c>
    </row>
    <row r="1682" spans="1:4">
      <c r="A1682" t="s">
        <v>9</v>
      </c>
      <c r="B1682" t="s">
        <v>120</v>
      </c>
      <c r="C1682" s="9">
        <v>46169</v>
      </c>
      <c r="D1682" s="10">
        <v>43929</v>
      </c>
    </row>
    <row r="1683" spans="1:4">
      <c r="A1683" t="s">
        <v>9</v>
      </c>
      <c r="B1683" t="s">
        <v>219</v>
      </c>
      <c r="C1683" s="9">
        <v>46169</v>
      </c>
      <c r="D1683" s="10">
        <v>35056</v>
      </c>
    </row>
    <row r="1684" spans="1:4">
      <c r="A1684" t="s">
        <v>5</v>
      </c>
      <c r="B1684" t="s">
        <v>187</v>
      </c>
      <c r="C1684" s="9">
        <v>46169</v>
      </c>
      <c r="D1684" s="10">
        <v>34705</v>
      </c>
    </row>
    <row r="1685" spans="1:4">
      <c r="A1685" t="s">
        <v>5</v>
      </c>
      <c r="B1685" t="s">
        <v>114</v>
      </c>
      <c r="C1685" s="9">
        <v>46169</v>
      </c>
      <c r="D1685" s="10">
        <v>37705</v>
      </c>
    </row>
    <row r="1686" spans="1:4">
      <c r="A1686" t="s">
        <v>5</v>
      </c>
      <c r="B1686" t="s">
        <v>148</v>
      </c>
      <c r="C1686" s="9">
        <v>46169</v>
      </c>
      <c r="D1686" s="10">
        <v>37674</v>
      </c>
    </row>
    <row r="1687" spans="1:4">
      <c r="A1687" t="s">
        <v>5</v>
      </c>
      <c r="B1687" t="s">
        <v>168</v>
      </c>
      <c r="C1687" s="9">
        <v>46169</v>
      </c>
      <c r="D1687" s="10">
        <v>44920</v>
      </c>
    </row>
    <row r="1688" spans="1:4">
      <c r="A1688" t="s">
        <v>5</v>
      </c>
      <c r="B1688" t="s">
        <v>168</v>
      </c>
      <c r="C1688" s="9">
        <v>46169</v>
      </c>
      <c r="D1688" s="10">
        <v>35397</v>
      </c>
    </row>
    <row r="1689" spans="1:4">
      <c r="A1689" t="s">
        <v>5</v>
      </c>
      <c r="B1689" t="s">
        <v>276</v>
      </c>
      <c r="C1689" s="9">
        <v>46169</v>
      </c>
      <c r="D1689" s="10">
        <v>31546</v>
      </c>
    </row>
    <row r="1690" spans="1:4">
      <c r="A1690" t="s">
        <v>5</v>
      </c>
      <c r="B1690" t="s">
        <v>87</v>
      </c>
      <c r="C1690" s="9">
        <v>46169</v>
      </c>
      <c r="D1690" s="10">
        <v>43448</v>
      </c>
    </row>
    <row r="1691" spans="1:4">
      <c r="A1691" t="s">
        <v>5</v>
      </c>
      <c r="B1691" t="s">
        <v>104</v>
      </c>
      <c r="C1691" s="9">
        <v>46169</v>
      </c>
      <c r="D1691" s="10">
        <v>46950</v>
      </c>
    </row>
    <row r="1692" spans="1:4">
      <c r="A1692" t="s">
        <v>27</v>
      </c>
      <c r="B1692" t="s">
        <v>58</v>
      </c>
      <c r="C1692" s="9">
        <v>46170</v>
      </c>
      <c r="D1692" s="10">
        <v>11140</v>
      </c>
    </row>
    <row r="1693" spans="1:4">
      <c r="A1693" t="s">
        <v>30</v>
      </c>
      <c r="B1693" t="s">
        <v>183</v>
      </c>
      <c r="C1693" s="9">
        <v>46170</v>
      </c>
      <c r="D1693" s="10">
        <v>16116</v>
      </c>
    </row>
    <row r="1694" spans="1:4">
      <c r="A1694" t="s">
        <v>8</v>
      </c>
      <c r="B1694" t="s">
        <v>170</v>
      </c>
      <c r="C1694" s="9">
        <v>46170</v>
      </c>
      <c r="D1694" s="10">
        <v>13472</v>
      </c>
    </row>
    <row r="1695" spans="1:4">
      <c r="A1695" t="s">
        <v>7</v>
      </c>
      <c r="B1695" t="s">
        <v>215</v>
      </c>
      <c r="C1695" s="9">
        <v>46170</v>
      </c>
      <c r="D1695" s="10">
        <v>20983</v>
      </c>
    </row>
    <row r="1696" spans="1:4">
      <c r="A1696" t="s">
        <v>5</v>
      </c>
      <c r="B1696" t="s">
        <v>72</v>
      </c>
      <c r="C1696" s="9">
        <v>46170</v>
      </c>
      <c r="D1696" s="10">
        <v>49057</v>
      </c>
    </row>
    <row r="1697" spans="1:4">
      <c r="A1697" t="s">
        <v>5</v>
      </c>
      <c r="B1697" t="s">
        <v>167</v>
      </c>
      <c r="C1697" s="9">
        <v>46170</v>
      </c>
      <c r="D1697" s="10">
        <v>28116</v>
      </c>
    </row>
    <row r="1698" spans="1:4">
      <c r="A1698" t="s">
        <v>4</v>
      </c>
      <c r="B1698" t="s">
        <v>252</v>
      </c>
      <c r="C1698" s="9">
        <v>46171</v>
      </c>
      <c r="D1698" s="10">
        <v>18848</v>
      </c>
    </row>
    <row r="1699" spans="1:4">
      <c r="A1699" t="s">
        <v>4</v>
      </c>
      <c r="B1699" t="s">
        <v>203</v>
      </c>
      <c r="C1699" s="9">
        <v>46171</v>
      </c>
      <c r="D1699" s="10">
        <v>34343</v>
      </c>
    </row>
    <row r="1700" spans="1:4">
      <c r="A1700" t="s">
        <v>25</v>
      </c>
      <c r="B1700" t="s">
        <v>284</v>
      </c>
      <c r="C1700" s="9">
        <v>46171</v>
      </c>
      <c r="D1700" s="10">
        <v>8339</v>
      </c>
    </row>
    <row r="1701" spans="1:4">
      <c r="A1701" t="s">
        <v>8</v>
      </c>
      <c r="B1701" t="s">
        <v>251</v>
      </c>
      <c r="C1701" s="9">
        <v>46171</v>
      </c>
      <c r="D1701" s="10">
        <v>15904</v>
      </c>
    </row>
    <row r="1702" spans="1:4">
      <c r="A1702" t="s">
        <v>29</v>
      </c>
      <c r="B1702" t="s">
        <v>133</v>
      </c>
      <c r="C1702" s="9">
        <v>46171</v>
      </c>
      <c r="D1702" s="10">
        <v>19110</v>
      </c>
    </row>
    <row r="1703" spans="1:4">
      <c r="A1703" t="s">
        <v>9</v>
      </c>
      <c r="B1703" t="s">
        <v>149</v>
      </c>
      <c r="C1703" s="9">
        <v>46171</v>
      </c>
      <c r="D1703" s="10">
        <v>42446</v>
      </c>
    </row>
    <row r="1704" spans="1:4">
      <c r="A1704" t="s">
        <v>9</v>
      </c>
      <c r="B1704" t="s">
        <v>68</v>
      </c>
      <c r="C1704" s="9">
        <v>46171</v>
      </c>
      <c r="D1704" s="10">
        <v>47849</v>
      </c>
    </row>
    <row r="1705" spans="1:4">
      <c r="A1705" t="s">
        <v>5</v>
      </c>
      <c r="B1705" t="s">
        <v>275</v>
      </c>
      <c r="C1705" s="9">
        <v>46171</v>
      </c>
      <c r="D1705" s="10">
        <v>39268</v>
      </c>
    </row>
    <row r="1706" spans="1:4">
      <c r="A1706" t="s">
        <v>5</v>
      </c>
      <c r="B1706" t="s">
        <v>70</v>
      </c>
      <c r="C1706" s="9">
        <v>46171</v>
      </c>
      <c r="D1706" s="10">
        <v>35673</v>
      </c>
    </row>
    <row r="1707" spans="1:4">
      <c r="A1707" t="s">
        <v>5</v>
      </c>
      <c r="B1707" t="s">
        <v>86</v>
      </c>
      <c r="C1707" s="9">
        <v>46171</v>
      </c>
      <c r="D1707" s="10">
        <v>33915</v>
      </c>
    </row>
    <row r="1708" spans="1:4">
      <c r="A1708" t="s">
        <v>5</v>
      </c>
      <c r="B1708" t="s">
        <v>87</v>
      </c>
      <c r="C1708" s="9">
        <v>46171</v>
      </c>
      <c r="D1708" s="10">
        <v>46765</v>
      </c>
    </row>
    <row r="1709" spans="1:4">
      <c r="A1709" t="s">
        <v>4</v>
      </c>
      <c r="B1709" t="s">
        <v>157</v>
      </c>
      <c r="C1709" s="9">
        <v>46172</v>
      </c>
      <c r="D1709" s="10">
        <v>31903</v>
      </c>
    </row>
    <row r="1710" spans="1:4">
      <c r="A1710" t="s">
        <v>26</v>
      </c>
      <c r="B1710" t="s">
        <v>249</v>
      </c>
      <c r="C1710" s="9">
        <v>46172</v>
      </c>
      <c r="D1710" s="10">
        <v>14556</v>
      </c>
    </row>
    <row r="1711" spans="1:4">
      <c r="A1711" t="s">
        <v>7</v>
      </c>
      <c r="B1711" t="s">
        <v>289</v>
      </c>
      <c r="C1711" s="9">
        <v>46172</v>
      </c>
      <c r="D1711" s="10">
        <v>8711</v>
      </c>
    </row>
    <row r="1712" spans="1:4">
      <c r="A1712" t="s">
        <v>9</v>
      </c>
      <c r="B1712" t="s">
        <v>228</v>
      </c>
      <c r="C1712" s="9">
        <v>46172</v>
      </c>
      <c r="D1712" s="10">
        <v>54746</v>
      </c>
    </row>
    <row r="1713" spans="1:4">
      <c r="A1713" t="s">
        <v>5</v>
      </c>
      <c r="B1713" t="s">
        <v>114</v>
      </c>
      <c r="C1713" s="9">
        <v>46172</v>
      </c>
      <c r="D1713" s="10">
        <v>32821</v>
      </c>
    </row>
    <row r="1714" spans="1:4">
      <c r="A1714" t="s">
        <v>5</v>
      </c>
      <c r="B1714" t="s">
        <v>102</v>
      </c>
      <c r="C1714" s="9">
        <v>46172</v>
      </c>
      <c r="D1714" s="10">
        <v>33382</v>
      </c>
    </row>
    <row r="1715" spans="1:4">
      <c r="A1715" t="s">
        <v>5</v>
      </c>
      <c r="B1715" t="s">
        <v>189</v>
      </c>
      <c r="C1715" s="9">
        <v>46172</v>
      </c>
      <c r="D1715" s="10">
        <v>39184</v>
      </c>
    </row>
    <row r="1716" spans="1:4">
      <c r="A1716" t="s">
        <v>4</v>
      </c>
      <c r="B1716" t="s">
        <v>110</v>
      </c>
      <c r="C1716" s="9">
        <v>46173</v>
      </c>
      <c r="D1716" s="10">
        <v>39292</v>
      </c>
    </row>
    <row r="1717" spans="1:4">
      <c r="A1717" t="s">
        <v>4</v>
      </c>
      <c r="B1717" t="s">
        <v>116</v>
      </c>
      <c r="C1717" s="9">
        <v>46173</v>
      </c>
      <c r="D1717" s="10">
        <v>34249</v>
      </c>
    </row>
    <row r="1718" spans="1:4">
      <c r="A1718" t="s">
        <v>28</v>
      </c>
      <c r="B1718" t="s">
        <v>74</v>
      </c>
      <c r="C1718" s="9">
        <v>46173</v>
      </c>
      <c r="D1718" s="10">
        <v>15137</v>
      </c>
    </row>
    <row r="1719" spans="1:4">
      <c r="A1719" t="s">
        <v>26</v>
      </c>
      <c r="B1719" t="s">
        <v>151</v>
      </c>
      <c r="C1719" s="9">
        <v>46173</v>
      </c>
      <c r="D1719" s="10">
        <v>12251</v>
      </c>
    </row>
    <row r="1720" spans="1:4">
      <c r="A1720" t="s">
        <v>8</v>
      </c>
      <c r="B1720" t="s">
        <v>244</v>
      </c>
      <c r="C1720" s="9">
        <v>46173</v>
      </c>
      <c r="D1720" s="10">
        <v>7053</v>
      </c>
    </row>
    <row r="1721" spans="1:4">
      <c r="A1721" t="s">
        <v>6</v>
      </c>
      <c r="B1721" t="s">
        <v>282</v>
      </c>
      <c r="C1721" s="9">
        <v>46173</v>
      </c>
      <c r="D1721" s="10">
        <v>19084</v>
      </c>
    </row>
    <row r="1722" spans="1:4">
      <c r="A1722" t="s">
        <v>7</v>
      </c>
      <c r="B1722" t="s">
        <v>96</v>
      </c>
      <c r="C1722" s="9">
        <v>46173</v>
      </c>
      <c r="D1722" s="10">
        <v>21390</v>
      </c>
    </row>
    <row r="1723" spans="1:4">
      <c r="A1723" t="s">
        <v>9</v>
      </c>
      <c r="B1723" t="s">
        <v>112</v>
      </c>
      <c r="C1723" s="9">
        <v>46173</v>
      </c>
      <c r="D1723" s="10">
        <v>47763</v>
      </c>
    </row>
    <row r="1724" spans="1:4">
      <c r="A1724" t="s">
        <v>5</v>
      </c>
      <c r="B1724" t="s">
        <v>147</v>
      </c>
      <c r="C1724" s="9">
        <v>46173</v>
      </c>
      <c r="D1724" s="10">
        <v>34552</v>
      </c>
    </row>
    <row r="1725" spans="1:4">
      <c r="A1725" t="s">
        <v>5</v>
      </c>
      <c r="B1725" t="s">
        <v>189</v>
      </c>
      <c r="C1725" s="9">
        <v>46173</v>
      </c>
      <c r="D1725" s="10">
        <v>37818</v>
      </c>
    </row>
    <row r="1726" spans="1:4">
      <c r="A1726" t="s">
        <v>5</v>
      </c>
      <c r="B1726" t="s">
        <v>210</v>
      </c>
      <c r="C1726" s="9">
        <v>46173</v>
      </c>
      <c r="D1726" s="10">
        <v>46066</v>
      </c>
    </row>
    <row r="1727" spans="1:4">
      <c r="A1727" t="s">
        <v>5</v>
      </c>
      <c r="B1727" t="s">
        <v>87</v>
      </c>
      <c r="C1727" s="9">
        <v>46173</v>
      </c>
      <c r="D1727" s="10">
        <v>42838</v>
      </c>
    </row>
    <row r="1728" spans="1:4">
      <c r="A1728" t="s">
        <v>27</v>
      </c>
      <c r="B1728" t="s">
        <v>264</v>
      </c>
      <c r="C1728" s="9">
        <v>46174</v>
      </c>
      <c r="D1728" s="10">
        <v>11065</v>
      </c>
    </row>
    <row r="1729" spans="1:4">
      <c r="A1729" t="s">
        <v>4</v>
      </c>
      <c r="B1729" t="s">
        <v>85</v>
      </c>
      <c r="C1729" s="9">
        <v>46174</v>
      </c>
      <c r="D1729" s="10">
        <v>32859</v>
      </c>
    </row>
    <row r="1730" spans="1:4">
      <c r="A1730" t="s">
        <v>4</v>
      </c>
      <c r="B1730" t="s">
        <v>158</v>
      </c>
      <c r="C1730" s="9">
        <v>46174</v>
      </c>
      <c r="D1730" s="10">
        <v>27539</v>
      </c>
    </row>
    <row r="1731" spans="1:4">
      <c r="A1731" t="s">
        <v>6</v>
      </c>
      <c r="B1731" t="s">
        <v>199</v>
      </c>
      <c r="C1731" s="9">
        <v>46174</v>
      </c>
      <c r="D1731" s="10">
        <v>8052</v>
      </c>
    </row>
    <row r="1732" spans="1:4">
      <c r="A1732" t="s">
        <v>6</v>
      </c>
      <c r="B1732" t="s">
        <v>136</v>
      </c>
      <c r="C1732" s="9">
        <v>46174</v>
      </c>
      <c r="D1732" s="10">
        <v>42807</v>
      </c>
    </row>
    <row r="1733" spans="1:4">
      <c r="A1733" t="s">
        <v>7</v>
      </c>
      <c r="B1733" t="s">
        <v>99</v>
      </c>
      <c r="C1733" s="9">
        <v>46174</v>
      </c>
      <c r="D1733" s="10">
        <v>18872</v>
      </c>
    </row>
    <row r="1734" spans="1:4">
      <c r="A1734" t="s">
        <v>37</v>
      </c>
      <c r="B1734" t="s">
        <v>186</v>
      </c>
      <c r="C1734" s="9">
        <v>46174</v>
      </c>
      <c r="D1734" s="10">
        <v>13708</v>
      </c>
    </row>
    <row r="1735" spans="1:4">
      <c r="A1735" t="s">
        <v>9</v>
      </c>
      <c r="B1735" t="s">
        <v>120</v>
      </c>
      <c r="C1735" s="9">
        <v>46174</v>
      </c>
      <c r="D1735" s="10">
        <v>43823</v>
      </c>
    </row>
    <row r="1736" spans="1:4">
      <c r="A1736" t="s">
        <v>9</v>
      </c>
      <c r="B1736" t="s">
        <v>100</v>
      </c>
      <c r="C1736" s="9">
        <v>46174</v>
      </c>
      <c r="D1736" s="10">
        <v>21046</v>
      </c>
    </row>
    <row r="1737" spans="1:4">
      <c r="A1737" t="s">
        <v>5</v>
      </c>
      <c r="B1737" t="s">
        <v>114</v>
      </c>
      <c r="C1737" s="9">
        <v>46174</v>
      </c>
      <c r="D1737" s="10">
        <v>41004</v>
      </c>
    </row>
    <row r="1738" spans="1:4">
      <c r="A1738" t="s">
        <v>5</v>
      </c>
      <c r="B1738" t="s">
        <v>70</v>
      </c>
      <c r="C1738" s="9">
        <v>46174</v>
      </c>
      <c r="D1738" s="10">
        <v>46651</v>
      </c>
    </row>
    <row r="1739" spans="1:4">
      <c r="A1739" t="s">
        <v>5</v>
      </c>
      <c r="B1739" t="s">
        <v>148</v>
      </c>
      <c r="C1739" s="9">
        <v>46174</v>
      </c>
      <c r="D1739" s="10">
        <v>48752</v>
      </c>
    </row>
    <row r="1740" spans="1:4">
      <c r="A1740" t="s">
        <v>5</v>
      </c>
      <c r="B1740" t="s">
        <v>150</v>
      </c>
      <c r="C1740" s="9">
        <v>46174</v>
      </c>
      <c r="D1740" s="10">
        <v>39904</v>
      </c>
    </row>
    <row r="1741" spans="1:4">
      <c r="A1741" t="s">
        <v>5</v>
      </c>
      <c r="B1741" t="s">
        <v>124</v>
      </c>
      <c r="C1741" s="9">
        <v>46174</v>
      </c>
      <c r="D1741" s="10">
        <v>36594</v>
      </c>
    </row>
    <row r="1742" spans="1:4">
      <c r="A1742" t="s">
        <v>33</v>
      </c>
      <c r="B1742" t="s">
        <v>267</v>
      </c>
      <c r="C1742" s="9">
        <v>46175</v>
      </c>
      <c r="D1742" s="10">
        <v>14865</v>
      </c>
    </row>
    <row r="1743" spans="1:4">
      <c r="A1743" t="s">
        <v>29</v>
      </c>
      <c r="B1743" t="s">
        <v>109</v>
      </c>
      <c r="C1743" s="9">
        <v>46175</v>
      </c>
      <c r="D1743" s="10">
        <v>25393</v>
      </c>
    </row>
    <row r="1744" spans="1:4">
      <c r="A1744" t="s">
        <v>9</v>
      </c>
      <c r="B1744" t="s">
        <v>274</v>
      </c>
      <c r="C1744" s="9">
        <v>46175</v>
      </c>
      <c r="D1744" s="10">
        <v>46378</v>
      </c>
    </row>
    <row r="1745" spans="1:4">
      <c r="A1745" t="s">
        <v>9</v>
      </c>
      <c r="B1745" t="s">
        <v>258</v>
      </c>
      <c r="C1745" s="9">
        <v>46175</v>
      </c>
      <c r="D1745" s="10">
        <v>37897</v>
      </c>
    </row>
    <row r="1746" spans="1:4">
      <c r="A1746" t="s">
        <v>9</v>
      </c>
      <c r="B1746" t="s">
        <v>113</v>
      </c>
      <c r="C1746" s="9">
        <v>46175</v>
      </c>
      <c r="D1746" s="10">
        <v>46090</v>
      </c>
    </row>
    <row r="1747" spans="1:4">
      <c r="A1747" t="s">
        <v>5</v>
      </c>
      <c r="B1747" t="s">
        <v>81</v>
      </c>
      <c r="C1747" s="9">
        <v>46175</v>
      </c>
      <c r="D1747" s="10">
        <v>47653</v>
      </c>
    </row>
    <row r="1748" spans="1:4">
      <c r="A1748" t="s">
        <v>5</v>
      </c>
      <c r="B1748" t="s">
        <v>104</v>
      </c>
      <c r="C1748" s="9">
        <v>46175</v>
      </c>
      <c r="D1748" s="10">
        <v>35703</v>
      </c>
    </row>
    <row r="1749" spans="1:4">
      <c r="A1749" t="s">
        <v>5</v>
      </c>
      <c r="B1749" t="s">
        <v>128</v>
      </c>
      <c r="C1749" s="9">
        <v>46175</v>
      </c>
      <c r="D1749" s="10">
        <v>41769</v>
      </c>
    </row>
    <row r="1750" spans="1:4">
      <c r="A1750" t="s">
        <v>35</v>
      </c>
      <c r="B1750" t="s">
        <v>259</v>
      </c>
      <c r="C1750" s="9">
        <v>46176</v>
      </c>
      <c r="D1750" s="10">
        <v>8721</v>
      </c>
    </row>
    <row r="1751" spans="1:4">
      <c r="A1751" t="s">
        <v>4</v>
      </c>
      <c r="B1751" t="s">
        <v>89</v>
      </c>
      <c r="C1751" s="9">
        <v>46176</v>
      </c>
      <c r="D1751" s="10">
        <v>37653</v>
      </c>
    </row>
    <row r="1752" spans="1:4">
      <c r="A1752" t="s">
        <v>31</v>
      </c>
      <c r="B1752" t="s">
        <v>129</v>
      </c>
      <c r="C1752" s="9">
        <v>46176</v>
      </c>
      <c r="D1752" s="10">
        <v>13472</v>
      </c>
    </row>
    <row r="1753" spans="1:4">
      <c r="A1753" t="s">
        <v>25</v>
      </c>
      <c r="B1753" t="s">
        <v>279</v>
      </c>
      <c r="C1753" s="9">
        <v>46176</v>
      </c>
      <c r="D1753" s="10">
        <v>17171</v>
      </c>
    </row>
    <row r="1754" spans="1:4">
      <c r="A1754" t="s">
        <v>25</v>
      </c>
      <c r="B1754" t="s">
        <v>218</v>
      </c>
      <c r="C1754" s="9">
        <v>46176</v>
      </c>
      <c r="D1754" s="10">
        <v>5200</v>
      </c>
    </row>
    <row r="1755" spans="1:4">
      <c r="A1755" t="s">
        <v>25</v>
      </c>
      <c r="B1755" t="s">
        <v>284</v>
      </c>
      <c r="C1755" s="9">
        <v>46176</v>
      </c>
      <c r="D1755" s="10">
        <v>25426</v>
      </c>
    </row>
    <row r="1756" spans="1:4">
      <c r="A1756" t="s">
        <v>28</v>
      </c>
      <c r="B1756" t="s">
        <v>64</v>
      </c>
      <c r="C1756" s="9">
        <v>46176</v>
      </c>
      <c r="D1756" s="10">
        <v>12194</v>
      </c>
    </row>
    <row r="1757" spans="1:4">
      <c r="A1757" t="s">
        <v>8</v>
      </c>
      <c r="B1757" t="s">
        <v>92</v>
      </c>
      <c r="C1757" s="9">
        <v>46176</v>
      </c>
      <c r="D1757" s="10">
        <v>5200</v>
      </c>
    </row>
    <row r="1758" spans="1:4">
      <c r="A1758" t="s">
        <v>6</v>
      </c>
      <c r="B1758" t="s">
        <v>287</v>
      </c>
      <c r="C1758" s="9">
        <v>46176</v>
      </c>
      <c r="D1758" s="10">
        <v>19584</v>
      </c>
    </row>
    <row r="1759" spans="1:4">
      <c r="A1759" t="s">
        <v>7</v>
      </c>
      <c r="B1759" t="s">
        <v>97</v>
      </c>
      <c r="C1759" s="9">
        <v>46176</v>
      </c>
      <c r="D1759" s="10">
        <v>25278</v>
      </c>
    </row>
    <row r="1760" spans="1:4">
      <c r="A1760" t="s">
        <v>7</v>
      </c>
      <c r="B1760" t="s">
        <v>222</v>
      </c>
      <c r="C1760" s="9">
        <v>46176</v>
      </c>
      <c r="D1760" s="10">
        <v>24068</v>
      </c>
    </row>
    <row r="1761" spans="1:4">
      <c r="A1761" t="s">
        <v>5</v>
      </c>
      <c r="B1761" t="s">
        <v>192</v>
      </c>
      <c r="C1761" s="9">
        <v>46176</v>
      </c>
      <c r="D1761" s="10">
        <v>31779</v>
      </c>
    </row>
    <row r="1762" spans="1:4">
      <c r="A1762" t="s">
        <v>5</v>
      </c>
      <c r="B1762" t="s">
        <v>149</v>
      </c>
      <c r="C1762" s="9">
        <v>46176</v>
      </c>
      <c r="D1762" s="10">
        <v>41323</v>
      </c>
    </row>
    <row r="1763" spans="1:4">
      <c r="A1763" t="s">
        <v>5</v>
      </c>
      <c r="B1763" t="s">
        <v>80</v>
      </c>
      <c r="C1763" s="9">
        <v>46176</v>
      </c>
      <c r="D1763" s="10">
        <v>35146</v>
      </c>
    </row>
    <row r="1764" spans="1:4">
      <c r="A1764" t="s">
        <v>5</v>
      </c>
      <c r="B1764" t="s">
        <v>81</v>
      </c>
      <c r="C1764" s="9">
        <v>46176</v>
      </c>
      <c r="D1764" s="10">
        <v>44365</v>
      </c>
    </row>
    <row r="1765" spans="1:4">
      <c r="A1765" t="s">
        <v>5</v>
      </c>
      <c r="B1765" t="s">
        <v>159</v>
      </c>
      <c r="C1765" s="9">
        <v>46176</v>
      </c>
      <c r="D1765" s="10">
        <v>46106</v>
      </c>
    </row>
    <row r="1766" spans="1:4">
      <c r="A1766" t="s">
        <v>5</v>
      </c>
      <c r="B1766" t="s">
        <v>104</v>
      </c>
      <c r="C1766" s="9">
        <v>46176</v>
      </c>
      <c r="D1766" s="10">
        <v>40994</v>
      </c>
    </row>
    <row r="1767" spans="1:4">
      <c r="A1767" t="s">
        <v>5</v>
      </c>
      <c r="B1767" t="s">
        <v>124</v>
      </c>
      <c r="C1767" s="9">
        <v>46176</v>
      </c>
      <c r="D1767" s="10">
        <v>37740</v>
      </c>
    </row>
    <row r="1768" spans="1:4">
      <c r="A1768" t="s">
        <v>4</v>
      </c>
      <c r="B1768" t="s">
        <v>175</v>
      </c>
      <c r="C1768" s="9">
        <v>46177</v>
      </c>
      <c r="D1768" s="10">
        <v>32698</v>
      </c>
    </row>
    <row r="1769" spans="1:4">
      <c r="A1769" t="s">
        <v>4</v>
      </c>
      <c r="B1769" t="s">
        <v>204</v>
      </c>
      <c r="C1769" s="9">
        <v>46177</v>
      </c>
      <c r="D1769" s="10">
        <v>38294</v>
      </c>
    </row>
    <row r="1770" spans="1:4">
      <c r="A1770" t="s">
        <v>28</v>
      </c>
      <c r="B1770" t="s">
        <v>217</v>
      </c>
      <c r="C1770" s="9">
        <v>46177</v>
      </c>
      <c r="D1770" s="10">
        <v>13572</v>
      </c>
    </row>
    <row r="1771" spans="1:4">
      <c r="A1771" t="s">
        <v>30</v>
      </c>
      <c r="B1771" t="s">
        <v>108</v>
      </c>
      <c r="C1771" s="9">
        <v>46177</v>
      </c>
      <c r="D1771" s="10">
        <v>18845</v>
      </c>
    </row>
    <row r="1772" spans="1:4">
      <c r="A1772" t="s">
        <v>6</v>
      </c>
      <c r="B1772" t="s">
        <v>105</v>
      </c>
      <c r="C1772" s="9">
        <v>46177</v>
      </c>
      <c r="D1772" s="10">
        <v>28018</v>
      </c>
    </row>
    <row r="1773" spans="1:4">
      <c r="A1773" t="s">
        <v>7</v>
      </c>
      <c r="B1773" t="s">
        <v>96</v>
      </c>
      <c r="C1773" s="9">
        <v>46177</v>
      </c>
      <c r="D1773" s="10">
        <v>19575</v>
      </c>
    </row>
    <row r="1774" spans="1:4">
      <c r="A1774" t="s">
        <v>7</v>
      </c>
      <c r="B1774" t="s">
        <v>208</v>
      </c>
      <c r="C1774" s="9">
        <v>46177</v>
      </c>
      <c r="D1774" s="10">
        <v>29269</v>
      </c>
    </row>
    <row r="1775" spans="1:4">
      <c r="A1775" t="s">
        <v>9</v>
      </c>
      <c r="B1775" t="s">
        <v>112</v>
      </c>
      <c r="C1775" s="9">
        <v>46177</v>
      </c>
      <c r="D1775" s="10">
        <v>25287</v>
      </c>
    </row>
    <row r="1776" spans="1:4">
      <c r="A1776" t="s">
        <v>9</v>
      </c>
      <c r="B1776" t="s">
        <v>67</v>
      </c>
      <c r="C1776" s="9">
        <v>46177</v>
      </c>
      <c r="D1776" s="10">
        <v>44949</v>
      </c>
    </row>
    <row r="1777" spans="1:4">
      <c r="A1777" t="s">
        <v>5</v>
      </c>
      <c r="B1777" t="s">
        <v>139</v>
      </c>
      <c r="C1777" s="9">
        <v>46177</v>
      </c>
      <c r="D1777" s="10">
        <v>26947</v>
      </c>
    </row>
    <row r="1778" spans="1:4">
      <c r="A1778" t="s">
        <v>5</v>
      </c>
      <c r="B1778" t="s">
        <v>102</v>
      </c>
      <c r="C1778" s="9">
        <v>46177</v>
      </c>
      <c r="D1778" s="10">
        <v>34894</v>
      </c>
    </row>
    <row r="1779" spans="1:4">
      <c r="A1779" t="s">
        <v>5</v>
      </c>
      <c r="B1779" t="s">
        <v>168</v>
      </c>
      <c r="C1779" s="9">
        <v>46177</v>
      </c>
      <c r="D1779" s="10">
        <v>51548</v>
      </c>
    </row>
    <row r="1780" spans="1:4">
      <c r="A1780" t="s">
        <v>5</v>
      </c>
      <c r="B1780" t="s">
        <v>155</v>
      </c>
      <c r="C1780" s="9">
        <v>46177</v>
      </c>
      <c r="D1780" s="10">
        <v>40986</v>
      </c>
    </row>
    <row r="1781" spans="1:4">
      <c r="A1781" t="s">
        <v>5</v>
      </c>
      <c r="B1781" t="s">
        <v>203</v>
      </c>
      <c r="C1781" s="9">
        <v>46177</v>
      </c>
      <c r="D1781" s="10">
        <v>40600</v>
      </c>
    </row>
    <row r="1782" spans="1:4">
      <c r="A1782" t="s">
        <v>4</v>
      </c>
      <c r="B1782" t="s">
        <v>193</v>
      </c>
      <c r="C1782" s="9">
        <v>46178</v>
      </c>
      <c r="D1782" s="10">
        <v>28347</v>
      </c>
    </row>
    <row r="1783" spans="1:4">
      <c r="A1783" t="s">
        <v>26</v>
      </c>
      <c r="B1783" t="s">
        <v>197</v>
      </c>
      <c r="C1783" s="9">
        <v>46178</v>
      </c>
      <c r="D1783" s="10">
        <v>13686</v>
      </c>
    </row>
    <row r="1784" spans="1:4">
      <c r="A1784" t="s">
        <v>32</v>
      </c>
      <c r="B1784" t="s">
        <v>118</v>
      </c>
      <c r="C1784" s="9">
        <v>46178</v>
      </c>
      <c r="D1784" s="10">
        <v>8373</v>
      </c>
    </row>
    <row r="1785" spans="1:4">
      <c r="A1785" t="s">
        <v>6</v>
      </c>
      <c r="B1785" t="s">
        <v>61</v>
      </c>
      <c r="C1785" s="9">
        <v>46178</v>
      </c>
      <c r="D1785" s="10">
        <v>16133</v>
      </c>
    </row>
    <row r="1786" spans="1:4">
      <c r="A1786" t="s">
        <v>7</v>
      </c>
      <c r="B1786" t="s">
        <v>164</v>
      </c>
      <c r="C1786" s="9">
        <v>46178</v>
      </c>
      <c r="D1786" s="10">
        <v>28845</v>
      </c>
    </row>
    <row r="1787" spans="1:4">
      <c r="A1787" t="s">
        <v>7</v>
      </c>
      <c r="B1787" t="s">
        <v>257</v>
      </c>
      <c r="C1787" s="9">
        <v>46178</v>
      </c>
      <c r="D1787" s="10">
        <v>23908</v>
      </c>
    </row>
    <row r="1788" spans="1:4">
      <c r="A1788" t="s">
        <v>9</v>
      </c>
      <c r="B1788" t="s">
        <v>234</v>
      </c>
      <c r="C1788" s="9">
        <v>46178</v>
      </c>
      <c r="D1788" s="10">
        <v>45609</v>
      </c>
    </row>
    <row r="1789" spans="1:4">
      <c r="A1789" t="s">
        <v>9</v>
      </c>
      <c r="B1789" t="s">
        <v>246</v>
      </c>
      <c r="C1789" s="9">
        <v>46178</v>
      </c>
      <c r="D1789" s="10">
        <v>38953</v>
      </c>
    </row>
    <row r="1790" spans="1:4">
      <c r="A1790" t="s">
        <v>9</v>
      </c>
      <c r="B1790" t="s">
        <v>68</v>
      </c>
      <c r="C1790" s="9">
        <v>46178</v>
      </c>
      <c r="D1790" s="10">
        <v>23837</v>
      </c>
    </row>
    <row r="1791" spans="1:4">
      <c r="A1791" t="s">
        <v>5</v>
      </c>
      <c r="B1791" t="s">
        <v>203</v>
      </c>
      <c r="C1791" s="9">
        <v>46178</v>
      </c>
      <c r="D1791" s="10">
        <v>31602</v>
      </c>
    </row>
    <row r="1792" spans="1:4">
      <c r="A1792" t="s">
        <v>5</v>
      </c>
      <c r="B1792" t="s">
        <v>124</v>
      </c>
      <c r="C1792" s="9">
        <v>46178</v>
      </c>
      <c r="D1792" s="10">
        <v>40809</v>
      </c>
    </row>
    <row r="1793" spans="1:4">
      <c r="A1793" t="s">
        <v>4</v>
      </c>
      <c r="B1793" t="s">
        <v>123</v>
      </c>
      <c r="C1793" s="9">
        <v>46179</v>
      </c>
      <c r="D1793" s="10">
        <v>54311</v>
      </c>
    </row>
    <row r="1794" spans="1:4">
      <c r="A1794" t="s">
        <v>4</v>
      </c>
      <c r="B1794" t="s">
        <v>214</v>
      </c>
      <c r="C1794" s="9">
        <v>46179</v>
      </c>
      <c r="D1794" s="10">
        <v>35712</v>
      </c>
    </row>
    <row r="1795" spans="1:4">
      <c r="A1795" t="s">
        <v>31</v>
      </c>
      <c r="B1795" t="s">
        <v>107</v>
      </c>
      <c r="C1795" s="9">
        <v>46179</v>
      </c>
      <c r="D1795" s="10">
        <v>14457</v>
      </c>
    </row>
    <row r="1796" spans="1:4">
      <c r="A1796" t="s">
        <v>6</v>
      </c>
      <c r="B1796" t="s">
        <v>172</v>
      </c>
      <c r="C1796" s="9">
        <v>46179</v>
      </c>
      <c r="D1796" s="10">
        <v>18665</v>
      </c>
    </row>
    <row r="1797" spans="1:4">
      <c r="A1797" t="s">
        <v>6</v>
      </c>
      <c r="B1797" t="s">
        <v>178</v>
      </c>
      <c r="C1797" s="9">
        <v>46179</v>
      </c>
      <c r="D1797" s="10">
        <v>17701</v>
      </c>
    </row>
    <row r="1798" spans="1:4">
      <c r="A1798" t="s">
        <v>9</v>
      </c>
      <c r="B1798" t="s">
        <v>100</v>
      </c>
      <c r="C1798" s="9">
        <v>46179</v>
      </c>
      <c r="D1798" s="10">
        <v>23173</v>
      </c>
    </row>
    <row r="1799" spans="1:4">
      <c r="A1799" t="s">
        <v>5</v>
      </c>
      <c r="B1799" t="s">
        <v>62</v>
      </c>
      <c r="C1799" s="9">
        <v>46179</v>
      </c>
      <c r="D1799" s="10">
        <v>33340</v>
      </c>
    </row>
    <row r="1800" spans="1:4">
      <c r="A1800" t="s">
        <v>5</v>
      </c>
      <c r="B1800" t="s">
        <v>59</v>
      </c>
      <c r="C1800" s="9">
        <v>46179</v>
      </c>
      <c r="D1800" s="10">
        <v>34291</v>
      </c>
    </row>
    <row r="1801" spans="1:4">
      <c r="A1801" t="s">
        <v>5</v>
      </c>
      <c r="B1801" t="s">
        <v>72</v>
      </c>
      <c r="C1801" s="9">
        <v>46179</v>
      </c>
      <c r="D1801" s="10">
        <v>56825</v>
      </c>
    </row>
    <row r="1802" spans="1:4">
      <c r="A1802" t="s">
        <v>5</v>
      </c>
      <c r="B1802" t="s">
        <v>139</v>
      </c>
      <c r="C1802" s="9">
        <v>46179</v>
      </c>
      <c r="D1802" s="10">
        <v>40067</v>
      </c>
    </row>
    <row r="1803" spans="1:4">
      <c r="A1803" t="s">
        <v>5</v>
      </c>
      <c r="B1803" t="s">
        <v>189</v>
      </c>
      <c r="C1803" s="9">
        <v>46179</v>
      </c>
      <c r="D1803" s="10">
        <v>40451</v>
      </c>
    </row>
    <row r="1804" spans="1:4">
      <c r="A1804" t="s">
        <v>5</v>
      </c>
      <c r="B1804" t="s">
        <v>71</v>
      </c>
      <c r="C1804" s="9">
        <v>46179</v>
      </c>
      <c r="D1804" s="10">
        <v>36603</v>
      </c>
    </row>
    <row r="1805" spans="1:4">
      <c r="A1805" t="s">
        <v>5</v>
      </c>
      <c r="B1805" t="s">
        <v>103</v>
      </c>
      <c r="C1805" s="9">
        <v>46179</v>
      </c>
      <c r="D1805" s="10">
        <v>34175</v>
      </c>
    </row>
    <row r="1806" spans="1:4">
      <c r="A1806" t="s">
        <v>4</v>
      </c>
      <c r="B1806" t="s">
        <v>278</v>
      </c>
      <c r="C1806" s="9">
        <v>46180</v>
      </c>
      <c r="D1806" s="10">
        <v>10729</v>
      </c>
    </row>
    <row r="1807" spans="1:4">
      <c r="A1807" t="s">
        <v>8</v>
      </c>
      <c r="B1807" t="s">
        <v>65</v>
      </c>
      <c r="C1807" s="9">
        <v>46180</v>
      </c>
      <c r="D1807" s="10">
        <v>18780</v>
      </c>
    </row>
    <row r="1808" spans="1:4">
      <c r="A1808" t="s">
        <v>9</v>
      </c>
      <c r="B1808" t="s">
        <v>87</v>
      </c>
      <c r="C1808" s="9">
        <v>46180</v>
      </c>
      <c r="D1808" s="10">
        <v>45393</v>
      </c>
    </row>
    <row r="1809" spans="1:4">
      <c r="A1809" t="s">
        <v>5</v>
      </c>
      <c r="B1809" t="s">
        <v>114</v>
      </c>
      <c r="C1809" s="9">
        <v>46180</v>
      </c>
      <c r="D1809" s="10">
        <v>32392</v>
      </c>
    </row>
    <row r="1810" spans="1:4">
      <c r="A1810" t="s">
        <v>5</v>
      </c>
      <c r="B1810" t="s">
        <v>80</v>
      </c>
      <c r="C1810" s="9">
        <v>46180</v>
      </c>
      <c r="D1810" s="10">
        <v>43980</v>
      </c>
    </row>
    <row r="1811" spans="1:4">
      <c r="A1811" t="s">
        <v>5</v>
      </c>
      <c r="B1811" t="s">
        <v>81</v>
      </c>
      <c r="C1811" s="9">
        <v>46180</v>
      </c>
      <c r="D1811" s="10">
        <v>42899</v>
      </c>
    </row>
    <row r="1812" spans="1:4">
      <c r="A1812" t="s">
        <v>27</v>
      </c>
      <c r="B1812" t="s">
        <v>225</v>
      </c>
      <c r="C1812" s="9">
        <v>46181</v>
      </c>
      <c r="D1812" s="10">
        <v>15625</v>
      </c>
    </row>
    <row r="1813" spans="1:4">
      <c r="A1813" t="s">
        <v>4</v>
      </c>
      <c r="B1813" t="s">
        <v>283</v>
      </c>
      <c r="C1813" s="9">
        <v>46181</v>
      </c>
      <c r="D1813" s="10">
        <v>37587</v>
      </c>
    </row>
    <row r="1814" spans="1:4">
      <c r="A1814" t="s">
        <v>4</v>
      </c>
      <c r="B1814" t="s">
        <v>252</v>
      </c>
      <c r="C1814" s="9">
        <v>46181</v>
      </c>
      <c r="D1814" s="10">
        <v>21202</v>
      </c>
    </row>
    <row r="1815" spans="1:4">
      <c r="A1815" t="s">
        <v>4</v>
      </c>
      <c r="B1815" t="s">
        <v>261</v>
      </c>
      <c r="C1815" s="9">
        <v>46181</v>
      </c>
      <c r="D1815" s="10">
        <v>19984</v>
      </c>
    </row>
    <row r="1816" spans="1:4">
      <c r="A1816" t="s">
        <v>4</v>
      </c>
      <c r="B1816" t="s">
        <v>268</v>
      </c>
      <c r="C1816" s="9">
        <v>46181</v>
      </c>
      <c r="D1816" s="10">
        <v>33502</v>
      </c>
    </row>
    <row r="1817" spans="1:4">
      <c r="A1817" t="s">
        <v>29</v>
      </c>
      <c r="B1817" t="s">
        <v>254</v>
      </c>
      <c r="C1817" s="9">
        <v>46181</v>
      </c>
      <c r="D1817" s="10">
        <v>18209</v>
      </c>
    </row>
    <row r="1818" spans="1:4">
      <c r="A1818" t="s">
        <v>9</v>
      </c>
      <c r="B1818" t="s">
        <v>202</v>
      </c>
      <c r="C1818" s="9">
        <v>46181</v>
      </c>
      <c r="D1818" s="10">
        <v>35320</v>
      </c>
    </row>
    <row r="1819" spans="1:4">
      <c r="A1819" t="s">
        <v>5</v>
      </c>
      <c r="B1819" t="s">
        <v>209</v>
      </c>
      <c r="C1819" s="9">
        <v>46181</v>
      </c>
      <c r="D1819" s="10">
        <v>39153</v>
      </c>
    </row>
    <row r="1820" spans="1:4">
      <c r="A1820" t="s">
        <v>5</v>
      </c>
      <c r="B1820" t="s">
        <v>72</v>
      </c>
      <c r="C1820" s="9">
        <v>46181</v>
      </c>
      <c r="D1820" s="10">
        <v>59605</v>
      </c>
    </row>
    <row r="1821" spans="1:4">
      <c r="A1821" t="s">
        <v>5</v>
      </c>
      <c r="B1821" t="s">
        <v>139</v>
      </c>
      <c r="C1821" s="9">
        <v>46181</v>
      </c>
      <c r="D1821" s="10">
        <v>35169</v>
      </c>
    </row>
    <row r="1822" spans="1:4">
      <c r="A1822" t="s">
        <v>5</v>
      </c>
      <c r="B1822" t="s">
        <v>168</v>
      </c>
      <c r="C1822" s="9">
        <v>46181</v>
      </c>
      <c r="D1822" s="10">
        <v>36188</v>
      </c>
    </row>
    <row r="1823" spans="1:4">
      <c r="A1823" t="s">
        <v>5</v>
      </c>
      <c r="B1823" t="s">
        <v>88</v>
      </c>
      <c r="C1823" s="9">
        <v>46181</v>
      </c>
      <c r="D1823" s="10">
        <v>57845</v>
      </c>
    </row>
    <row r="1824" spans="1:4">
      <c r="A1824" t="s">
        <v>9</v>
      </c>
      <c r="B1824" t="s">
        <v>202</v>
      </c>
      <c r="C1824" s="9">
        <v>46182</v>
      </c>
      <c r="D1824" s="10">
        <v>41682</v>
      </c>
    </row>
    <row r="1825" spans="1:4">
      <c r="A1825" t="s">
        <v>9</v>
      </c>
      <c r="B1825" t="s">
        <v>101</v>
      </c>
      <c r="C1825" s="9">
        <v>46182</v>
      </c>
      <c r="D1825" s="10">
        <v>56194</v>
      </c>
    </row>
    <row r="1826" spans="1:4">
      <c r="A1826" t="s">
        <v>5</v>
      </c>
      <c r="B1826" t="s">
        <v>69</v>
      </c>
      <c r="C1826" s="9">
        <v>46182</v>
      </c>
      <c r="D1826" s="10">
        <v>36404</v>
      </c>
    </row>
    <row r="1827" spans="1:4">
      <c r="A1827" t="s">
        <v>5</v>
      </c>
      <c r="B1827" t="s">
        <v>241</v>
      </c>
      <c r="C1827" s="9">
        <v>46182</v>
      </c>
      <c r="D1827" s="10">
        <v>32913</v>
      </c>
    </row>
    <row r="1828" spans="1:4">
      <c r="A1828" t="s">
        <v>36</v>
      </c>
      <c r="B1828" t="s">
        <v>280</v>
      </c>
      <c r="C1828" s="9">
        <v>46183</v>
      </c>
      <c r="D1828" s="10">
        <v>5200</v>
      </c>
    </row>
    <row r="1829" spans="1:4">
      <c r="A1829" t="s">
        <v>30</v>
      </c>
      <c r="B1829" t="s">
        <v>60</v>
      </c>
      <c r="C1829" s="9">
        <v>46183</v>
      </c>
      <c r="D1829" s="10">
        <v>5200</v>
      </c>
    </row>
    <row r="1830" spans="1:4">
      <c r="A1830" t="s">
        <v>7</v>
      </c>
      <c r="B1830" t="s">
        <v>255</v>
      </c>
      <c r="C1830" s="9">
        <v>46183</v>
      </c>
      <c r="D1830" s="10">
        <v>25429</v>
      </c>
    </row>
    <row r="1831" spans="1:4">
      <c r="A1831" t="s">
        <v>7</v>
      </c>
      <c r="B1831" t="s">
        <v>153</v>
      </c>
      <c r="C1831" s="9">
        <v>46183</v>
      </c>
      <c r="D1831" s="10">
        <v>25603</v>
      </c>
    </row>
    <row r="1832" spans="1:4">
      <c r="A1832" t="s">
        <v>9</v>
      </c>
      <c r="B1832" t="s">
        <v>201</v>
      </c>
      <c r="C1832" s="9">
        <v>46183</v>
      </c>
      <c r="D1832" s="10">
        <v>30503</v>
      </c>
    </row>
    <row r="1833" spans="1:4">
      <c r="A1833" t="s">
        <v>9</v>
      </c>
      <c r="B1833" t="s">
        <v>137</v>
      </c>
      <c r="C1833" s="9">
        <v>46183</v>
      </c>
      <c r="D1833" s="10">
        <v>42209</v>
      </c>
    </row>
    <row r="1834" spans="1:4">
      <c r="A1834" t="s">
        <v>9</v>
      </c>
      <c r="B1834" t="s">
        <v>67</v>
      </c>
      <c r="C1834" s="9">
        <v>46183</v>
      </c>
      <c r="D1834" s="10">
        <v>41155</v>
      </c>
    </row>
    <row r="1835" spans="1:4">
      <c r="A1835" t="s">
        <v>9</v>
      </c>
      <c r="B1835" t="s">
        <v>176</v>
      </c>
      <c r="C1835" s="9">
        <v>46183</v>
      </c>
      <c r="D1835" s="10">
        <v>29135</v>
      </c>
    </row>
    <row r="1836" spans="1:4">
      <c r="A1836" t="s">
        <v>5</v>
      </c>
      <c r="B1836" t="s">
        <v>224</v>
      </c>
      <c r="C1836" s="9">
        <v>46183</v>
      </c>
      <c r="D1836" s="10">
        <v>61384</v>
      </c>
    </row>
    <row r="1837" spans="1:4">
      <c r="A1837" t="s">
        <v>5</v>
      </c>
      <c r="B1837" t="s">
        <v>147</v>
      </c>
      <c r="C1837" s="9">
        <v>46183</v>
      </c>
      <c r="D1837" s="10">
        <v>37537</v>
      </c>
    </row>
    <row r="1838" spans="1:4">
      <c r="A1838" t="s">
        <v>5</v>
      </c>
      <c r="B1838" t="s">
        <v>102</v>
      </c>
      <c r="C1838" s="9">
        <v>46183</v>
      </c>
      <c r="D1838" s="10">
        <v>34253</v>
      </c>
    </row>
    <row r="1839" spans="1:4">
      <c r="A1839" t="s">
        <v>5</v>
      </c>
      <c r="B1839" t="s">
        <v>80</v>
      </c>
      <c r="C1839" s="9">
        <v>46183</v>
      </c>
      <c r="D1839" s="10">
        <v>38695</v>
      </c>
    </row>
    <row r="1840" spans="1:4">
      <c r="A1840" t="s">
        <v>5</v>
      </c>
      <c r="B1840" t="s">
        <v>140</v>
      </c>
      <c r="C1840" s="9">
        <v>46183</v>
      </c>
      <c r="D1840" s="10">
        <v>45894</v>
      </c>
    </row>
    <row r="1841" spans="1:4">
      <c r="A1841" t="s">
        <v>27</v>
      </c>
      <c r="B1841" t="s">
        <v>229</v>
      </c>
      <c r="C1841" s="9">
        <v>46184</v>
      </c>
      <c r="D1841" s="10">
        <v>14964</v>
      </c>
    </row>
    <row r="1842" spans="1:4">
      <c r="A1842" t="s">
        <v>27</v>
      </c>
      <c r="B1842" t="s">
        <v>182</v>
      </c>
      <c r="C1842" s="9">
        <v>46184</v>
      </c>
      <c r="D1842" s="10">
        <v>5344</v>
      </c>
    </row>
    <row r="1843" spans="1:4">
      <c r="A1843" t="s">
        <v>4</v>
      </c>
      <c r="B1843" t="s">
        <v>72</v>
      </c>
      <c r="C1843" s="9">
        <v>46184</v>
      </c>
      <c r="D1843" s="10">
        <v>58729</v>
      </c>
    </row>
    <row r="1844" spans="1:4">
      <c r="A1844" t="s">
        <v>4</v>
      </c>
      <c r="B1844" t="s">
        <v>252</v>
      </c>
      <c r="C1844" s="9">
        <v>46184</v>
      </c>
      <c r="D1844" s="10">
        <v>34124</v>
      </c>
    </row>
    <row r="1845" spans="1:4">
      <c r="A1845" t="s">
        <v>4</v>
      </c>
      <c r="B1845" t="s">
        <v>261</v>
      </c>
      <c r="C1845" s="9">
        <v>46184</v>
      </c>
      <c r="D1845" s="10">
        <v>27522</v>
      </c>
    </row>
    <row r="1846" spans="1:4">
      <c r="A1846" t="s">
        <v>28</v>
      </c>
      <c r="B1846" t="s">
        <v>269</v>
      </c>
      <c r="C1846" s="9">
        <v>46184</v>
      </c>
      <c r="D1846" s="10">
        <v>14636</v>
      </c>
    </row>
    <row r="1847" spans="1:4">
      <c r="A1847" t="s">
        <v>8</v>
      </c>
      <c r="B1847" t="s">
        <v>233</v>
      </c>
      <c r="C1847" s="9">
        <v>46184</v>
      </c>
      <c r="D1847" s="10">
        <v>16044</v>
      </c>
    </row>
    <row r="1848" spans="1:4">
      <c r="A1848" t="s">
        <v>8</v>
      </c>
      <c r="B1848" t="s">
        <v>170</v>
      </c>
      <c r="C1848" s="9">
        <v>46184</v>
      </c>
      <c r="D1848" s="10">
        <v>20797</v>
      </c>
    </row>
    <row r="1849" spans="1:4">
      <c r="A1849" t="s">
        <v>7</v>
      </c>
      <c r="B1849" t="s">
        <v>77</v>
      </c>
      <c r="C1849" s="9">
        <v>46184</v>
      </c>
      <c r="D1849" s="10">
        <v>9231</v>
      </c>
    </row>
    <row r="1850" spans="1:4">
      <c r="A1850" t="s">
        <v>9</v>
      </c>
      <c r="B1850" t="s">
        <v>111</v>
      </c>
      <c r="C1850" s="9">
        <v>46184</v>
      </c>
      <c r="D1850" s="10">
        <v>41700</v>
      </c>
    </row>
    <row r="1851" spans="1:4">
      <c r="A1851" t="s">
        <v>5</v>
      </c>
      <c r="B1851" t="s">
        <v>187</v>
      </c>
      <c r="C1851" s="9">
        <v>46184</v>
      </c>
      <c r="D1851" s="10">
        <v>42015</v>
      </c>
    </row>
    <row r="1852" spans="1:4">
      <c r="A1852" t="s">
        <v>5</v>
      </c>
      <c r="B1852" t="s">
        <v>167</v>
      </c>
      <c r="C1852" s="9">
        <v>46184</v>
      </c>
      <c r="D1852" s="10">
        <v>31687</v>
      </c>
    </row>
    <row r="1853" spans="1:4">
      <c r="A1853" t="s">
        <v>27</v>
      </c>
      <c r="B1853" t="s">
        <v>260</v>
      </c>
      <c r="C1853" s="9">
        <v>46185</v>
      </c>
      <c r="D1853" s="10">
        <v>21444</v>
      </c>
    </row>
    <row r="1854" spans="1:4">
      <c r="A1854" t="s">
        <v>4</v>
      </c>
      <c r="B1854" t="s">
        <v>122</v>
      </c>
      <c r="C1854" s="9">
        <v>46185</v>
      </c>
      <c r="D1854" s="10">
        <v>31342</v>
      </c>
    </row>
    <row r="1855" spans="1:4">
      <c r="A1855" t="s">
        <v>32</v>
      </c>
      <c r="B1855" t="s">
        <v>266</v>
      </c>
      <c r="C1855" s="9">
        <v>46185</v>
      </c>
      <c r="D1855" s="10">
        <v>12008</v>
      </c>
    </row>
    <row r="1856" spans="1:4">
      <c r="A1856" t="s">
        <v>9</v>
      </c>
      <c r="B1856" t="s">
        <v>179</v>
      </c>
      <c r="C1856" s="9">
        <v>46185</v>
      </c>
      <c r="D1856" s="10">
        <v>54797</v>
      </c>
    </row>
    <row r="1857" spans="1:4">
      <c r="A1857" t="s">
        <v>9</v>
      </c>
      <c r="B1857" t="s">
        <v>180</v>
      </c>
      <c r="C1857" s="9">
        <v>46185</v>
      </c>
      <c r="D1857" s="10">
        <v>49280</v>
      </c>
    </row>
    <row r="1858" spans="1:4">
      <c r="A1858" t="s">
        <v>9</v>
      </c>
      <c r="B1858" t="s">
        <v>219</v>
      </c>
      <c r="C1858" s="9">
        <v>46185</v>
      </c>
      <c r="D1858" s="10">
        <v>31491</v>
      </c>
    </row>
    <row r="1859" spans="1:4">
      <c r="A1859" t="s">
        <v>5</v>
      </c>
      <c r="B1859" t="s">
        <v>258</v>
      </c>
      <c r="C1859" s="9">
        <v>46185</v>
      </c>
      <c r="D1859" s="10">
        <v>36698</v>
      </c>
    </row>
    <row r="1860" spans="1:4">
      <c r="A1860" t="s">
        <v>5</v>
      </c>
      <c r="B1860" t="s">
        <v>195</v>
      </c>
      <c r="C1860" s="9">
        <v>46185</v>
      </c>
      <c r="D1860" s="10">
        <v>25514</v>
      </c>
    </row>
    <row r="1861" spans="1:4">
      <c r="A1861" t="s">
        <v>5</v>
      </c>
      <c r="B1861" t="s">
        <v>189</v>
      </c>
      <c r="C1861" s="9">
        <v>46185</v>
      </c>
      <c r="D1861" s="10">
        <v>47939</v>
      </c>
    </row>
    <row r="1862" spans="1:4">
      <c r="A1862" t="s">
        <v>5</v>
      </c>
      <c r="B1862" t="s">
        <v>189</v>
      </c>
      <c r="C1862" s="9">
        <v>46185</v>
      </c>
      <c r="D1862" s="10">
        <v>35463</v>
      </c>
    </row>
    <row r="1863" spans="1:4">
      <c r="A1863" t="s">
        <v>5</v>
      </c>
      <c r="B1863" t="s">
        <v>127</v>
      </c>
      <c r="C1863" s="9">
        <v>46185</v>
      </c>
      <c r="D1863" s="10">
        <v>44981</v>
      </c>
    </row>
    <row r="1864" spans="1:4">
      <c r="A1864" t="s">
        <v>5</v>
      </c>
      <c r="B1864" t="s">
        <v>128</v>
      </c>
      <c r="C1864" s="9">
        <v>46185</v>
      </c>
      <c r="D1864" s="10">
        <v>34380</v>
      </c>
    </row>
    <row r="1865" spans="1:4">
      <c r="A1865" t="s">
        <v>5</v>
      </c>
      <c r="B1865" t="s">
        <v>124</v>
      </c>
      <c r="C1865" s="9">
        <v>46185</v>
      </c>
      <c r="D1865" s="10">
        <v>48746</v>
      </c>
    </row>
    <row r="1866" spans="1:4">
      <c r="A1866" t="s">
        <v>4</v>
      </c>
      <c r="B1866" t="s">
        <v>242</v>
      </c>
      <c r="C1866" s="9">
        <v>46186</v>
      </c>
      <c r="D1866" s="10">
        <v>35531</v>
      </c>
    </row>
    <row r="1867" spans="1:4">
      <c r="A1867" t="s">
        <v>25</v>
      </c>
      <c r="B1867" t="s">
        <v>232</v>
      </c>
      <c r="C1867" s="9">
        <v>46186</v>
      </c>
      <c r="D1867" s="10">
        <v>6994</v>
      </c>
    </row>
    <row r="1868" spans="1:4">
      <c r="A1868" t="s">
        <v>8</v>
      </c>
      <c r="B1868" t="s">
        <v>237</v>
      </c>
      <c r="C1868" s="9">
        <v>46186</v>
      </c>
      <c r="D1868" s="10">
        <v>17179</v>
      </c>
    </row>
    <row r="1869" spans="1:4">
      <c r="A1869" t="s">
        <v>6</v>
      </c>
      <c r="B1869" t="s">
        <v>282</v>
      </c>
      <c r="C1869" s="9">
        <v>46186</v>
      </c>
      <c r="D1869" s="10">
        <v>22890</v>
      </c>
    </row>
    <row r="1870" spans="1:4">
      <c r="A1870" t="s">
        <v>6</v>
      </c>
      <c r="B1870" t="s">
        <v>171</v>
      </c>
      <c r="C1870" s="9">
        <v>46186</v>
      </c>
      <c r="D1870" s="10">
        <v>21289</v>
      </c>
    </row>
    <row r="1871" spans="1:4">
      <c r="A1871" t="s">
        <v>7</v>
      </c>
      <c r="B1871" t="s">
        <v>78</v>
      </c>
      <c r="C1871" s="9">
        <v>46186</v>
      </c>
      <c r="D1871" s="10">
        <v>22534</v>
      </c>
    </row>
    <row r="1872" spans="1:4">
      <c r="A1872" t="s">
        <v>9</v>
      </c>
      <c r="B1872" t="s">
        <v>111</v>
      </c>
      <c r="C1872" s="9">
        <v>46186</v>
      </c>
      <c r="D1872" s="10">
        <v>46050</v>
      </c>
    </row>
    <row r="1873" spans="1:4">
      <c r="A1873" t="s">
        <v>9</v>
      </c>
      <c r="B1873" t="s">
        <v>185</v>
      </c>
      <c r="C1873" s="9">
        <v>46186</v>
      </c>
      <c r="D1873" s="10">
        <v>30301</v>
      </c>
    </row>
    <row r="1874" spans="1:4">
      <c r="A1874" t="s">
        <v>5</v>
      </c>
      <c r="B1874" t="s">
        <v>62</v>
      </c>
      <c r="C1874" s="9">
        <v>46186</v>
      </c>
      <c r="D1874" s="10">
        <v>46444</v>
      </c>
    </row>
    <row r="1875" spans="1:4">
      <c r="A1875" t="s">
        <v>5</v>
      </c>
      <c r="B1875" t="s">
        <v>154</v>
      </c>
      <c r="C1875" s="9">
        <v>46186</v>
      </c>
      <c r="D1875" s="10">
        <v>45992</v>
      </c>
    </row>
    <row r="1876" spans="1:4">
      <c r="A1876" t="s">
        <v>5</v>
      </c>
      <c r="B1876" t="s">
        <v>123</v>
      </c>
      <c r="C1876" s="9">
        <v>46186</v>
      </c>
      <c r="D1876" s="10">
        <v>50704</v>
      </c>
    </row>
    <row r="1877" spans="1:4">
      <c r="A1877" t="s">
        <v>5</v>
      </c>
      <c r="B1877" t="s">
        <v>140</v>
      </c>
      <c r="C1877" s="9">
        <v>46186</v>
      </c>
      <c r="D1877" s="10">
        <v>31344</v>
      </c>
    </row>
    <row r="1878" spans="1:4">
      <c r="A1878" t="s">
        <v>27</v>
      </c>
      <c r="B1878" t="s">
        <v>58</v>
      </c>
      <c r="C1878" s="9">
        <v>46187</v>
      </c>
      <c r="D1878" s="10">
        <v>25368</v>
      </c>
    </row>
    <row r="1879" spans="1:4">
      <c r="A1879" t="s">
        <v>4</v>
      </c>
      <c r="B1879" t="s">
        <v>248</v>
      </c>
      <c r="C1879" s="9">
        <v>46187</v>
      </c>
      <c r="D1879" s="10">
        <v>41422</v>
      </c>
    </row>
    <row r="1880" spans="1:4">
      <c r="A1880" t="s">
        <v>4</v>
      </c>
      <c r="B1880" t="s">
        <v>214</v>
      </c>
      <c r="C1880" s="9">
        <v>46187</v>
      </c>
      <c r="D1880" s="10">
        <v>32080</v>
      </c>
    </row>
    <row r="1881" spans="1:4">
      <c r="A1881" t="s">
        <v>4</v>
      </c>
      <c r="B1881" t="s">
        <v>57</v>
      </c>
      <c r="C1881" s="9">
        <v>46187</v>
      </c>
      <c r="D1881" s="10">
        <v>39701</v>
      </c>
    </row>
    <row r="1882" spans="1:4">
      <c r="A1882" t="s">
        <v>25</v>
      </c>
      <c r="B1882" t="s">
        <v>117</v>
      </c>
      <c r="C1882" s="9">
        <v>46187</v>
      </c>
      <c r="D1882" s="10">
        <v>15066</v>
      </c>
    </row>
    <row r="1883" spans="1:4">
      <c r="A1883" t="s">
        <v>30</v>
      </c>
      <c r="B1883" t="s">
        <v>191</v>
      </c>
      <c r="C1883" s="9">
        <v>46187</v>
      </c>
      <c r="D1883" s="10">
        <v>19420</v>
      </c>
    </row>
    <row r="1884" spans="1:4">
      <c r="A1884" t="s">
        <v>8</v>
      </c>
      <c r="B1884" t="s">
        <v>251</v>
      </c>
      <c r="C1884" s="9">
        <v>46187</v>
      </c>
      <c r="D1884" s="10">
        <v>14016</v>
      </c>
    </row>
    <row r="1885" spans="1:4">
      <c r="A1885" t="s">
        <v>33</v>
      </c>
      <c r="B1885" t="s">
        <v>253</v>
      </c>
      <c r="C1885" s="9">
        <v>46187</v>
      </c>
      <c r="D1885" s="10">
        <v>14276</v>
      </c>
    </row>
    <row r="1886" spans="1:4">
      <c r="A1886" t="s">
        <v>29</v>
      </c>
      <c r="B1886" t="s">
        <v>133</v>
      </c>
      <c r="C1886" s="9">
        <v>46187</v>
      </c>
      <c r="D1886" s="10">
        <v>12895</v>
      </c>
    </row>
    <row r="1887" spans="1:4">
      <c r="A1887" t="s">
        <v>29</v>
      </c>
      <c r="B1887" t="s">
        <v>135</v>
      </c>
      <c r="C1887" s="9">
        <v>46187</v>
      </c>
      <c r="D1887" s="10">
        <v>20112</v>
      </c>
    </row>
    <row r="1888" spans="1:4">
      <c r="A1888" t="s">
        <v>9</v>
      </c>
      <c r="B1888" t="s">
        <v>216</v>
      </c>
      <c r="C1888" s="9">
        <v>46187</v>
      </c>
      <c r="D1888" s="10">
        <v>41659</v>
      </c>
    </row>
    <row r="1889" spans="1:4">
      <c r="A1889" t="s">
        <v>9</v>
      </c>
      <c r="B1889" t="s">
        <v>76</v>
      </c>
      <c r="C1889" s="9">
        <v>46187</v>
      </c>
      <c r="D1889" s="10">
        <v>23433</v>
      </c>
    </row>
    <row r="1890" spans="1:4">
      <c r="A1890" t="s">
        <v>9</v>
      </c>
      <c r="B1890" t="s">
        <v>67</v>
      </c>
      <c r="C1890" s="9">
        <v>46187</v>
      </c>
      <c r="D1890" s="10">
        <v>38997</v>
      </c>
    </row>
    <row r="1891" spans="1:4">
      <c r="A1891" t="s">
        <v>5</v>
      </c>
      <c r="B1891" t="s">
        <v>72</v>
      </c>
      <c r="C1891" s="9">
        <v>46187</v>
      </c>
      <c r="D1891" s="10">
        <v>49931</v>
      </c>
    </row>
    <row r="1892" spans="1:4">
      <c r="A1892" t="s">
        <v>5</v>
      </c>
      <c r="B1892" t="s">
        <v>150</v>
      </c>
      <c r="C1892" s="9">
        <v>46187</v>
      </c>
      <c r="D1892" s="10">
        <v>38020</v>
      </c>
    </row>
    <row r="1893" spans="1:4">
      <c r="A1893" t="s">
        <v>5</v>
      </c>
      <c r="B1893" t="s">
        <v>159</v>
      </c>
      <c r="C1893" s="9">
        <v>46187</v>
      </c>
      <c r="D1893" s="10">
        <v>37754</v>
      </c>
    </row>
    <row r="1894" spans="1:4">
      <c r="A1894" t="s">
        <v>5</v>
      </c>
      <c r="B1894" t="s">
        <v>104</v>
      </c>
      <c r="C1894" s="9">
        <v>46187</v>
      </c>
      <c r="D1894" s="10">
        <v>40207</v>
      </c>
    </row>
    <row r="1895" spans="1:4">
      <c r="A1895" t="s">
        <v>4</v>
      </c>
      <c r="B1895" t="s">
        <v>157</v>
      </c>
      <c r="C1895" s="9">
        <v>46188</v>
      </c>
      <c r="D1895" s="10">
        <v>25629</v>
      </c>
    </row>
    <row r="1896" spans="1:4">
      <c r="A1896" t="s">
        <v>4</v>
      </c>
      <c r="B1896" t="s">
        <v>142</v>
      </c>
      <c r="C1896" s="9">
        <v>46188</v>
      </c>
      <c r="D1896" s="10">
        <v>30669</v>
      </c>
    </row>
    <row r="1897" spans="1:4">
      <c r="A1897" t="s">
        <v>31</v>
      </c>
      <c r="B1897" t="s">
        <v>130</v>
      </c>
      <c r="C1897" s="9">
        <v>46188</v>
      </c>
      <c r="D1897" s="10">
        <v>5200</v>
      </c>
    </row>
    <row r="1898" spans="1:4">
      <c r="A1898" t="s">
        <v>26</v>
      </c>
      <c r="B1898" t="s">
        <v>291</v>
      </c>
      <c r="C1898" s="9">
        <v>46188</v>
      </c>
      <c r="D1898" s="10">
        <v>15817</v>
      </c>
    </row>
    <row r="1899" spans="1:4">
      <c r="A1899" t="s">
        <v>30</v>
      </c>
      <c r="B1899" t="s">
        <v>198</v>
      </c>
      <c r="C1899" s="9">
        <v>46188</v>
      </c>
      <c r="D1899" s="10">
        <v>14436</v>
      </c>
    </row>
    <row r="1900" spans="1:4">
      <c r="A1900" t="s">
        <v>8</v>
      </c>
      <c r="B1900" t="s">
        <v>250</v>
      </c>
      <c r="C1900" s="9">
        <v>46188</v>
      </c>
      <c r="D1900" s="10">
        <v>12088</v>
      </c>
    </row>
    <row r="1901" spans="1:4">
      <c r="A1901" t="s">
        <v>8</v>
      </c>
      <c r="B1901" t="s">
        <v>73</v>
      </c>
      <c r="C1901" s="9">
        <v>46188</v>
      </c>
      <c r="D1901" s="10">
        <v>15325</v>
      </c>
    </row>
    <row r="1902" spans="1:4">
      <c r="A1902" t="s">
        <v>8</v>
      </c>
      <c r="B1902" t="s">
        <v>125</v>
      </c>
      <c r="C1902" s="9">
        <v>46188</v>
      </c>
      <c r="D1902" s="10">
        <v>21677</v>
      </c>
    </row>
    <row r="1903" spans="1:4">
      <c r="A1903" t="s">
        <v>6</v>
      </c>
      <c r="B1903" t="s">
        <v>94</v>
      </c>
      <c r="C1903" s="9">
        <v>46188</v>
      </c>
      <c r="D1903" s="10">
        <v>25815</v>
      </c>
    </row>
    <row r="1904" spans="1:4">
      <c r="A1904" t="s">
        <v>6</v>
      </c>
      <c r="B1904" t="s">
        <v>177</v>
      </c>
      <c r="C1904" s="9">
        <v>46188</v>
      </c>
      <c r="D1904" s="10">
        <v>19879</v>
      </c>
    </row>
    <row r="1905" spans="1:4">
      <c r="A1905" t="s">
        <v>9</v>
      </c>
      <c r="B1905" t="s">
        <v>181</v>
      </c>
      <c r="C1905" s="9">
        <v>46188</v>
      </c>
      <c r="D1905" s="10">
        <v>43661</v>
      </c>
    </row>
    <row r="1906" spans="1:4">
      <c r="A1906" t="s">
        <v>9</v>
      </c>
      <c r="B1906" t="s">
        <v>87</v>
      </c>
      <c r="C1906" s="9">
        <v>46188</v>
      </c>
      <c r="D1906" s="10">
        <v>45013</v>
      </c>
    </row>
    <row r="1907" spans="1:4">
      <c r="A1907" t="s">
        <v>9</v>
      </c>
      <c r="B1907" t="s">
        <v>185</v>
      </c>
      <c r="C1907" s="9">
        <v>46188</v>
      </c>
      <c r="D1907" s="10">
        <v>30003</v>
      </c>
    </row>
    <row r="1908" spans="1:4">
      <c r="A1908" t="s">
        <v>5</v>
      </c>
      <c r="B1908" t="s">
        <v>187</v>
      </c>
      <c r="C1908" s="9">
        <v>46188</v>
      </c>
      <c r="D1908" s="10">
        <v>40405</v>
      </c>
    </row>
    <row r="1909" spans="1:4">
      <c r="A1909" t="s">
        <v>5</v>
      </c>
      <c r="B1909" t="s">
        <v>209</v>
      </c>
      <c r="C1909" s="9">
        <v>46188</v>
      </c>
      <c r="D1909" s="10">
        <v>41655</v>
      </c>
    </row>
    <row r="1910" spans="1:4">
      <c r="A1910" t="s">
        <v>5</v>
      </c>
      <c r="B1910" t="s">
        <v>88</v>
      </c>
      <c r="C1910" s="9">
        <v>46188</v>
      </c>
      <c r="D1910" s="10">
        <v>60615</v>
      </c>
    </row>
    <row r="1911" spans="1:4">
      <c r="A1911" t="s">
        <v>4</v>
      </c>
      <c r="B1911" t="s">
        <v>122</v>
      </c>
      <c r="C1911" s="9">
        <v>46189</v>
      </c>
      <c r="D1911" s="10">
        <v>34720</v>
      </c>
    </row>
    <row r="1912" spans="1:4">
      <c r="A1912" t="s">
        <v>31</v>
      </c>
      <c r="B1912" t="s">
        <v>90</v>
      </c>
      <c r="C1912" s="9">
        <v>46189</v>
      </c>
      <c r="D1912" s="10">
        <v>12876</v>
      </c>
    </row>
    <row r="1913" spans="1:4">
      <c r="A1913" t="s">
        <v>28</v>
      </c>
      <c r="B1913" t="s">
        <v>131</v>
      </c>
      <c r="C1913" s="9">
        <v>46189</v>
      </c>
      <c r="D1913" s="10">
        <v>12576</v>
      </c>
    </row>
    <row r="1914" spans="1:4">
      <c r="A1914" t="s">
        <v>28</v>
      </c>
      <c r="B1914" t="s">
        <v>74</v>
      </c>
      <c r="C1914" s="9">
        <v>46189</v>
      </c>
      <c r="D1914" s="10">
        <v>14519</v>
      </c>
    </row>
    <row r="1915" spans="1:4">
      <c r="A1915" t="s">
        <v>7</v>
      </c>
      <c r="B1915" t="s">
        <v>239</v>
      </c>
      <c r="C1915" s="9">
        <v>46189</v>
      </c>
      <c r="D1915" s="10">
        <v>22620</v>
      </c>
    </row>
    <row r="1916" spans="1:4">
      <c r="A1916" t="s">
        <v>9</v>
      </c>
      <c r="B1916" t="s">
        <v>223</v>
      </c>
      <c r="C1916" s="9">
        <v>46189</v>
      </c>
      <c r="D1916" s="10">
        <v>28350</v>
      </c>
    </row>
    <row r="1917" spans="1:4">
      <c r="A1917" t="s">
        <v>9</v>
      </c>
      <c r="B1917" t="s">
        <v>292</v>
      </c>
      <c r="C1917" s="9">
        <v>46189</v>
      </c>
      <c r="D1917" s="10">
        <v>30739</v>
      </c>
    </row>
    <row r="1918" spans="1:4">
      <c r="A1918" t="s">
        <v>5</v>
      </c>
      <c r="B1918" t="s">
        <v>123</v>
      </c>
      <c r="C1918" s="9">
        <v>46189</v>
      </c>
      <c r="D1918" s="10">
        <v>37793</v>
      </c>
    </row>
    <row r="1919" spans="1:4">
      <c r="A1919" t="s">
        <v>5</v>
      </c>
      <c r="B1919" t="s">
        <v>203</v>
      </c>
      <c r="C1919" s="9">
        <v>46189</v>
      </c>
      <c r="D1919" s="10">
        <v>39064</v>
      </c>
    </row>
    <row r="1920" spans="1:4">
      <c r="A1920" t="s">
        <v>5</v>
      </c>
      <c r="B1920" t="s">
        <v>87</v>
      </c>
      <c r="C1920" s="9">
        <v>46189</v>
      </c>
      <c r="D1920" s="10">
        <v>43016</v>
      </c>
    </row>
    <row r="1921" spans="1:4">
      <c r="A1921" t="s">
        <v>5</v>
      </c>
      <c r="B1921" t="s">
        <v>87</v>
      </c>
      <c r="C1921" s="9">
        <v>46189</v>
      </c>
      <c r="D1921" s="10">
        <v>37612</v>
      </c>
    </row>
    <row r="1922" spans="1:4">
      <c r="A1922" t="s">
        <v>5</v>
      </c>
      <c r="B1922" t="s">
        <v>124</v>
      </c>
      <c r="C1922" s="9">
        <v>46189</v>
      </c>
      <c r="D1922" s="10">
        <v>31875</v>
      </c>
    </row>
    <row r="1923" spans="1:4">
      <c r="A1923" t="s">
        <v>4</v>
      </c>
      <c r="B1923" t="s">
        <v>124</v>
      </c>
      <c r="C1923" s="9">
        <v>46190</v>
      </c>
      <c r="D1923" s="10">
        <v>38152</v>
      </c>
    </row>
    <row r="1924" spans="1:4">
      <c r="A1924" t="s">
        <v>25</v>
      </c>
      <c r="B1924" t="s">
        <v>196</v>
      </c>
      <c r="C1924" s="9">
        <v>46190</v>
      </c>
      <c r="D1924" s="10">
        <v>11492</v>
      </c>
    </row>
    <row r="1925" spans="1:4">
      <c r="A1925" t="s">
        <v>25</v>
      </c>
      <c r="B1925" t="s">
        <v>161</v>
      </c>
      <c r="C1925" s="9">
        <v>46190</v>
      </c>
      <c r="D1925" s="10">
        <v>15013</v>
      </c>
    </row>
    <row r="1926" spans="1:4">
      <c r="A1926" t="s">
        <v>28</v>
      </c>
      <c r="B1926" t="s">
        <v>190</v>
      </c>
      <c r="C1926" s="9">
        <v>46190</v>
      </c>
      <c r="D1926" s="10">
        <v>14743</v>
      </c>
    </row>
    <row r="1927" spans="1:4">
      <c r="A1927" t="s">
        <v>26</v>
      </c>
      <c r="B1927" t="s">
        <v>143</v>
      </c>
      <c r="C1927" s="9">
        <v>46190</v>
      </c>
      <c r="D1927" s="10">
        <v>16858</v>
      </c>
    </row>
    <row r="1928" spans="1:4">
      <c r="A1928" t="s">
        <v>29</v>
      </c>
      <c r="B1928" t="s">
        <v>84</v>
      </c>
      <c r="C1928" s="9">
        <v>46190</v>
      </c>
      <c r="D1928" s="10">
        <v>15336</v>
      </c>
    </row>
    <row r="1929" spans="1:4">
      <c r="A1929" t="s">
        <v>5</v>
      </c>
      <c r="B1929" t="s">
        <v>209</v>
      </c>
      <c r="C1929" s="9">
        <v>46190</v>
      </c>
      <c r="D1929" s="10">
        <v>36055</v>
      </c>
    </row>
    <row r="1930" spans="1:4">
      <c r="A1930" t="s">
        <v>5</v>
      </c>
      <c r="B1930" t="s">
        <v>210</v>
      </c>
      <c r="C1930" s="9">
        <v>46190</v>
      </c>
      <c r="D1930" s="10">
        <v>50937</v>
      </c>
    </row>
    <row r="1931" spans="1:4">
      <c r="A1931" t="s">
        <v>5</v>
      </c>
      <c r="B1931" t="s">
        <v>211</v>
      </c>
      <c r="C1931" s="9">
        <v>46190</v>
      </c>
      <c r="D1931" s="10">
        <v>54224</v>
      </c>
    </row>
    <row r="1932" spans="1:4">
      <c r="A1932" t="s">
        <v>5</v>
      </c>
      <c r="B1932" t="s">
        <v>127</v>
      </c>
      <c r="C1932" s="9">
        <v>46190</v>
      </c>
      <c r="D1932" s="10">
        <v>43225</v>
      </c>
    </row>
    <row r="1933" spans="1:4">
      <c r="A1933" t="s">
        <v>4</v>
      </c>
      <c r="B1933" t="s">
        <v>110</v>
      </c>
      <c r="C1933" s="9">
        <v>46191</v>
      </c>
      <c r="D1933" s="10">
        <v>39644</v>
      </c>
    </row>
    <row r="1934" spans="1:4">
      <c r="A1934" t="s">
        <v>6</v>
      </c>
      <c r="B1934" t="s">
        <v>286</v>
      </c>
      <c r="C1934" s="9">
        <v>46191</v>
      </c>
      <c r="D1934" s="10">
        <v>17728</v>
      </c>
    </row>
    <row r="1935" spans="1:4">
      <c r="A1935" t="s">
        <v>29</v>
      </c>
      <c r="B1935" t="s">
        <v>227</v>
      </c>
      <c r="C1935" s="9">
        <v>46191</v>
      </c>
      <c r="D1935" s="10">
        <v>13050</v>
      </c>
    </row>
    <row r="1936" spans="1:4">
      <c r="A1936" t="s">
        <v>9</v>
      </c>
      <c r="B1936" t="s">
        <v>166</v>
      </c>
      <c r="C1936" s="9">
        <v>46191</v>
      </c>
      <c r="D1936" s="10">
        <v>59027</v>
      </c>
    </row>
    <row r="1937" spans="1:4">
      <c r="A1937" t="s">
        <v>5</v>
      </c>
      <c r="B1937" t="s">
        <v>114</v>
      </c>
      <c r="C1937" s="9">
        <v>46191</v>
      </c>
      <c r="D1937" s="10">
        <v>32866</v>
      </c>
    </row>
    <row r="1938" spans="1:4">
      <c r="A1938" t="s">
        <v>5</v>
      </c>
      <c r="B1938" t="s">
        <v>72</v>
      </c>
      <c r="C1938" s="9">
        <v>46191</v>
      </c>
      <c r="D1938" s="10">
        <v>51369</v>
      </c>
    </row>
    <row r="1939" spans="1:4">
      <c r="A1939" t="s">
        <v>5</v>
      </c>
      <c r="B1939" t="s">
        <v>148</v>
      </c>
      <c r="C1939" s="9">
        <v>46191</v>
      </c>
      <c r="D1939" s="10">
        <v>41802</v>
      </c>
    </row>
    <row r="1940" spans="1:4">
      <c r="A1940" t="s">
        <v>5</v>
      </c>
      <c r="B1940" t="s">
        <v>81</v>
      </c>
      <c r="C1940" s="9">
        <v>46191</v>
      </c>
      <c r="D1940" s="10">
        <v>41583</v>
      </c>
    </row>
    <row r="1941" spans="1:4">
      <c r="A1941" t="s">
        <v>5</v>
      </c>
      <c r="B1941" t="s">
        <v>155</v>
      </c>
      <c r="C1941" s="9">
        <v>46191</v>
      </c>
      <c r="D1941" s="10">
        <v>47600</v>
      </c>
    </row>
    <row r="1942" spans="1:4">
      <c r="A1942" t="s">
        <v>5</v>
      </c>
      <c r="B1942" t="s">
        <v>87</v>
      </c>
      <c r="C1942" s="9">
        <v>46191</v>
      </c>
      <c r="D1942" s="10">
        <v>54620</v>
      </c>
    </row>
    <row r="1943" spans="1:4">
      <c r="A1943" t="s">
        <v>5</v>
      </c>
      <c r="B1943" t="s">
        <v>128</v>
      </c>
      <c r="C1943" s="9">
        <v>46191</v>
      </c>
      <c r="D1943" s="10">
        <v>36537</v>
      </c>
    </row>
    <row r="1944" spans="1:4">
      <c r="A1944" t="s">
        <v>5</v>
      </c>
      <c r="B1944" t="s">
        <v>140</v>
      </c>
      <c r="C1944" s="9">
        <v>46191</v>
      </c>
      <c r="D1944" s="10">
        <v>34324</v>
      </c>
    </row>
    <row r="1945" spans="1:4">
      <c r="A1945" t="s">
        <v>5</v>
      </c>
      <c r="B1945" t="s">
        <v>140</v>
      </c>
      <c r="C1945" s="9">
        <v>46191</v>
      </c>
      <c r="D1945" s="10">
        <v>31439</v>
      </c>
    </row>
    <row r="1946" spans="1:4">
      <c r="A1946" t="s">
        <v>4</v>
      </c>
      <c r="B1946" t="s">
        <v>157</v>
      </c>
      <c r="C1946" s="9">
        <v>46192</v>
      </c>
      <c r="D1946" s="10">
        <v>26821</v>
      </c>
    </row>
    <row r="1947" spans="1:4">
      <c r="A1947" t="s">
        <v>4</v>
      </c>
      <c r="B1947" t="s">
        <v>194</v>
      </c>
      <c r="C1947" s="9">
        <v>46192</v>
      </c>
      <c r="D1947" s="10">
        <v>38919</v>
      </c>
    </row>
    <row r="1948" spans="1:4">
      <c r="A1948" t="s">
        <v>30</v>
      </c>
      <c r="B1948" t="s">
        <v>243</v>
      </c>
      <c r="C1948" s="9">
        <v>46192</v>
      </c>
      <c r="D1948" s="10">
        <v>12879</v>
      </c>
    </row>
    <row r="1949" spans="1:4">
      <c r="A1949" t="s">
        <v>34</v>
      </c>
      <c r="B1949" t="s">
        <v>285</v>
      </c>
      <c r="C1949" s="9">
        <v>46192</v>
      </c>
      <c r="D1949" s="10">
        <v>28521</v>
      </c>
    </row>
    <row r="1950" spans="1:4">
      <c r="A1950" t="s">
        <v>6</v>
      </c>
      <c r="B1950" t="s">
        <v>75</v>
      </c>
      <c r="C1950" s="9">
        <v>46192</v>
      </c>
      <c r="D1950" s="10">
        <v>21340</v>
      </c>
    </row>
    <row r="1951" spans="1:4">
      <c r="A1951" t="s">
        <v>7</v>
      </c>
      <c r="B1951" t="s">
        <v>98</v>
      </c>
      <c r="C1951" s="9">
        <v>46192</v>
      </c>
      <c r="D1951" s="10">
        <v>12878</v>
      </c>
    </row>
    <row r="1952" spans="1:4">
      <c r="A1952" t="s">
        <v>9</v>
      </c>
      <c r="B1952" t="s">
        <v>146</v>
      </c>
      <c r="C1952" s="9">
        <v>46192</v>
      </c>
      <c r="D1952" s="10">
        <v>36272</v>
      </c>
    </row>
    <row r="1953" spans="1:4">
      <c r="A1953" t="s">
        <v>9</v>
      </c>
      <c r="B1953" t="s">
        <v>106</v>
      </c>
      <c r="C1953" s="9">
        <v>46192</v>
      </c>
      <c r="D1953" s="10">
        <v>42135</v>
      </c>
    </row>
    <row r="1954" spans="1:4">
      <c r="A1954" t="s">
        <v>5</v>
      </c>
      <c r="B1954" t="s">
        <v>167</v>
      </c>
      <c r="C1954" s="9">
        <v>46192</v>
      </c>
      <c r="D1954" s="10">
        <v>41633</v>
      </c>
    </row>
    <row r="1955" spans="1:4">
      <c r="A1955" t="s">
        <v>5</v>
      </c>
      <c r="B1955" t="s">
        <v>148</v>
      </c>
      <c r="C1955" s="9">
        <v>46192</v>
      </c>
      <c r="D1955" s="10">
        <v>37076</v>
      </c>
    </row>
    <row r="1956" spans="1:4">
      <c r="A1956" t="s">
        <v>5</v>
      </c>
      <c r="B1956" t="s">
        <v>103</v>
      </c>
      <c r="C1956" s="9">
        <v>46192</v>
      </c>
      <c r="D1956" s="10">
        <v>53081</v>
      </c>
    </row>
    <row r="1957" spans="1:4">
      <c r="A1957" t="s">
        <v>27</v>
      </c>
      <c r="B1957" t="s">
        <v>141</v>
      </c>
      <c r="C1957" s="9">
        <v>46193</v>
      </c>
      <c r="D1957" s="10">
        <v>16371</v>
      </c>
    </row>
    <row r="1958" spans="1:4">
      <c r="A1958" t="s">
        <v>4</v>
      </c>
      <c r="B1958" t="s">
        <v>226</v>
      </c>
      <c r="C1958" s="9">
        <v>46193</v>
      </c>
      <c r="D1958" s="10">
        <v>48940</v>
      </c>
    </row>
    <row r="1959" spans="1:4">
      <c r="A1959" t="s">
        <v>4</v>
      </c>
      <c r="B1959" t="s">
        <v>147</v>
      </c>
      <c r="C1959" s="9">
        <v>46193</v>
      </c>
      <c r="D1959" s="10">
        <v>51954</v>
      </c>
    </row>
    <row r="1960" spans="1:4">
      <c r="A1960" t="s">
        <v>4</v>
      </c>
      <c r="B1960" t="s">
        <v>230</v>
      </c>
      <c r="C1960" s="9">
        <v>46193</v>
      </c>
      <c r="D1960" s="10">
        <v>9274</v>
      </c>
    </row>
    <row r="1961" spans="1:4">
      <c r="A1961" t="s">
        <v>26</v>
      </c>
      <c r="B1961" t="s">
        <v>160</v>
      </c>
      <c r="C1961" s="9">
        <v>46193</v>
      </c>
      <c r="D1961" s="10">
        <v>15253</v>
      </c>
    </row>
    <row r="1962" spans="1:4">
      <c r="A1962" t="s">
        <v>6</v>
      </c>
      <c r="B1962" t="s">
        <v>272</v>
      </c>
      <c r="C1962" s="9">
        <v>46193</v>
      </c>
      <c r="D1962" s="10">
        <v>18359</v>
      </c>
    </row>
    <row r="1963" spans="1:4">
      <c r="A1963" t="s">
        <v>6</v>
      </c>
      <c r="B1963" t="s">
        <v>184</v>
      </c>
      <c r="C1963" s="9">
        <v>46193</v>
      </c>
      <c r="D1963" s="10">
        <v>17900</v>
      </c>
    </row>
    <row r="1964" spans="1:4">
      <c r="A1964" t="s">
        <v>7</v>
      </c>
      <c r="B1964" t="s">
        <v>96</v>
      </c>
      <c r="C1964" s="9">
        <v>46193</v>
      </c>
      <c r="D1964" s="10">
        <v>20972</v>
      </c>
    </row>
    <row r="1965" spans="1:4">
      <c r="A1965" t="s">
        <v>9</v>
      </c>
      <c r="B1965" t="s">
        <v>240</v>
      </c>
      <c r="C1965" s="9">
        <v>46193</v>
      </c>
      <c r="D1965" s="10">
        <v>42841</v>
      </c>
    </row>
    <row r="1966" spans="1:4">
      <c r="A1966" t="s">
        <v>9</v>
      </c>
      <c r="B1966" t="s">
        <v>292</v>
      </c>
      <c r="C1966" s="9">
        <v>46193</v>
      </c>
      <c r="D1966" s="10">
        <v>32493</v>
      </c>
    </row>
    <row r="1967" spans="1:4">
      <c r="A1967" t="s">
        <v>5</v>
      </c>
      <c r="B1967" t="s">
        <v>71</v>
      </c>
      <c r="C1967" s="9">
        <v>46193</v>
      </c>
      <c r="D1967" s="10">
        <v>35858</v>
      </c>
    </row>
    <row r="1968" spans="1:4">
      <c r="A1968" t="s">
        <v>5</v>
      </c>
      <c r="B1968" t="s">
        <v>87</v>
      </c>
      <c r="C1968" s="9">
        <v>46193</v>
      </c>
      <c r="D1968" s="10">
        <v>36610</v>
      </c>
    </row>
    <row r="1969" spans="1:4">
      <c r="A1969" t="s">
        <v>27</v>
      </c>
      <c r="B1969" t="s">
        <v>169</v>
      </c>
      <c r="C1969" s="9">
        <v>46194</v>
      </c>
      <c r="D1969" s="10">
        <v>13323</v>
      </c>
    </row>
    <row r="1970" spans="1:4">
      <c r="A1970" t="s">
        <v>4</v>
      </c>
      <c r="B1970" t="s">
        <v>247</v>
      </c>
      <c r="C1970" s="9">
        <v>46194</v>
      </c>
      <c r="D1970" s="10">
        <v>26976</v>
      </c>
    </row>
    <row r="1971" spans="1:4">
      <c r="A1971" t="s">
        <v>25</v>
      </c>
      <c r="B1971" t="s">
        <v>277</v>
      </c>
      <c r="C1971" s="9">
        <v>46194</v>
      </c>
      <c r="D1971" s="10">
        <v>14031</v>
      </c>
    </row>
    <row r="1972" spans="1:4">
      <c r="A1972" t="s">
        <v>28</v>
      </c>
      <c r="B1972" t="s">
        <v>270</v>
      </c>
      <c r="C1972" s="9">
        <v>46194</v>
      </c>
      <c r="D1972" s="10">
        <v>16201</v>
      </c>
    </row>
    <row r="1973" spans="1:4">
      <c r="A1973" t="s">
        <v>26</v>
      </c>
      <c r="B1973" t="s">
        <v>221</v>
      </c>
      <c r="C1973" s="9">
        <v>46194</v>
      </c>
      <c r="D1973" s="10">
        <v>15138</v>
      </c>
    </row>
    <row r="1974" spans="1:4">
      <c r="A1974" t="s">
        <v>6</v>
      </c>
      <c r="B1974" t="s">
        <v>200</v>
      </c>
      <c r="C1974" s="9">
        <v>46194</v>
      </c>
      <c r="D1974" s="10">
        <v>12601</v>
      </c>
    </row>
    <row r="1975" spans="1:4">
      <c r="A1975" t="s">
        <v>7</v>
      </c>
      <c r="B1975" t="s">
        <v>207</v>
      </c>
      <c r="C1975" s="9">
        <v>46194</v>
      </c>
      <c r="D1975" s="10">
        <v>19889</v>
      </c>
    </row>
    <row r="1976" spans="1:4">
      <c r="A1976" t="s">
        <v>7</v>
      </c>
      <c r="B1976" t="s">
        <v>112</v>
      </c>
      <c r="C1976" s="9">
        <v>46194</v>
      </c>
      <c r="D1976" s="10">
        <v>35382</v>
      </c>
    </row>
    <row r="1977" spans="1:4">
      <c r="A1977" t="s">
        <v>7</v>
      </c>
      <c r="B1977" t="s">
        <v>238</v>
      </c>
      <c r="C1977" s="9">
        <v>46194</v>
      </c>
      <c r="D1977" s="10">
        <v>15602</v>
      </c>
    </row>
    <row r="1978" spans="1:4">
      <c r="A1978" t="s">
        <v>9</v>
      </c>
      <c r="B1978" t="s">
        <v>209</v>
      </c>
      <c r="C1978" s="9">
        <v>46194</v>
      </c>
      <c r="D1978" s="10">
        <v>43014</v>
      </c>
    </row>
    <row r="1979" spans="1:4">
      <c r="A1979" t="s">
        <v>9</v>
      </c>
      <c r="B1979" t="s">
        <v>201</v>
      </c>
      <c r="C1979" s="9">
        <v>46194</v>
      </c>
      <c r="D1979" s="10">
        <v>26305</v>
      </c>
    </row>
    <row r="1980" spans="1:4">
      <c r="A1980" t="s">
        <v>9</v>
      </c>
      <c r="B1980" t="s">
        <v>176</v>
      </c>
      <c r="C1980" s="9">
        <v>46194</v>
      </c>
      <c r="D1980" s="10">
        <v>28211</v>
      </c>
    </row>
    <row r="1981" spans="1:4">
      <c r="A1981" t="s">
        <v>9</v>
      </c>
      <c r="B1981" t="s">
        <v>79</v>
      </c>
      <c r="C1981" s="9">
        <v>46194</v>
      </c>
      <c r="D1981" s="10">
        <v>32741</v>
      </c>
    </row>
    <row r="1982" spans="1:4">
      <c r="A1982" t="s">
        <v>5</v>
      </c>
      <c r="B1982" t="s">
        <v>155</v>
      </c>
      <c r="C1982" s="9">
        <v>46194</v>
      </c>
      <c r="D1982" s="10">
        <v>43295</v>
      </c>
    </row>
    <row r="1983" spans="1:4">
      <c r="A1983" t="s">
        <v>5</v>
      </c>
      <c r="B1983" t="s">
        <v>82</v>
      </c>
      <c r="C1983" s="9">
        <v>46194</v>
      </c>
      <c r="D1983" s="10">
        <v>42470</v>
      </c>
    </row>
    <row r="1984" spans="1:4">
      <c r="A1984" t="s">
        <v>4</v>
      </c>
      <c r="B1984" t="s">
        <v>165</v>
      </c>
      <c r="C1984" s="9">
        <v>46195</v>
      </c>
      <c r="D1984" s="10">
        <v>26287</v>
      </c>
    </row>
    <row r="1985" spans="1:4">
      <c r="A1985" t="s">
        <v>8</v>
      </c>
      <c r="B1985" t="s">
        <v>132</v>
      </c>
      <c r="C1985" s="9">
        <v>46195</v>
      </c>
      <c r="D1985" s="10">
        <v>15790</v>
      </c>
    </row>
    <row r="1986" spans="1:4">
      <c r="A1986" t="s">
        <v>8</v>
      </c>
      <c r="B1986" t="s">
        <v>244</v>
      </c>
      <c r="C1986" s="9">
        <v>46195</v>
      </c>
      <c r="D1986" s="10">
        <v>6673</v>
      </c>
    </row>
    <row r="1987" spans="1:4">
      <c r="A1987" t="s">
        <v>7</v>
      </c>
      <c r="B1987" t="s">
        <v>273</v>
      </c>
      <c r="C1987" s="9">
        <v>46195</v>
      </c>
      <c r="D1987" s="10">
        <v>7620</v>
      </c>
    </row>
    <row r="1988" spans="1:4">
      <c r="A1988" t="s">
        <v>7</v>
      </c>
      <c r="B1988" t="s">
        <v>289</v>
      </c>
      <c r="C1988" s="9">
        <v>46195</v>
      </c>
      <c r="D1988" s="10">
        <v>18751</v>
      </c>
    </row>
    <row r="1989" spans="1:4">
      <c r="A1989" t="s">
        <v>9</v>
      </c>
      <c r="B1989" t="s">
        <v>106</v>
      </c>
      <c r="C1989" s="9">
        <v>46195</v>
      </c>
      <c r="D1989" s="10">
        <v>35583</v>
      </c>
    </row>
    <row r="1990" spans="1:4">
      <c r="A1990" t="s">
        <v>5</v>
      </c>
      <c r="B1990" t="s">
        <v>69</v>
      </c>
      <c r="C1990" s="9">
        <v>46195</v>
      </c>
      <c r="D1990" s="10">
        <v>47486</v>
      </c>
    </row>
    <row r="1991" spans="1:4">
      <c r="A1991" t="s">
        <v>5</v>
      </c>
      <c r="B1991" t="s">
        <v>147</v>
      </c>
      <c r="C1991" s="9">
        <v>46195</v>
      </c>
      <c r="D1991" s="10">
        <v>49961</v>
      </c>
    </row>
    <row r="1992" spans="1:4">
      <c r="A1992" t="s">
        <v>5</v>
      </c>
      <c r="B1992" t="s">
        <v>123</v>
      </c>
      <c r="C1992" s="9">
        <v>46195</v>
      </c>
      <c r="D1992" s="10">
        <v>44692</v>
      </c>
    </row>
    <row r="1993" spans="1:4">
      <c r="A1993" t="s">
        <v>5</v>
      </c>
      <c r="B1993" t="s">
        <v>80</v>
      </c>
      <c r="C1993" s="9">
        <v>46195</v>
      </c>
      <c r="D1993" s="10">
        <v>30160</v>
      </c>
    </row>
    <row r="1994" spans="1:4">
      <c r="A1994" t="s">
        <v>5</v>
      </c>
      <c r="B1994" t="s">
        <v>86</v>
      </c>
      <c r="C1994" s="9">
        <v>46195</v>
      </c>
      <c r="D1994" s="10">
        <v>34697</v>
      </c>
    </row>
    <row r="1995" spans="1:4">
      <c r="A1995" t="s">
        <v>5</v>
      </c>
      <c r="B1995" t="s">
        <v>86</v>
      </c>
      <c r="C1995" s="9">
        <v>46195</v>
      </c>
      <c r="D1995" s="10">
        <v>33654</v>
      </c>
    </row>
    <row r="1996" spans="1:4">
      <c r="A1996" t="s">
        <v>27</v>
      </c>
      <c r="B1996" t="s">
        <v>115</v>
      </c>
      <c r="C1996" s="9">
        <v>46196</v>
      </c>
      <c r="D1996" s="10">
        <v>10374</v>
      </c>
    </row>
    <row r="1997" spans="1:4">
      <c r="A1997" t="s">
        <v>4</v>
      </c>
      <c r="B1997" t="s">
        <v>116</v>
      </c>
      <c r="C1997" s="9">
        <v>46196</v>
      </c>
      <c r="D1997" s="10">
        <v>33509</v>
      </c>
    </row>
    <row r="1998" spans="1:4">
      <c r="A1998" t="s">
        <v>4</v>
      </c>
      <c r="B1998" t="s">
        <v>159</v>
      </c>
      <c r="C1998" s="9">
        <v>46196</v>
      </c>
      <c r="D1998" s="10">
        <v>39834</v>
      </c>
    </row>
    <row r="1999" spans="1:4">
      <c r="A1999" t="s">
        <v>26</v>
      </c>
      <c r="B1999" t="s">
        <v>162</v>
      </c>
      <c r="C1999" s="9">
        <v>46196</v>
      </c>
      <c r="D1999" s="10">
        <v>19849</v>
      </c>
    </row>
    <row r="2000" spans="1:4">
      <c r="A2000" t="s">
        <v>26</v>
      </c>
      <c r="B2000" t="s">
        <v>151</v>
      </c>
      <c r="C2000" s="9">
        <v>46196</v>
      </c>
      <c r="D2000" s="10">
        <v>14356</v>
      </c>
    </row>
    <row r="2001" spans="1:4">
      <c r="A2001" t="s">
        <v>7</v>
      </c>
      <c r="B2001" t="s">
        <v>215</v>
      </c>
      <c r="C2001" s="9">
        <v>46196</v>
      </c>
      <c r="D2001" s="10">
        <v>19841</v>
      </c>
    </row>
    <row r="2002" spans="1:4">
      <c r="A2002" t="s">
        <v>9</v>
      </c>
      <c r="B2002" t="s">
        <v>138</v>
      </c>
      <c r="C2002" s="9">
        <v>46196</v>
      </c>
      <c r="D2002" s="10">
        <v>12447</v>
      </c>
    </row>
    <row r="2003" spans="1:4">
      <c r="A2003" t="s">
        <v>9</v>
      </c>
      <c r="B2003" t="s">
        <v>292</v>
      </c>
      <c r="C2003" s="9">
        <v>46196</v>
      </c>
      <c r="D2003" s="10">
        <v>34508</v>
      </c>
    </row>
    <row r="2004" spans="1:4">
      <c r="A2004" t="s">
        <v>5</v>
      </c>
      <c r="B2004" t="s">
        <v>70</v>
      </c>
      <c r="C2004" s="9">
        <v>46196</v>
      </c>
      <c r="D2004" s="10">
        <v>35655</v>
      </c>
    </row>
    <row r="2005" spans="1:4">
      <c r="A2005" t="s">
        <v>5</v>
      </c>
      <c r="B2005" t="s">
        <v>149</v>
      </c>
      <c r="C2005" s="9">
        <v>46196</v>
      </c>
      <c r="D2005" s="10">
        <v>38707</v>
      </c>
    </row>
    <row r="2006" spans="1:4">
      <c r="A2006" t="s">
        <v>5</v>
      </c>
      <c r="B2006" t="s">
        <v>189</v>
      </c>
      <c r="C2006" s="9">
        <v>46196</v>
      </c>
      <c r="D2006" s="10">
        <v>31075</v>
      </c>
    </row>
    <row r="2007" spans="1:4">
      <c r="A2007" t="s">
        <v>5</v>
      </c>
      <c r="B2007" t="s">
        <v>276</v>
      </c>
      <c r="C2007" s="9">
        <v>46196</v>
      </c>
      <c r="D2007" s="10">
        <v>21602</v>
      </c>
    </row>
    <row r="2008" spans="1:4">
      <c r="A2008" t="s">
        <v>5</v>
      </c>
      <c r="B2008" t="s">
        <v>159</v>
      </c>
      <c r="C2008" s="9">
        <v>46196</v>
      </c>
      <c r="D2008" s="10">
        <v>42877</v>
      </c>
    </row>
    <row r="2009" spans="1:4">
      <c r="A2009" t="s">
        <v>4</v>
      </c>
      <c r="B2009" t="s">
        <v>69</v>
      </c>
      <c r="C2009" s="9">
        <v>46197</v>
      </c>
      <c r="D2009" s="10">
        <v>48158</v>
      </c>
    </row>
    <row r="2010" spans="1:4">
      <c r="A2010" t="s">
        <v>8</v>
      </c>
      <c r="B2010" t="s">
        <v>66</v>
      </c>
      <c r="C2010" s="9">
        <v>46197</v>
      </c>
      <c r="D2010" s="10">
        <v>16200</v>
      </c>
    </row>
    <row r="2011" spans="1:4">
      <c r="A2011" t="s">
        <v>9</v>
      </c>
      <c r="B2011" t="s">
        <v>134</v>
      </c>
      <c r="C2011" s="9">
        <v>46197</v>
      </c>
      <c r="D2011" s="10">
        <v>46760</v>
      </c>
    </row>
    <row r="2012" spans="1:4">
      <c r="A2012" t="s">
        <v>9</v>
      </c>
      <c r="B2012" t="s">
        <v>181</v>
      </c>
      <c r="C2012" s="9">
        <v>46197</v>
      </c>
      <c r="D2012" s="10">
        <v>34860</v>
      </c>
    </row>
    <row r="2013" spans="1:4">
      <c r="A2013" t="s">
        <v>9</v>
      </c>
      <c r="B2013" t="s">
        <v>79</v>
      </c>
      <c r="C2013" s="9">
        <v>46197</v>
      </c>
      <c r="D2013" s="10">
        <v>31926</v>
      </c>
    </row>
    <row r="2014" spans="1:4">
      <c r="A2014" t="s">
        <v>5</v>
      </c>
      <c r="B2014" t="s">
        <v>149</v>
      </c>
      <c r="C2014" s="9">
        <v>46197</v>
      </c>
      <c r="D2014" s="10">
        <v>37835</v>
      </c>
    </row>
    <row r="2015" spans="1:4">
      <c r="A2015" t="s">
        <v>5</v>
      </c>
      <c r="B2015" t="s">
        <v>241</v>
      </c>
      <c r="C2015" s="9">
        <v>46197</v>
      </c>
      <c r="D2015" s="10">
        <v>48254</v>
      </c>
    </row>
    <row r="2016" spans="1:4">
      <c r="A2016" t="s">
        <v>5</v>
      </c>
      <c r="B2016" t="s">
        <v>210</v>
      </c>
      <c r="C2016" s="9">
        <v>46197</v>
      </c>
      <c r="D2016" s="10">
        <v>55131</v>
      </c>
    </row>
    <row r="2017" spans="1:4">
      <c r="A2017" t="s">
        <v>5</v>
      </c>
      <c r="B2017" t="s">
        <v>203</v>
      </c>
      <c r="C2017" s="9">
        <v>46197</v>
      </c>
      <c r="D2017" s="10">
        <v>39752</v>
      </c>
    </row>
    <row r="2018" spans="1:4">
      <c r="A2018" t="s">
        <v>5</v>
      </c>
      <c r="B2018" t="s">
        <v>87</v>
      </c>
      <c r="C2018" s="9">
        <v>46197</v>
      </c>
      <c r="D2018" s="10">
        <v>40444</v>
      </c>
    </row>
    <row r="2019" spans="1:4">
      <c r="A2019" t="s">
        <v>38</v>
      </c>
      <c r="B2019" t="s">
        <v>212</v>
      </c>
      <c r="C2019" s="9">
        <v>46198</v>
      </c>
      <c r="D2019" s="10">
        <v>14160</v>
      </c>
    </row>
    <row r="2020" spans="1:4">
      <c r="A2020" t="s">
        <v>4</v>
      </c>
      <c r="B2020" t="s">
        <v>213</v>
      </c>
      <c r="C2020" s="9">
        <v>46198</v>
      </c>
      <c r="D2020" s="10">
        <v>34562</v>
      </c>
    </row>
    <row r="2021" spans="1:4">
      <c r="A2021" t="s">
        <v>4</v>
      </c>
      <c r="B2021" t="s">
        <v>192</v>
      </c>
      <c r="C2021" s="9">
        <v>46198</v>
      </c>
      <c r="D2021" s="10">
        <v>29146</v>
      </c>
    </row>
    <row r="2022" spans="1:4">
      <c r="A2022" t="s">
        <v>31</v>
      </c>
      <c r="B2022" t="s">
        <v>245</v>
      </c>
      <c r="C2022" s="9">
        <v>46198</v>
      </c>
      <c r="D2022" s="10">
        <v>12518</v>
      </c>
    </row>
    <row r="2023" spans="1:4">
      <c r="A2023" t="s">
        <v>26</v>
      </c>
      <c r="B2023" t="s">
        <v>249</v>
      </c>
      <c r="C2023" s="9">
        <v>46198</v>
      </c>
      <c r="D2023" s="10">
        <v>14800</v>
      </c>
    </row>
    <row r="2024" spans="1:4">
      <c r="A2024" t="s">
        <v>26</v>
      </c>
      <c r="B2024" t="s">
        <v>91</v>
      </c>
      <c r="C2024" s="9">
        <v>46198</v>
      </c>
      <c r="D2024" s="10">
        <v>13439</v>
      </c>
    </row>
    <row r="2025" spans="1:4">
      <c r="A2025" t="s">
        <v>32</v>
      </c>
      <c r="B2025" t="s">
        <v>206</v>
      </c>
      <c r="C2025" s="9">
        <v>46198</v>
      </c>
      <c r="D2025" s="10">
        <v>13526</v>
      </c>
    </row>
    <row r="2026" spans="1:4">
      <c r="A2026" t="s">
        <v>6</v>
      </c>
      <c r="B2026" t="s">
        <v>83</v>
      </c>
      <c r="C2026" s="9">
        <v>46198</v>
      </c>
      <c r="D2026" s="10">
        <v>18453</v>
      </c>
    </row>
    <row r="2027" spans="1:4">
      <c r="A2027" t="s">
        <v>7</v>
      </c>
      <c r="B2027" t="s">
        <v>288</v>
      </c>
      <c r="C2027" s="9">
        <v>46198</v>
      </c>
      <c r="D2027" s="10">
        <v>24193</v>
      </c>
    </row>
    <row r="2028" spans="1:4">
      <c r="A2028" t="s">
        <v>7</v>
      </c>
      <c r="B2028" t="s">
        <v>173</v>
      </c>
      <c r="C2028" s="9">
        <v>46198</v>
      </c>
      <c r="D2028" s="10">
        <v>17419</v>
      </c>
    </row>
    <row r="2029" spans="1:4">
      <c r="A2029" t="s">
        <v>7</v>
      </c>
      <c r="B2029" t="s">
        <v>231</v>
      </c>
      <c r="C2029" s="9">
        <v>46198</v>
      </c>
      <c r="D2029" s="10">
        <v>19979</v>
      </c>
    </row>
    <row r="2030" spans="1:4">
      <c r="A2030" t="s">
        <v>5</v>
      </c>
      <c r="B2030" t="s">
        <v>87</v>
      </c>
      <c r="C2030" s="9">
        <v>46198</v>
      </c>
      <c r="D2030" s="10">
        <v>53321</v>
      </c>
    </row>
    <row r="2031" spans="1:4">
      <c r="A2031" t="s">
        <v>35</v>
      </c>
      <c r="B2031" t="s">
        <v>290</v>
      </c>
      <c r="C2031" s="9">
        <v>46199</v>
      </c>
      <c r="D2031" s="10">
        <v>13235</v>
      </c>
    </row>
    <row r="2032" spans="1:4">
      <c r="A2032" t="s">
        <v>4</v>
      </c>
      <c r="B2032" t="s">
        <v>235</v>
      </c>
      <c r="C2032" s="9">
        <v>46199</v>
      </c>
      <c r="D2032" s="10">
        <v>34218</v>
      </c>
    </row>
    <row r="2033" spans="1:4">
      <c r="A2033" t="s">
        <v>6</v>
      </c>
      <c r="B2033" t="s">
        <v>163</v>
      </c>
      <c r="C2033" s="9">
        <v>46199</v>
      </c>
      <c r="D2033" s="10">
        <v>9414</v>
      </c>
    </row>
    <row r="2034" spans="1:4">
      <c r="A2034" t="s">
        <v>7</v>
      </c>
      <c r="B2034" t="s">
        <v>174</v>
      </c>
      <c r="C2034" s="9">
        <v>46199</v>
      </c>
      <c r="D2034" s="10">
        <v>32028</v>
      </c>
    </row>
    <row r="2035" spans="1:4">
      <c r="A2035" t="s">
        <v>9</v>
      </c>
      <c r="B2035" t="s">
        <v>228</v>
      </c>
      <c r="C2035" s="9">
        <v>46199</v>
      </c>
      <c r="D2035" s="10">
        <v>50102</v>
      </c>
    </row>
    <row r="2036" spans="1:4">
      <c r="A2036" t="s">
        <v>9</v>
      </c>
      <c r="B2036" t="s">
        <v>71</v>
      </c>
      <c r="C2036" s="9">
        <v>46199</v>
      </c>
      <c r="D2036" s="10">
        <v>42322</v>
      </c>
    </row>
    <row r="2037" spans="1:4">
      <c r="A2037" t="s">
        <v>5</v>
      </c>
      <c r="B2037" t="s">
        <v>167</v>
      </c>
      <c r="C2037" s="9">
        <v>46199</v>
      </c>
      <c r="D2037" s="10">
        <v>28556</v>
      </c>
    </row>
    <row r="2038" spans="1:4">
      <c r="A2038" t="s">
        <v>5</v>
      </c>
      <c r="B2038" t="s">
        <v>275</v>
      </c>
      <c r="C2038" s="9">
        <v>46199</v>
      </c>
      <c r="D2038" s="10">
        <v>58862</v>
      </c>
    </row>
    <row r="2039" spans="1:4">
      <c r="A2039" t="s">
        <v>5</v>
      </c>
      <c r="B2039" t="s">
        <v>188</v>
      </c>
      <c r="C2039" s="9">
        <v>46199</v>
      </c>
      <c r="D2039" s="10">
        <v>18952</v>
      </c>
    </row>
    <row r="2040" spans="1:4">
      <c r="A2040" t="s">
        <v>5</v>
      </c>
      <c r="B2040" t="s">
        <v>168</v>
      </c>
      <c r="C2040" s="9">
        <v>46199</v>
      </c>
      <c r="D2040" s="10">
        <v>36333</v>
      </c>
    </row>
    <row r="2041" spans="1:4">
      <c r="A2041" t="s">
        <v>5</v>
      </c>
      <c r="B2041" t="s">
        <v>86</v>
      </c>
      <c r="C2041" s="9">
        <v>46199</v>
      </c>
      <c r="D2041" s="10">
        <v>26687</v>
      </c>
    </row>
    <row r="2042" spans="1:4">
      <c r="A2042" t="s">
        <v>5</v>
      </c>
      <c r="B2042" t="s">
        <v>82</v>
      </c>
      <c r="C2042" s="9">
        <v>46199</v>
      </c>
      <c r="D2042" s="10">
        <v>52286</v>
      </c>
    </row>
    <row r="2043" spans="1:4">
      <c r="A2043" t="s">
        <v>5</v>
      </c>
      <c r="B2043" t="s">
        <v>88</v>
      </c>
      <c r="C2043" s="9">
        <v>46199</v>
      </c>
      <c r="D2043" s="10">
        <v>37795</v>
      </c>
    </row>
    <row r="2044" spans="1:4">
      <c r="A2044" t="s">
        <v>4</v>
      </c>
      <c r="B2044" t="s">
        <v>142</v>
      </c>
      <c r="C2044" s="9">
        <v>46200</v>
      </c>
      <c r="D2044" s="10">
        <v>42054</v>
      </c>
    </row>
    <row r="2045" spans="1:4">
      <c r="A2045" t="s">
        <v>4</v>
      </c>
      <c r="B2045" t="s">
        <v>262</v>
      </c>
      <c r="C2045" s="9">
        <v>46200</v>
      </c>
      <c r="D2045" s="10">
        <v>7820</v>
      </c>
    </row>
    <row r="2046" spans="1:4">
      <c r="A2046" t="s">
        <v>28</v>
      </c>
      <c r="B2046" t="s">
        <v>183</v>
      </c>
      <c r="C2046" s="9">
        <v>46200</v>
      </c>
      <c r="D2046" s="10">
        <v>10863</v>
      </c>
    </row>
    <row r="2047" spans="1:4">
      <c r="A2047" t="s">
        <v>26</v>
      </c>
      <c r="B2047" t="s">
        <v>271</v>
      </c>
      <c r="C2047" s="9">
        <v>46200</v>
      </c>
      <c r="D2047" s="10">
        <v>9197</v>
      </c>
    </row>
    <row r="2048" spans="1:4">
      <c r="A2048" t="s">
        <v>26</v>
      </c>
      <c r="B2048" t="s">
        <v>281</v>
      </c>
      <c r="C2048" s="9">
        <v>46200</v>
      </c>
      <c r="D2048" s="10">
        <v>5200</v>
      </c>
    </row>
    <row r="2049" spans="1:4">
      <c r="A2049" t="s">
        <v>8</v>
      </c>
      <c r="B2049" t="s">
        <v>93</v>
      </c>
      <c r="C2049" s="9">
        <v>46200</v>
      </c>
      <c r="D2049" s="10">
        <v>18073</v>
      </c>
    </row>
    <row r="2050" spans="1:4">
      <c r="A2050" t="s">
        <v>33</v>
      </c>
      <c r="B2050" t="s">
        <v>126</v>
      </c>
      <c r="C2050" s="9">
        <v>46200</v>
      </c>
      <c r="D2050" s="10">
        <v>28776</v>
      </c>
    </row>
    <row r="2051" spans="1:4">
      <c r="A2051" t="s">
        <v>7</v>
      </c>
      <c r="B2051" t="s">
        <v>119</v>
      </c>
      <c r="C2051" s="9">
        <v>46200</v>
      </c>
      <c r="D2051" s="10">
        <v>22389</v>
      </c>
    </row>
    <row r="2052" spans="1:4">
      <c r="A2052" t="s">
        <v>5</v>
      </c>
      <c r="B2052" t="s">
        <v>209</v>
      </c>
      <c r="C2052" s="9">
        <v>46200</v>
      </c>
      <c r="D2052" s="10">
        <v>35015</v>
      </c>
    </row>
    <row r="2053" spans="1:4">
      <c r="A2053" t="s">
        <v>5</v>
      </c>
      <c r="B2053" t="s">
        <v>154</v>
      </c>
      <c r="C2053" s="9">
        <v>46200</v>
      </c>
      <c r="D2053" s="10">
        <v>44055</v>
      </c>
    </row>
    <row r="2054" spans="1:4">
      <c r="A2054" t="s">
        <v>5</v>
      </c>
      <c r="B2054" t="s">
        <v>70</v>
      </c>
      <c r="C2054" s="9">
        <v>46200</v>
      </c>
      <c r="D2054" s="10">
        <v>47056</v>
      </c>
    </row>
    <row r="2055" spans="1:4">
      <c r="A2055" t="s">
        <v>5</v>
      </c>
      <c r="B2055" t="s">
        <v>276</v>
      </c>
      <c r="C2055" s="9">
        <v>46200</v>
      </c>
      <c r="D2055" s="10">
        <v>33664</v>
      </c>
    </row>
    <row r="2056" spans="1:4">
      <c r="A2056" t="s">
        <v>5</v>
      </c>
      <c r="B2056" t="s">
        <v>104</v>
      </c>
      <c r="C2056" s="9">
        <v>46200</v>
      </c>
      <c r="D2056" s="10">
        <v>45589</v>
      </c>
    </row>
    <row r="2057" spans="1:4">
      <c r="A2057" t="s">
        <v>5</v>
      </c>
      <c r="B2057" t="s">
        <v>124</v>
      </c>
      <c r="C2057" s="9">
        <v>46200</v>
      </c>
      <c r="D2057" s="10">
        <v>46774</v>
      </c>
    </row>
    <row r="2058" spans="1:4">
      <c r="A2058" t="s">
        <v>4</v>
      </c>
      <c r="B2058" t="s">
        <v>263</v>
      </c>
      <c r="C2058" s="9">
        <v>46201</v>
      </c>
      <c r="D2058" s="10">
        <v>31199</v>
      </c>
    </row>
    <row r="2059" spans="1:4">
      <c r="A2059" t="s">
        <v>31</v>
      </c>
      <c r="B2059" t="s">
        <v>63</v>
      </c>
      <c r="C2059" s="9">
        <v>46201</v>
      </c>
      <c r="D2059" s="10">
        <v>10723</v>
      </c>
    </row>
    <row r="2060" spans="1:4">
      <c r="A2060" t="s">
        <v>26</v>
      </c>
      <c r="B2060" t="s">
        <v>265</v>
      </c>
      <c r="C2060" s="9">
        <v>46201</v>
      </c>
      <c r="D2060" s="10">
        <v>28466</v>
      </c>
    </row>
    <row r="2061" spans="1:4">
      <c r="A2061" t="s">
        <v>8</v>
      </c>
      <c r="B2061" t="s">
        <v>144</v>
      </c>
      <c r="C2061" s="9">
        <v>46201</v>
      </c>
      <c r="D2061" s="10">
        <v>5200</v>
      </c>
    </row>
    <row r="2062" spans="1:4">
      <c r="A2062" t="s">
        <v>9</v>
      </c>
      <c r="B2062" t="s">
        <v>85</v>
      </c>
      <c r="C2062" s="9">
        <v>46201</v>
      </c>
      <c r="D2062" s="10">
        <v>33309</v>
      </c>
    </row>
    <row r="2063" spans="1:4">
      <c r="A2063" t="s">
        <v>9</v>
      </c>
      <c r="B2063" t="s">
        <v>146</v>
      </c>
      <c r="C2063" s="9">
        <v>46201</v>
      </c>
      <c r="D2063" s="10">
        <v>42480</v>
      </c>
    </row>
    <row r="2064" spans="1:4">
      <c r="A2064" t="s">
        <v>9</v>
      </c>
      <c r="B2064" t="s">
        <v>102</v>
      </c>
      <c r="C2064" s="9">
        <v>46201</v>
      </c>
      <c r="D2064" s="10">
        <v>43853</v>
      </c>
    </row>
    <row r="2065" spans="1:4">
      <c r="A2065" t="s">
        <v>9</v>
      </c>
      <c r="B2065" t="s">
        <v>223</v>
      </c>
      <c r="C2065" s="9">
        <v>46201</v>
      </c>
      <c r="D2065" s="10">
        <v>28307</v>
      </c>
    </row>
    <row r="2066" spans="1:4">
      <c r="A2066" t="s">
        <v>9</v>
      </c>
      <c r="B2066" t="s">
        <v>219</v>
      </c>
      <c r="C2066" s="9">
        <v>46201</v>
      </c>
      <c r="D2066" s="10">
        <v>34852</v>
      </c>
    </row>
    <row r="2067" spans="1:4">
      <c r="A2067" t="s">
        <v>5</v>
      </c>
      <c r="B2067" t="s">
        <v>155</v>
      </c>
      <c r="C2067" s="9">
        <v>46201</v>
      </c>
      <c r="D2067" s="10">
        <v>44482</v>
      </c>
    </row>
    <row r="2068" spans="1:4">
      <c r="A2068" t="s">
        <v>5</v>
      </c>
      <c r="B2068" t="s">
        <v>159</v>
      </c>
      <c r="C2068" s="9">
        <v>46201</v>
      </c>
      <c r="D2068" s="10">
        <v>46598</v>
      </c>
    </row>
    <row r="2069" spans="1:4">
      <c r="A2069" t="s">
        <v>5</v>
      </c>
      <c r="B2069" t="s">
        <v>104</v>
      </c>
      <c r="C2069" s="9">
        <v>46201</v>
      </c>
      <c r="D2069" s="10">
        <v>48036</v>
      </c>
    </row>
    <row r="2070" spans="1:4">
      <c r="A2070" t="s">
        <v>5</v>
      </c>
      <c r="B2070" t="s">
        <v>124</v>
      </c>
      <c r="C2070" s="9">
        <v>46201</v>
      </c>
      <c r="D2070" s="10">
        <v>41655</v>
      </c>
    </row>
    <row r="2071" spans="1:4">
      <c r="A2071" t="s">
        <v>5</v>
      </c>
      <c r="B2071" t="s">
        <v>156</v>
      </c>
      <c r="C2071" s="9">
        <v>46201</v>
      </c>
      <c r="D2071" s="10">
        <v>29472</v>
      </c>
    </row>
    <row r="2072" spans="1:4">
      <c r="A2072" t="s">
        <v>8</v>
      </c>
      <c r="B2072" t="s">
        <v>256</v>
      </c>
      <c r="C2072" s="9">
        <v>46202</v>
      </c>
      <c r="D2072" s="10">
        <v>18078</v>
      </c>
    </row>
    <row r="2073" spans="1:4">
      <c r="A2073" t="s">
        <v>9</v>
      </c>
      <c r="B2073" t="s">
        <v>121</v>
      </c>
      <c r="C2073" s="9">
        <v>46202</v>
      </c>
      <c r="D2073" s="10">
        <v>33409</v>
      </c>
    </row>
    <row r="2074" spans="1:4">
      <c r="A2074" t="s">
        <v>5</v>
      </c>
      <c r="B2074" t="s">
        <v>187</v>
      </c>
      <c r="C2074" s="9">
        <v>46202</v>
      </c>
      <c r="D2074" s="10">
        <v>40614</v>
      </c>
    </row>
    <row r="2075" spans="1:4">
      <c r="A2075" t="s">
        <v>5</v>
      </c>
      <c r="B2075" t="s">
        <v>102</v>
      </c>
      <c r="C2075" s="9">
        <v>46202</v>
      </c>
      <c r="D2075" s="10">
        <v>40552</v>
      </c>
    </row>
    <row r="2076" spans="1:4">
      <c r="A2076" t="s">
        <v>5</v>
      </c>
      <c r="B2076" t="s">
        <v>123</v>
      </c>
      <c r="C2076" s="9">
        <v>46202</v>
      </c>
      <c r="D2076" s="10">
        <v>50843</v>
      </c>
    </row>
    <row r="2077" spans="1:4">
      <c r="A2077" t="s">
        <v>5</v>
      </c>
      <c r="B2077" t="s">
        <v>293</v>
      </c>
      <c r="C2077" s="9">
        <v>46202</v>
      </c>
      <c r="D2077" s="10">
        <v>65431</v>
      </c>
    </row>
    <row r="2078" spans="1:4">
      <c r="A2078" t="s">
        <v>4</v>
      </c>
      <c r="B2078" t="s">
        <v>195</v>
      </c>
      <c r="C2078" s="9">
        <v>46203</v>
      </c>
      <c r="D2078" s="10">
        <v>31555</v>
      </c>
    </row>
    <row r="2079" spans="1:4">
      <c r="A2079" t="s">
        <v>25</v>
      </c>
      <c r="B2079" t="s">
        <v>205</v>
      </c>
      <c r="C2079" s="9">
        <v>46203</v>
      </c>
      <c r="D2079" s="10">
        <v>10527</v>
      </c>
    </row>
    <row r="2080" spans="1:4">
      <c r="A2080" t="s">
        <v>25</v>
      </c>
      <c r="B2080" t="s">
        <v>220</v>
      </c>
      <c r="C2080" s="9">
        <v>46203</v>
      </c>
      <c r="D2080" s="10">
        <v>15320</v>
      </c>
    </row>
    <row r="2081" spans="1:4">
      <c r="A2081" t="s">
        <v>30</v>
      </c>
      <c r="B2081" t="s">
        <v>236</v>
      </c>
      <c r="C2081" s="9">
        <v>46203</v>
      </c>
      <c r="D2081" s="10">
        <v>11976</v>
      </c>
    </row>
    <row r="2082" spans="1:4">
      <c r="A2082" t="s">
        <v>32</v>
      </c>
      <c r="B2082" t="s">
        <v>145</v>
      </c>
      <c r="C2082" s="9">
        <v>46203</v>
      </c>
      <c r="D2082" s="10">
        <v>22325</v>
      </c>
    </row>
    <row r="2083" spans="1:4">
      <c r="A2083" t="s">
        <v>29</v>
      </c>
      <c r="B2083" t="s">
        <v>95</v>
      </c>
      <c r="C2083" s="9">
        <v>46203</v>
      </c>
      <c r="D2083" s="10">
        <v>13670</v>
      </c>
    </row>
    <row r="2084" spans="1:4">
      <c r="A2084" t="s">
        <v>29</v>
      </c>
      <c r="B2084" t="s">
        <v>152</v>
      </c>
      <c r="C2084" s="9">
        <v>46203</v>
      </c>
      <c r="D2084" s="10">
        <v>23284</v>
      </c>
    </row>
    <row r="2085" spans="1:4">
      <c r="A2085" t="s">
        <v>5</v>
      </c>
      <c r="B2085" t="s">
        <v>59</v>
      </c>
      <c r="C2085" s="9">
        <v>46203</v>
      </c>
      <c r="D2085" s="10">
        <v>49269</v>
      </c>
    </row>
    <row r="2086" spans="1:4">
      <c r="A2086" t="s">
        <v>5</v>
      </c>
      <c r="B2086" t="s">
        <v>72</v>
      </c>
      <c r="C2086" s="9">
        <v>46203</v>
      </c>
      <c r="D2086" s="10">
        <v>52421</v>
      </c>
    </row>
    <row r="2087" spans="1:4">
      <c r="A2087" t="s">
        <v>5</v>
      </c>
      <c r="B2087" t="s">
        <v>210</v>
      </c>
      <c r="C2087" s="9">
        <v>46203</v>
      </c>
      <c r="D2087" s="10">
        <v>46023</v>
      </c>
    </row>
    <row r="2088" spans="1:4">
      <c r="A2088" t="s">
        <v>5</v>
      </c>
      <c r="B2088" t="s">
        <v>104</v>
      </c>
      <c r="C2088" s="9">
        <v>46203</v>
      </c>
      <c r="D2088" s="10">
        <v>36484</v>
      </c>
    </row>
    <row r="2089" spans="1:4">
      <c r="A2089" t="s">
        <v>27</v>
      </c>
      <c r="B2089" t="s">
        <v>169</v>
      </c>
      <c r="C2089" s="9">
        <v>46204</v>
      </c>
      <c r="D2089" s="10">
        <v>13886</v>
      </c>
    </row>
    <row r="2090" spans="1:4">
      <c r="A2090" t="s">
        <v>28</v>
      </c>
      <c r="B2090" t="s">
        <v>269</v>
      </c>
      <c r="C2090" s="9">
        <v>46204</v>
      </c>
      <c r="D2090" s="10">
        <v>11635</v>
      </c>
    </row>
    <row r="2091" spans="1:4">
      <c r="A2091" t="s">
        <v>7</v>
      </c>
      <c r="B2091" t="s">
        <v>164</v>
      </c>
      <c r="C2091" s="9">
        <v>46204</v>
      </c>
      <c r="D2091" s="10">
        <v>26381</v>
      </c>
    </row>
    <row r="2092" spans="1:4">
      <c r="A2092" t="s">
        <v>9</v>
      </c>
      <c r="B2092" t="s">
        <v>96</v>
      </c>
      <c r="C2092" s="9">
        <v>46204</v>
      </c>
      <c r="D2092" s="10">
        <v>28383</v>
      </c>
    </row>
    <row r="2093" spans="1:4">
      <c r="A2093" t="s">
        <v>5</v>
      </c>
      <c r="B2093" t="s">
        <v>62</v>
      </c>
      <c r="C2093" s="9">
        <v>46204</v>
      </c>
      <c r="D2093" s="10">
        <v>34865</v>
      </c>
    </row>
    <row r="2094" spans="1:4">
      <c r="A2094" t="s">
        <v>4</v>
      </c>
      <c r="B2094" t="s">
        <v>252</v>
      </c>
      <c r="C2094" s="9">
        <v>46205</v>
      </c>
      <c r="D2094" s="10">
        <v>28262</v>
      </c>
    </row>
    <row r="2095" spans="1:4">
      <c r="A2095" t="s">
        <v>4</v>
      </c>
      <c r="B2095" t="s">
        <v>242</v>
      </c>
      <c r="C2095" s="9">
        <v>46205</v>
      </c>
      <c r="D2095" s="10">
        <v>35142</v>
      </c>
    </row>
    <row r="2096" spans="1:4">
      <c r="A2096" t="s">
        <v>8</v>
      </c>
      <c r="B2096" t="s">
        <v>250</v>
      </c>
      <c r="C2096" s="9">
        <v>46205</v>
      </c>
      <c r="D2096" s="10">
        <v>5200</v>
      </c>
    </row>
    <row r="2097" spans="1:4">
      <c r="A2097" t="s">
        <v>8</v>
      </c>
      <c r="B2097" t="s">
        <v>132</v>
      </c>
      <c r="C2097" s="9">
        <v>46205</v>
      </c>
      <c r="D2097" s="10">
        <v>15857</v>
      </c>
    </row>
    <row r="2098" spans="1:4">
      <c r="A2098" t="s">
        <v>6</v>
      </c>
      <c r="B2098" t="s">
        <v>83</v>
      </c>
      <c r="C2098" s="9">
        <v>46205</v>
      </c>
      <c r="D2098" s="10">
        <v>18878</v>
      </c>
    </row>
    <row r="2099" spans="1:4">
      <c r="A2099" t="s">
        <v>29</v>
      </c>
      <c r="B2099" t="s">
        <v>84</v>
      </c>
      <c r="C2099" s="9">
        <v>46205</v>
      </c>
      <c r="D2099" s="10">
        <v>14913</v>
      </c>
    </row>
    <row r="2100" spans="1:4">
      <c r="A2100" t="s">
        <v>7</v>
      </c>
      <c r="B2100" t="s">
        <v>181</v>
      </c>
      <c r="C2100" s="9">
        <v>46205</v>
      </c>
      <c r="D2100" s="10">
        <v>31954</v>
      </c>
    </row>
    <row r="2101" spans="1:4">
      <c r="A2101" t="s">
        <v>7</v>
      </c>
      <c r="B2101" t="s">
        <v>173</v>
      </c>
      <c r="C2101" s="9">
        <v>46205</v>
      </c>
      <c r="D2101" s="10">
        <v>16469</v>
      </c>
    </row>
    <row r="2102" spans="1:4">
      <c r="A2102" t="s">
        <v>9</v>
      </c>
      <c r="B2102" t="s">
        <v>201</v>
      </c>
      <c r="C2102" s="9">
        <v>46205</v>
      </c>
      <c r="D2102" s="10">
        <v>41925</v>
      </c>
    </row>
    <row r="2103" spans="1:4">
      <c r="A2103" t="s">
        <v>9</v>
      </c>
      <c r="B2103" t="s">
        <v>223</v>
      </c>
      <c r="C2103" s="9">
        <v>46205</v>
      </c>
      <c r="D2103" s="10">
        <v>26657</v>
      </c>
    </row>
    <row r="2104" spans="1:4">
      <c r="A2104" t="s">
        <v>9</v>
      </c>
      <c r="B2104" t="s">
        <v>100</v>
      </c>
      <c r="C2104" s="9">
        <v>46205</v>
      </c>
      <c r="D2104" s="10">
        <v>19745</v>
      </c>
    </row>
    <row r="2105" spans="1:4">
      <c r="A2105" t="s">
        <v>5</v>
      </c>
      <c r="B2105" t="s">
        <v>241</v>
      </c>
      <c r="C2105" s="9">
        <v>46205</v>
      </c>
      <c r="D2105" s="10">
        <v>34011</v>
      </c>
    </row>
    <row r="2106" spans="1:4">
      <c r="A2106" t="s">
        <v>5</v>
      </c>
      <c r="B2106" t="s">
        <v>293</v>
      </c>
      <c r="C2106" s="9">
        <v>46205</v>
      </c>
      <c r="D2106" s="10">
        <v>32376</v>
      </c>
    </row>
    <row r="2107" spans="1:4">
      <c r="A2107" t="s">
        <v>5</v>
      </c>
      <c r="B2107" t="s">
        <v>81</v>
      </c>
      <c r="C2107" s="9">
        <v>46205</v>
      </c>
      <c r="D2107" s="10">
        <v>36753</v>
      </c>
    </row>
    <row r="2108" spans="1:4">
      <c r="A2108" t="s">
        <v>5</v>
      </c>
      <c r="B2108" t="s">
        <v>86</v>
      </c>
      <c r="C2108" s="9">
        <v>46205</v>
      </c>
      <c r="D2108" s="10">
        <v>27012</v>
      </c>
    </row>
    <row r="2109" spans="1:4">
      <c r="A2109" t="s">
        <v>5</v>
      </c>
      <c r="B2109" t="s">
        <v>86</v>
      </c>
      <c r="C2109" s="9">
        <v>46205</v>
      </c>
      <c r="D2109" s="10">
        <v>29889</v>
      </c>
    </row>
    <row r="2110" spans="1:4">
      <c r="A2110" t="s">
        <v>5</v>
      </c>
      <c r="B2110" t="s">
        <v>104</v>
      </c>
      <c r="C2110" s="9">
        <v>46205</v>
      </c>
      <c r="D2110" s="10">
        <v>51357</v>
      </c>
    </row>
    <row r="2111" spans="1:4">
      <c r="A2111" t="s">
        <v>27</v>
      </c>
      <c r="B2111" t="s">
        <v>182</v>
      </c>
      <c r="C2111" s="9">
        <v>46206</v>
      </c>
      <c r="D2111" s="10">
        <v>12460</v>
      </c>
    </row>
    <row r="2112" spans="1:4">
      <c r="A2112" t="s">
        <v>4</v>
      </c>
      <c r="B2112" t="s">
        <v>262</v>
      </c>
      <c r="C2112" s="9">
        <v>46206</v>
      </c>
      <c r="D2112" s="10">
        <v>30108</v>
      </c>
    </row>
    <row r="2113" spans="1:4">
      <c r="A2113" t="s">
        <v>25</v>
      </c>
      <c r="B2113" t="s">
        <v>220</v>
      </c>
      <c r="C2113" s="9">
        <v>46206</v>
      </c>
      <c r="D2113" s="10">
        <v>15817</v>
      </c>
    </row>
    <row r="2114" spans="1:4">
      <c r="A2114" t="s">
        <v>30</v>
      </c>
      <c r="B2114" t="s">
        <v>236</v>
      </c>
      <c r="C2114" s="9">
        <v>46206</v>
      </c>
      <c r="D2114" s="10">
        <v>12655</v>
      </c>
    </row>
    <row r="2115" spans="1:4">
      <c r="A2115" t="s">
        <v>8</v>
      </c>
      <c r="B2115" t="s">
        <v>184</v>
      </c>
      <c r="C2115" s="9">
        <v>46206</v>
      </c>
      <c r="D2115" s="10">
        <v>19463</v>
      </c>
    </row>
    <row r="2116" spans="1:4">
      <c r="A2116" t="s">
        <v>29</v>
      </c>
      <c r="B2116" t="s">
        <v>254</v>
      </c>
      <c r="C2116" s="9">
        <v>46206</v>
      </c>
      <c r="D2116" s="10">
        <v>18154</v>
      </c>
    </row>
    <row r="2117" spans="1:4">
      <c r="A2117" t="s">
        <v>5</v>
      </c>
      <c r="B2117" t="s">
        <v>167</v>
      </c>
      <c r="C2117" s="9">
        <v>46206</v>
      </c>
      <c r="D2117" s="10">
        <v>39007</v>
      </c>
    </row>
    <row r="2118" spans="1:4">
      <c r="A2118" t="s">
        <v>5</v>
      </c>
      <c r="B2118" t="s">
        <v>124</v>
      </c>
      <c r="C2118" s="9">
        <v>46206</v>
      </c>
      <c r="D2118" s="10">
        <v>33857</v>
      </c>
    </row>
    <row r="2119" spans="1:4">
      <c r="A2119" t="s">
        <v>4</v>
      </c>
      <c r="B2119" t="s">
        <v>142</v>
      </c>
      <c r="C2119" s="9">
        <v>46207</v>
      </c>
      <c r="D2119" s="10">
        <v>28329</v>
      </c>
    </row>
    <row r="2120" spans="1:4">
      <c r="A2120" t="s">
        <v>25</v>
      </c>
      <c r="B2120" t="s">
        <v>151</v>
      </c>
      <c r="C2120" s="9">
        <v>46207</v>
      </c>
      <c r="D2120" s="10">
        <v>13544</v>
      </c>
    </row>
    <row r="2121" spans="1:4">
      <c r="A2121" t="s">
        <v>36</v>
      </c>
      <c r="B2121" t="s">
        <v>280</v>
      </c>
      <c r="C2121" s="9">
        <v>46207</v>
      </c>
      <c r="D2121" s="10">
        <v>18969</v>
      </c>
    </row>
    <row r="2122" spans="1:4">
      <c r="A2122" t="s">
        <v>5</v>
      </c>
      <c r="B2122" t="s">
        <v>72</v>
      </c>
      <c r="C2122" s="9">
        <v>46207</v>
      </c>
      <c r="D2122" s="10">
        <v>52666</v>
      </c>
    </row>
    <row r="2123" spans="1:4">
      <c r="A2123" t="s">
        <v>5</v>
      </c>
      <c r="B2123" t="s">
        <v>167</v>
      </c>
      <c r="C2123" s="9">
        <v>46207</v>
      </c>
      <c r="D2123" s="10">
        <v>30553</v>
      </c>
    </row>
    <row r="2124" spans="1:4">
      <c r="A2124" t="s">
        <v>5</v>
      </c>
      <c r="B2124" t="s">
        <v>241</v>
      </c>
      <c r="C2124" s="9">
        <v>46207</v>
      </c>
      <c r="D2124" s="10">
        <v>46689</v>
      </c>
    </row>
    <row r="2125" spans="1:4">
      <c r="A2125" t="s">
        <v>5</v>
      </c>
      <c r="B2125" t="s">
        <v>211</v>
      </c>
      <c r="C2125" s="9">
        <v>46207</v>
      </c>
      <c r="D2125" s="10">
        <v>45622</v>
      </c>
    </row>
    <row r="2126" spans="1:4">
      <c r="A2126" t="s">
        <v>5</v>
      </c>
      <c r="B2126" t="s">
        <v>203</v>
      </c>
      <c r="C2126" s="9">
        <v>46207</v>
      </c>
      <c r="D2126" s="10">
        <v>42100</v>
      </c>
    </row>
    <row r="2127" spans="1:4">
      <c r="A2127" t="s">
        <v>26</v>
      </c>
      <c r="B2127" t="s">
        <v>221</v>
      </c>
      <c r="C2127" s="9">
        <v>46208</v>
      </c>
      <c r="D2127" s="10">
        <v>14438</v>
      </c>
    </row>
    <row r="2128" spans="1:4">
      <c r="A2128" t="s">
        <v>8</v>
      </c>
      <c r="B2128" t="s">
        <v>251</v>
      </c>
      <c r="C2128" s="9">
        <v>46208</v>
      </c>
      <c r="D2128" s="10">
        <v>19459</v>
      </c>
    </row>
    <row r="2129" spans="1:4">
      <c r="A2129" t="s">
        <v>7</v>
      </c>
      <c r="B2129" t="s">
        <v>97</v>
      </c>
      <c r="C2129" s="9">
        <v>46208</v>
      </c>
      <c r="D2129" s="10">
        <v>24074</v>
      </c>
    </row>
    <row r="2130" spans="1:4">
      <c r="A2130" t="s">
        <v>7</v>
      </c>
      <c r="B2130" t="s">
        <v>289</v>
      </c>
      <c r="C2130" s="9">
        <v>46208</v>
      </c>
      <c r="D2130" s="10">
        <v>15052</v>
      </c>
    </row>
    <row r="2131" spans="1:4">
      <c r="A2131" t="s">
        <v>9</v>
      </c>
      <c r="B2131" t="s">
        <v>201</v>
      </c>
      <c r="C2131" s="9">
        <v>46208</v>
      </c>
      <c r="D2131" s="10">
        <v>42592</v>
      </c>
    </row>
    <row r="2132" spans="1:4">
      <c r="A2132" t="s">
        <v>9</v>
      </c>
      <c r="B2132" t="s">
        <v>246</v>
      </c>
      <c r="C2132" s="9">
        <v>46208</v>
      </c>
      <c r="D2132" s="10">
        <v>46081</v>
      </c>
    </row>
    <row r="2133" spans="1:4">
      <c r="A2133" t="s">
        <v>9</v>
      </c>
      <c r="B2133" t="s">
        <v>106</v>
      </c>
      <c r="C2133" s="9">
        <v>46208</v>
      </c>
      <c r="D2133" s="10">
        <v>54313</v>
      </c>
    </row>
    <row r="2134" spans="1:4">
      <c r="A2134" t="s">
        <v>5</v>
      </c>
      <c r="B2134" t="s">
        <v>72</v>
      </c>
      <c r="C2134" s="9">
        <v>46208</v>
      </c>
      <c r="D2134" s="10">
        <v>63970</v>
      </c>
    </row>
    <row r="2135" spans="1:4">
      <c r="A2135" t="s">
        <v>5</v>
      </c>
      <c r="B2135" t="s">
        <v>154</v>
      </c>
      <c r="C2135" s="9">
        <v>46208</v>
      </c>
      <c r="D2135" s="10">
        <v>32632</v>
      </c>
    </row>
    <row r="2136" spans="1:4">
      <c r="A2136" t="s">
        <v>5</v>
      </c>
      <c r="B2136" t="s">
        <v>147</v>
      </c>
      <c r="C2136" s="9">
        <v>46208</v>
      </c>
      <c r="D2136" s="10">
        <v>42701</v>
      </c>
    </row>
    <row r="2137" spans="1:4">
      <c r="A2137" t="s">
        <v>5</v>
      </c>
      <c r="B2137" t="s">
        <v>139</v>
      </c>
      <c r="C2137" s="9">
        <v>46208</v>
      </c>
      <c r="D2137" s="10">
        <v>44168</v>
      </c>
    </row>
    <row r="2138" spans="1:4">
      <c r="A2138" t="s">
        <v>5</v>
      </c>
      <c r="B2138" t="s">
        <v>148</v>
      </c>
      <c r="C2138" s="9">
        <v>46208</v>
      </c>
      <c r="D2138" s="10">
        <v>36873</v>
      </c>
    </row>
    <row r="2139" spans="1:4">
      <c r="A2139" t="s">
        <v>5</v>
      </c>
      <c r="B2139" t="s">
        <v>168</v>
      </c>
      <c r="C2139" s="9">
        <v>46208</v>
      </c>
      <c r="D2139" s="10">
        <v>42894</v>
      </c>
    </row>
    <row r="2140" spans="1:4">
      <c r="A2140" t="s">
        <v>5</v>
      </c>
      <c r="B2140" t="s">
        <v>155</v>
      </c>
      <c r="C2140" s="9">
        <v>46208</v>
      </c>
      <c r="D2140" s="10">
        <v>36279</v>
      </c>
    </row>
    <row r="2141" spans="1:4">
      <c r="A2141" t="s">
        <v>5</v>
      </c>
      <c r="B2141" t="s">
        <v>103</v>
      </c>
      <c r="C2141" s="9">
        <v>46208</v>
      </c>
      <c r="D2141" s="10">
        <v>31524</v>
      </c>
    </row>
    <row r="2142" spans="1:4">
      <c r="A2142" t="s">
        <v>4</v>
      </c>
      <c r="B2142" t="s">
        <v>110</v>
      </c>
      <c r="C2142" s="9">
        <v>46209</v>
      </c>
      <c r="D2142" s="10">
        <v>42900</v>
      </c>
    </row>
    <row r="2143" spans="1:4">
      <c r="A2143" t="s">
        <v>4</v>
      </c>
      <c r="B2143" t="s">
        <v>204</v>
      </c>
      <c r="C2143" s="9">
        <v>46209</v>
      </c>
      <c r="D2143" s="10">
        <v>38066</v>
      </c>
    </row>
    <row r="2144" spans="1:4">
      <c r="A2144" t="s">
        <v>4</v>
      </c>
      <c r="B2144" t="s">
        <v>214</v>
      </c>
      <c r="C2144" s="9">
        <v>46209</v>
      </c>
      <c r="D2144" s="10">
        <v>32029</v>
      </c>
    </row>
    <row r="2145" spans="1:4">
      <c r="A2145" t="s">
        <v>26</v>
      </c>
      <c r="B2145" t="s">
        <v>281</v>
      </c>
      <c r="C2145" s="9">
        <v>46209</v>
      </c>
      <c r="D2145" s="10">
        <v>5200</v>
      </c>
    </row>
    <row r="2146" spans="1:4">
      <c r="A2146" t="s">
        <v>29</v>
      </c>
      <c r="B2146" t="s">
        <v>152</v>
      </c>
      <c r="C2146" s="9">
        <v>46209</v>
      </c>
      <c r="D2146" s="10">
        <v>11490</v>
      </c>
    </row>
    <row r="2147" spans="1:4">
      <c r="A2147" t="s">
        <v>37</v>
      </c>
      <c r="B2147" t="s">
        <v>186</v>
      </c>
      <c r="C2147" s="9">
        <v>46209</v>
      </c>
      <c r="D2147" s="10">
        <v>13867</v>
      </c>
    </row>
    <row r="2148" spans="1:4">
      <c r="A2148" t="s">
        <v>9</v>
      </c>
      <c r="B2148" t="s">
        <v>111</v>
      </c>
      <c r="C2148" s="9">
        <v>46209</v>
      </c>
      <c r="D2148" s="10">
        <v>31045</v>
      </c>
    </row>
    <row r="2149" spans="1:4">
      <c r="A2149" t="s">
        <v>5</v>
      </c>
      <c r="B2149" t="s">
        <v>209</v>
      </c>
      <c r="C2149" s="9">
        <v>46209</v>
      </c>
      <c r="D2149" s="10">
        <v>39469</v>
      </c>
    </row>
    <row r="2150" spans="1:4">
      <c r="A2150" t="s">
        <v>4</v>
      </c>
      <c r="B2150" t="s">
        <v>293</v>
      </c>
      <c r="C2150" s="9">
        <v>46210</v>
      </c>
      <c r="D2150" s="10">
        <v>42562</v>
      </c>
    </row>
    <row r="2151" spans="1:4">
      <c r="A2151" t="s">
        <v>31</v>
      </c>
      <c r="B2151" t="s">
        <v>129</v>
      </c>
      <c r="C2151" s="9">
        <v>46210</v>
      </c>
      <c r="D2151" s="10">
        <v>13223</v>
      </c>
    </row>
    <row r="2152" spans="1:4">
      <c r="A2152" t="s">
        <v>25</v>
      </c>
      <c r="B2152" t="s">
        <v>277</v>
      </c>
      <c r="C2152" s="9">
        <v>46210</v>
      </c>
      <c r="D2152" s="10">
        <v>10480</v>
      </c>
    </row>
    <row r="2153" spans="1:4">
      <c r="A2153" t="s">
        <v>26</v>
      </c>
      <c r="B2153" t="s">
        <v>271</v>
      </c>
      <c r="C2153" s="9">
        <v>46210</v>
      </c>
      <c r="D2153" s="10">
        <v>24900</v>
      </c>
    </row>
    <row r="2154" spans="1:4">
      <c r="A2154" t="s">
        <v>30</v>
      </c>
      <c r="B2154" t="s">
        <v>60</v>
      </c>
      <c r="C2154" s="9">
        <v>46210</v>
      </c>
      <c r="D2154" s="10">
        <v>26535</v>
      </c>
    </row>
    <row r="2155" spans="1:4">
      <c r="A2155" t="s">
        <v>6</v>
      </c>
      <c r="B2155" t="s">
        <v>200</v>
      </c>
      <c r="C2155" s="9">
        <v>46210</v>
      </c>
      <c r="D2155" s="10">
        <v>5278</v>
      </c>
    </row>
    <row r="2156" spans="1:4">
      <c r="A2156" t="s">
        <v>7</v>
      </c>
      <c r="B2156" t="s">
        <v>174</v>
      </c>
      <c r="C2156" s="9">
        <v>46210</v>
      </c>
      <c r="D2156" s="10">
        <v>29276</v>
      </c>
    </row>
    <row r="2157" spans="1:4">
      <c r="A2157" t="s">
        <v>9</v>
      </c>
      <c r="B2157" t="s">
        <v>258</v>
      </c>
      <c r="C2157" s="9">
        <v>46210</v>
      </c>
      <c r="D2157" s="10">
        <v>33805</v>
      </c>
    </row>
    <row r="2158" spans="1:4">
      <c r="A2158" t="s">
        <v>5</v>
      </c>
      <c r="B2158" t="s">
        <v>149</v>
      </c>
      <c r="C2158" s="9">
        <v>46210</v>
      </c>
      <c r="D2158" s="10">
        <v>45626</v>
      </c>
    </row>
    <row r="2159" spans="1:4">
      <c r="A2159" t="s">
        <v>5</v>
      </c>
      <c r="B2159" t="s">
        <v>122</v>
      </c>
      <c r="C2159" s="9">
        <v>46210</v>
      </c>
      <c r="D2159" s="10">
        <v>36561</v>
      </c>
    </row>
    <row r="2160" spans="1:4">
      <c r="A2160" t="s">
        <v>5</v>
      </c>
      <c r="B2160" t="s">
        <v>210</v>
      </c>
      <c r="C2160" s="9">
        <v>46210</v>
      </c>
      <c r="D2160" s="10">
        <v>50063</v>
      </c>
    </row>
    <row r="2161" spans="1:4">
      <c r="A2161" t="s">
        <v>5</v>
      </c>
      <c r="B2161" t="s">
        <v>87</v>
      </c>
      <c r="C2161" s="9">
        <v>46210</v>
      </c>
      <c r="D2161" s="10">
        <v>36248</v>
      </c>
    </row>
    <row r="2162" spans="1:4">
      <c r="A2162" t="s">
        <v>4</v>
      </c>
      <c r="B2162" t="s">
        <v>275</v>
      </c>
      <c r="C2162" s="9">
        <v>46211</v>
      </c>
      <c r="D2162" s="10">
        <v>33148</v>
      </c>
    </row>
    <row r="2163" spans="1:4">
      <c r="A2163" t="s">
        <v>4</v>
      </c>
      <c r="B2163" t="s">
        <v>175</v>
      </c>
      <c r="C2163" s="9">
        <v>46211</v>
      </c>
      <c r="D2163" s="10">
        <v>31715</v>
      </c>
    </row>
    <row r="2164" spans="1:4">
      <c r="A2164" t="s">
        <v>25</v>
      </c>
      <c r="B2164" t="s">
        <v>161</v>
      </c>
      <c r="C2164" s="9">
        <v>46211</v>
      </c>
      <c r="D2164" s="10">
        <v>15433</v>
      </c>
    </row>
    <row r="2165" spans="1:4">
      <c r="A2165" t="s">
        <v>26</v>
      </c>
      <c r="B2165" t="s">
        <v>162</v>
      </c>
      <c r="C2165" s="9">
        <v>46211</v>
      </c>
      <c r="D2165" s="10">
        <v>20019</v>
      </c>
    </row>
    <row r="2166" spans="1:4">
      <c r="A2166" t="s">
        <v>7</v>
      </c>
      <c r="B2166" t="s">
        <v>222</v>
      </c>
      <c r="C2166" s="9">
        <v>46211</v>
      </c>
      <c r="D2166" s="10">
        <v>23415</v>
      </c>
    </row>
    <row r="2167" spans="1:4">
      <c r="A2167" t="s">
        <v>9</v>
      </c>
      <c r="B2167" t="s">
        <v>146</v>
      </c>
      <c r="C2167" s="9">
        <v>46211</v>
      </c>
      <c r="D2167" s="10">
        <v>45789</v>
      </c>
    </row>
    <row r="2168" spans="1:4">
      <c r="A2168" t="s">
        <v>9</v>
      </c>
      <c r="B2168" t="s">
        <v>101</v>
      </c>
      <c r="C2168" s="9">
        <v>46211</v>
      </c>
      <c r="D2168" s="10">
        <v>32209</v>
      </c>
    </row>
    <row r="2169" spans="1:4">
      <c r="A2169" t="s">
        <v>9</v>
      </c>
      <c r="B2169" t="s">
        <v>292</v>
      </c>
      <c r="C2169" s="9">
        <v>46211</v>
      </c>
      <c r="D2169" s="10">
        <v>11516</v>
      </c>
    </row>
    <row r="2170" spans="1:4">
      <c r="A2170" t="s">
        <v>5</v>
      </c>
      <c r="B2170" t="s">
        <v>102</v>
      </c>
      <c r="C2170" s="9">
        <v>46211</v>
      </c>
      <c r="D2170" s="10">
        <v>27490</v>
      </c>
    </row>
    <row r="2171" spans="1:4">
      <c r="A2171" t="s">
        <v>5</v>
      </c>
      <c r="B2171" t="s">
        <v>293</v>
      </c>
      <c r="C2171" s="9">
        <v>46211</v>
      </c>
      <c r="D2171" s="10">
        <v>50689</v>
      </c>
    </row>
    <row r="2172" spans="1:4">
      <c r="A2172" t="s">
        <v>5</v>
      </c>
      <c r="B2172" t="s">
        <v>189</v>
      </c>
      <c r="C2172" s="9">
        <v>46211</v>
      </c>
      <c r="D2172" s="10">
        <v>40595</v>
      </c>
    </row>
    <row r="2173" spans="1:4">
      <c r="A2173" t="s">
        <v>5</v>
      </c>
      <c r="B2173" t="s">
        <v>189</v>
      </c>
      <c r="C2173" s="9">
        <v>46211</v>
      </c>
      <c r="D2173" s="10">
        <v>35267</v>
      </c>
    </row>
    <row r="2174" spans="1:4">
      <c r="A2174" t="s">
        <v>5</v>
      </c>
      <c r="B2174" t="s">
        <v>210</v>
      </c>
      <c r="C2174" s="9">
        <v>46211</v>
      </c>
      <c r="D2174" s="10">
        <v>43559</v>
      </c>
    </row>
    <row r="2175" spans="1:4">
      <c r="A2175" t="s">
        <v>5</v>
      </c>
      <c r="B2175" t="s">
        <v>71</v>
      </c>
      <c r="C2175" s="9">
        <v>46211</v>
      </c>
      <c r="D2175" s="10">
        <v>34626</v>
      </c>
    </row>
    <row r="2176" spans="1:4">
      <c r="A2176" t="s">
        <v>8</v>
      </c>
      <c r="B2176" t="s">
        <v>170</v>
      </c>
      <c r="C2176" s="9">
        <v>46212</v>
      </c>
      <c r="D2176" s="10">
        <v>12922</v>
      </c>
    </row>
    <row r="2177" spans="1:4">
      <c r="A2177" t="s">
        <v>8</v>
      </c>
      <c r="B2177" t="s">
        <v>244</v>
      </c>
      <c r="C2177" s="9">
        <v>46212</v>
      </c>
      <c r="D2177" s="10">
        <v>5200</v>
      </c>
    </row>
    <row r="2178" spans="1:4">
      <c r="A2178" t="s">
        <v>6</v>
      </c>
      <c r="B2178" t="s">
        <v>272</v>
      </c>
      <c r="C2178" s="9">
        <v>46212</v>
      </c>
      <c r="D2178" s="10">
        <v>18402</v>
      </c>
    </row>
    <row r="2179" spans="1:4">
      <c r="A2179" t="s">
        <v>6</v>
      </c>
      <c r="B2179" t="s">
        <v>287</v>
      </c>
      <c r="C2179" s="9">
        <v>46212</v>
      </c>
      <c r="D2179" s="10">
        <v>19361</v>
      </c>
    </row>
    <row r="2180" spans="1:4">
      <c r="A2180" t="s">
        <v>9</v>
      </c>
      <c r="B2180" t="s">
        <v>138</v>
      </c>
      <c r="C2180" s="9">
        <v>46212</v>
      </c>
      <c r="D2180" s="10">
        <v>52411</v>
      </c>
    </row>
    <row r="2181" spans="1:4">
      <c r="A2181" t="s">
        <v>5</v>
      </c>
      <c r="B2181" t="s">
        <v>187</v>
      </c>
      <c r="C2181" s="9">
        <v>46212</v>
      </c>
      <c r="D2181" s="10">
        <v>38839</v>
      </c>
    </row>
    <row r="2182" spans="1:4">
      <c r="A2182" t="s">
        <v>5</v>
      </c>
      <c r="B2182" t="s">
        <v>155</v>
      </c>
      <c r="C2182" s="9">
        <v>46212</v>
      </c>
      <c r="D2182" s="10">
        <v>54376</v>
      </c>
    </row>
    <row r="2183" spans="1:4">
      <c r="A2183" t="s">
        <v>5</v>
      </c>
      <c r="B2183" t="s">
        <v>82</v>
      </c>
      <c r="C2183" s="9">
        <v>46212</v>
      </c>
      <c r="D2183" s="10">
        <v>33578</v>
      </c>
    </row>
    <row r="2184" spans="1:4">
      <c r="A2184" t="s">
        <v>5</v>
      </c>
      <c r="B2184" t="s">
        <v>159</v>
      </c>
      <c r="C2184" s="9">
        <v>46212</v>
      </c>
      <c r="D2184" s="10">
        <v>44504</v>
      </c>
    </row>
    <row r="2185" spans="1:4">
      <c r="A2185" t="s">
        <v>4</v>
      </c>
      <c r="B2185" t="s">
        <v>72</v>
      </c>
      <c r="C2185" s="9">
        <v>46213</v>
      </c>
      <c r="D2185" s="10">
        <v>70469</v>
      </c>
    </row>
    <row r="2186" spans="1:4">
      <c r="A2186" t="s">
        <v>4</v>
      </c>
      <c r="B2186" t="s">
        <v>278</v>
      </c>
      <c r="C2186" s="9">
        <v>46213</v>
      </c>
      <c r="D2186" s="10">
        <v>50714</v>
      </c>
    </row>
    <row r="2187" spans="1:4">
      <c r="A2187" t="s">
        <v>7</v>
      </c>
      <c r="B2187" t="s">
        <v>96</v>
      </c>
      <c r="C2187" s="9">
        <v>46213</v>
      </c>
      <c r="D2187" s="10">
        <v>21470</v>
      </c>
    </row>
    <row r="2188" spans="1:4">
      <c r="A2188" t="s">
        <v>9</v>
      </c>
      <c r="B2188" t="s">
        <v>228</v>
      </c>
      <c r="C2188" s="9">
        <v>46213</v>
      </c>
      <c r="D2188" s="10">
        <v>30438</v>
      </c>
    </row>
    <row r="2189" spans="1:4">
      <c r="A2189" t="s">
        <v>9</v>
      </c>
      <c r="B2189" t="s">
        <v>121</v>
      </c>
      <c r="C2189" s="9">
        <v>46213</v>
      </c>
      <c r="D2189" s="10">
        <v>37636</v>
      </c>
    </row>
    <row r="2190" spans="1:4">
      <c r="A2190" t="s">
        <v>5</v>
      </c>
      <c r="B2190" t="s">
        <v>209</v>
      </c>
      <c r="C2190" s="9">
        <v>46213</v>
      </c>
      <c r="D2190" s="10">
        <v>34328</v>
      </c>
    </row>
    <row r="2191" spans="1:4">
      <c r="A2191" t="s">
        <v>5</v>
      </c>
      <c r="B2191" t="s">
        <v>188</v>
      </c>
      <c r="C2191" s="9">
        <v>46213</v>
      </c>
      <c r="D2191" s="10">
        <v>46206</v>
      </c>
    </row>
    <row r="2192" spans="1:4">
      <c r="A2192" t="s">
        <v>5</v>
      </c>
      <c r="B2192" t="s">
        <v>210</v>
      </c>
      <c r="C2192" s="9">
        <v>46213</v>
      </c>
      <c r="D2192" s="10">
        <v>47750</v>
      </c>
    </row>
    <row r="2193" spans="1:4">
      <c r="A2193" t="s">
        <v>38</v>
      </c>
      <c r="B2193" t="s">
        <v>212</v>
      </c>
      <c r="C2193" s="9">
        <v>46214</v>
      </c>
      <c r="D2193" s="10">
        <v>14258</v>
      </c>
    </row>
    <row r="2194" spans="1:4">
      <c r="A2194" t="s">
        <v>4</v>
      </c>
      <c r="B2194" t="s">
        <v>57</v>
      </c>
      <c r="C2194" s="9">
        <v>46214</v>
      </c>
      <c r="D2194" s="10">
        <v>40315</v>
      </c>
    </row>
    <row r="2195" spans="1:4">
      <c r="A2195" t="s">
        <v>31</v>
      </c>
      <c r="B2195" t="s">
        <v>74</v>
      </c>
      <c r="C2195" s="9">
        <v>46214</v>
      </c>
      <c r="D2195" s="10">
        <v>14570</v>
      </c>
    </row>
    <row r="2196" spans="1:4">
      <c r="A2196" t="s">
        <v>28</v>
      </c>
      <c r="B2196" t="s">
        <v>64</v>
      </c>
      <c r="C2196" s="9">
        <v>46214</v>
      </c>
      <c r="D2196" s="10">
        <v>12322</v>
      </c>
    </row>
    <row r="2197" spans="1:4">
      <c r="A2197" t="s">
        <v>6</v>
      </c>
      <c r="B2197" t="s">
        <v>207</v>
      </c>
      <c r="C2197" s="9">
        <v>46214</v>
      </c>
      <c r="D2197" s="10">
        <v>19930</v>
      </c>
    </row>
    <row r="2198" spans="1:4">
      <c r="A2198" t="s">
        <v>7</v>
      </c>
      <c r="B2198" t="s">
        <v>92</v>
      </c>
      <c r="C2198" s="9">
        <v>46214</v>
      </c>
      <c r="D2198" s="10">
        <v>14394</v>
      </c>
    </row>
    <row r="2199" spans="1:4">
      <c r="A2199" t="s">
        <v>7</v>
      </c>
      <c r="B2199" t="s">
        <v>119</v>
      </c>
      <c r="C2199" s="9">
        <v>46214</v>
      </c>
      <c r="D2199" s="10">
        <v>24003</v>
      </c>
    </row>
    <row r="2200" spans="1:4">
      <c r="A2200" t="s">
        <v>9</v>
      </c>
      <c r="B2200" t="s">
        <v>192</v>
      </c>
      <c r="C2200" s="9">
        <v>46214</v>
      </c>
      <c r="D2200" s="10">
        <v>25539</v>
      </c>
    </row>
    <row r="2201" spans="1:4">
      <c r="A2201" t="s">
        <v>9</v>
      </c>
      <c r="B2201" t="s">
        <v>137</v>
      </c>
      <c r="C2201" s="9">
        <v>46214</v>
      </c>
      <c r="D2201" s="10">
        <v>38725</v>
      </c>
    </row>
    <row r="2202" spans="1:4">
      <c r="A2202" t="s">
        <v>9</v>
      </c>
      <c r="B2202" t="s">
        <v>100</v>
      </c>
      <c r="C2202" s="9">
        <v>46214</v>
      </c>
      <c r="D2202" s="10">
        <v>24795</v>
      </c>
    </row>
    <row r="2203" spans="1:4">
      <c r="A2203" t="s">
        <v>9</v>
      </c>
      <c r="B2203" t="s">
        <v>180</v>
      </c>
      <c r="C2203" s="9">
        <v>46214</v>
      </c>
      <c r="D2203" s="10">
        <v>47967</v>
      </c>
    </row>
    <row r="2204" spans="1:4">
      <c r="A2204" t="s">
        <v>9</v>
      </c>
      <c r="B2204" t="s">
        <v>219</v>
      </c>
      <c r="C2204" s="9">
        <v>46214</v>
      </c>
      <c r="D2204" s="10">
        <v>32113</v>
      </c>
    </row>
    <row r="2205" spans="1:4">
      <c r="A2205" t="s">
        <v>9</v>
      </c>
      <c r="B2205" t="s">
        <v>68</v>
      </c>
      <c r="C2205" s="9">
        <v>46214</v>
      </c>
      <c r="D2205" s="10">
        <v>37144</v>
      </c>
    </row>
    <row r="2206" spans="1:4">
      <c r="A2206" t="s">
        <v>5</v>
      </c>
      <c r="B2206" t="s">
        <v>59</v>
      </c>
      <c r="C2206" s="9">
        <v>46214</v>
      </c>
      <c r="D2206" s="10">
        <v>42810</v>
      </c>
    </row>
    <row r="2207" spans="1:4">
      <c r="A2207" t="s">
        <v>5</v>
      </c>
      <c r="B2207" t="s">
        <v>70</v>
      </c>
      <c r="C2207" s="9">
        <v>46214</v>
      </c>
      <c r="D2207" s="10">
        <v>51642</v>
      </c>
    </row>
    <row r="2208" spans="1:4">
      <c r="A2208" t="s">
        <v>5</v>
      </c>
      <c r="B2208" t="s">
        <v>150</v>
      </c>
      <c r="C2208" s="9">
        <v>46214</v>
      </c>
      <c r="D2208" s="10">
        <v>34952</v>
      </c>
    </row>
    <row r="2209" spans="1:4">
      <c r="A2209" t="s">
        <v>27</v>
      </c>
      <c r="B2209" t="s">
        <v>229</v>
      </c>
      <c r="C2209" s="9">
        <v>46215</v>
      </c>
      <c r="D2209" s="10">
        <v>15424</v>
      </c>
    </row>
    <row r="2210" spans="1:4">
      <c r="A2210" t="s">
        <v>4</v>
      </c>
      <c r="B2210" t="s">
        <v>89</v>
      </c>
      <c r="C2210" s="9">
        <v>46215</v>
      </c>
      <c r="D2210" s="10">
        <v>25198</v>
      </c>
    </row>
    <row r="2211" spans="1:4">
      <c r="A2211" t="s">
        <v>6</v>
      </c>
      <c r="B2211" t="s">
        <v>199</v>
      </c>
      <c r="C2211" s="9">
        <v>46215</v>
      </c>
      <c r="D2211" s="10">
        <v>17301</v>
      </c>
    </row>
    <row r="2212" spans="1:4">
      <c r="A2212" t="s">
        <v>6</v>
      </c>
      <c r="B2212" t="s">
        <v>177</v>
      </c>
      <c r="C2212" s="9">
        <v>46215</v>
      </c>
      <c r="D2212" s="10">
        <v>19899</v>
      </c>
    </row>
    <row r="2213" spans="1:4">
      <c r="A2213" t="s">
        <v>7</v>
      </c>
      <c r="B2213" t="s">
        <v>165</v>
      </c>
      <c r="C2213" s="9">
        <v>46215</v>
      </c>
      <c r="D2213" s="10">
        <v>26342</v>
      </c>
    </row>
    <row r="2214" spans="1:4">
      <c r="A2214" t="s">
        <v>9</v>
      </c>
      <c r="B2214" t="s">
        <v>113</v>
      </c>
      <c r="C2214" s="9">
        <v>46215</v>
      </c>
      <c r="D2214" s="10">
        <v>47807</v>
      </c>
    </row>
    <row r="2215" spans="1:4">
      <c r="A2215" t="s">
        <v>5</v>
      </c>
      <c r="B2215" t="s">
        <v>102</v>
      </c>
      <c r="C2215" s="9">
        <v>46215</v>
      </c>
      <c r="D2215" s="10">
        <v>32744</v>
      </c>
    </row>
    <row r="2216" spans="1:4">
      <c r="A2216" t="s">
        <v>5</v>
      </c>
      <c r="B2216" t="s">
        <v>127</v>
      </c>
      <c r="C2216" s="9">
        <v>46215</v>
      </c>
      <c r="D2216" s="10">
        <v>30595</v>
      </c>
    </row>
    <row r="2217" spans="1:4">
      <c r="A2217" t="s">
        <v>31</v>
      </c>
      <c r="B2217" t="s">
        <v>63</v>
      </c>
      <c r="C2217" s="9">
        <v>46216</v>
      </c>
      <c r="D2217" s="10">
        <v>14807</v>
      </c>
    </row>
    <row r="2218" spans="1:4">
      <c r="A2218" t="s">
        <v>25</v>
      </c>
      <c r="B2218" t="s">
        <v>117</v>
      </c>
      <c r="C2218" s="9">
        <v>46216</v>
      </c>
      <c r="D2218" s="10">
        <v>15052</v>
      </c>
    </row>
    <row r="2219" spans="1:4">
      <c r="A2219" t="s">
        <v>8</v>
      </c>
      <c r="B2219" t="s">
        <v>237</v>
      </c>
      <c r="C2219" s="9">
        <v>46216</v>
      </c>
      <c r="D2219" s="10">
        <v>17316</v>
      </c>
    </row>
    <row r="2220" spans="1:4">
      <c r="A2220" t="s">
        <v>5</v>
      </c>
      <c r="B2220" t="s">
        <v>102</v>
      </c>
      <c r="C2220" s="9">
        <v>46216</v>
      </c>
      <c r="D2220" s="10">
        <v>34895</v>
      </c>
    </row>
    <row r="2221" spans="1:4">
      <c r="A2221" t="s">
        <v>5</v>
      </c>
      <c r="B2221" t="s">
        <v>123</v>
      </c>
      <c r="C2221" s="9">
        <v>46216</v>
      </c>
      <c r="D2221" s="10">
        <v>35674</v>
      </c>
    </row>
    <row r="2222" spans="1:4">
      <c r="A2222" t="s">
        <v>4</v>
      </c>
      <c r="B2222" t="s">
        <v>213</v>
      </c>
      <c r="C2222" s="9">
        <v>46217</v>
      </c>
      <c r="D2222" s="10">
        <v>34298</v>
      </c>
    </row>
    <row r="2223" spans="1:4">
      <c r="A2223" t="s">
        <v>36</v>
      </c>
      <c r="B2223" t="s">
        <v>259</v>
      </c>
      <c r="C2223" s="9">
        <v>46217</v>
      </c>
      <c r="D2223" s="10">
        <v>14432</v>
      </c>
    </row>
    <row r="2224" spans="1:4">
      <c r="A2224" t="s">
        <v>26</v>
      </c>
      <c r="B2224" t="s">
        <v>249</v>
      </c>
      <c r="C2224" s="9">
        <v>46217</v>
      </c>
      <c r="D2224" s="10">
        <v>15633</v>
      </c>
    </row>
    <row r="2225" spans="1:4">
      <c r="A2225" t="s">
        <v>9</v>
      </c>
      <c r="B2225" t="s">
        <v>228</v>
      </c>
      <c r="C2225" s="9">
        <v>46217</v>
      </c>
      <c r="D2225" s="10">
        <v>30184</v>
      </c>
    </row>
    <row r="2226" spans="1:4">
      <c r="A2226" t="s">
        <v>9</v>
      </c>
      <c r="B2226" t="s">
        <v>166</v>
      </c>
      <c r="C2226" s="9">
        <v>46217</v>
      </c>
      <c r="D2226" s="10">
        <v>32357</v>
      </c>
    </row>
    <row r="2227" spans="1:4">
      <c r="A2227" t="s">
        <v>5</v>
      </c>
      <c r="B2227" t="s">
        <v>154</v>
      </c>
      <c r="C2227" s="9">
        <v>46217</v>
      </c>
      <c r="D2227" s="10">
        <v>40121</v>
      </c>
    </row>
    <row r="2228" spans="1:4">
      <c r="A2228" t="s">
        <v>5</v>
      </c>
      <c r="B2228" t="s">
        <v>149</v>
      </c>
      <c r="C2228" s="9">
        <v>46217</v>
      </c>
      <c r="D2228" s="10">
        <v>43708</v>
      </c>
    </row>
    <row r="2229" spans="1:4">
      <c r="A2229" t="s">
        <v>5</v>
      </c>
      <c r="B2229" t="s">
        <v>123</v>
      </c>
      <c r="C2229" s="9">
        <v>46217</v>
      </c>
      <c r="D2229" s="10">
        <v>48076</v>
      </c>
    </row>
    <row r="2230" spans="1:4">
      <c r="A2230" t="s">
        <v>5</v>
      </c>
      <c r="B2230" t="s">
        <v>189</v>
      </c>
      <c r="C2230" s="9">
        <v>46217</v>
      </c>
      <c r="D2230" s="10">
        <v>41533</v>
      </c>
    </row>
    <row r="2231" spans="1:4">
      <c r="A2231" t="s">
        <v>5</v>
      </c>
      <c r="B2231" t="s">
        <v>87</v>
      </c>
      <c r="C2231" s="9">
        <v>46217</v>
      </c>
      <c r="D2231" s="10">
        <v>44615</v>
      </c>
    </row>
    <row r="2232" spans="1:4">
      <c r="A2232" t="s">
        <v>5</v>
      </c>
      <c r="B2232" t="s">
        <v>128</v>
      </c>
      <c r="C2232" s="9">
        <v>46217</v>
      </c>
      <c r="D2232" s="10">
        <v>37413</v>
      </c>
    </row>
    <row r="2233" spans="1:4">
      <c r="A2233" t="s">
        <v>4</v>
      </c>
      <c r="B2233" t="s">
        <v>226</v>
      </c>
      <c r="C2233" s="9">
        <v>46218</v>
      </c>
      <c r="D2233" s="10">
        <v>11473</v>
      </c>
    </row>
    <row r="2234" spans="1:4">
      <c r="A2234" t="s">
        <v>25</v>
      </c>
      <c r="B2234" t="s">
        <v>232</v>
      </c>
      <c r="C2234" s="9">
        <v>46218</v>
      </c>
      <c r="D2234" s="10">
        <v>5200</v>
      </c>
    </row>
    <row r="2235" spans="1:4">
      <c r="A2235" t="s">
        <v>32</v>
      </c>
      <c r="B2235" t="s">
        <v>206</v>
      </c>
      <c r="C2235" s="9">
        <v>46218</v>
      </c>
      <c r="D2235" s="10">
        <v>13898</v>
      </c>
    </row>
    <row r="2236" spans="1:4">
      <c r="A2236" t="s">
        <v>9</v>
      </c>
      <c r="B2236" t="s">
        <v>179</v>
      </c>
      <c r="C2236" s="9">
        <v>46218</v>
      </c>
      <c r="D2236" s="10">
        <v>51985</v>
      </c>
    </row>
    <row r="2237" spans="1:4">
      <c r="A2237" t="s">
        <v>5</v>
      </c>
      <c r="B2237" t="s">
        <v>102</v>
      </c>
      <c r="C2237" s="9">
        <v>46218</v>
      </c>
      <c r="D2237" s="10">
        <v>43866</v>
      </c>
    </row>
    <row r="2238" spans="1:4">
      <c r="A2238" t="s">
        <v>5</v>
      </c>
      <c r="B2238" t="s">
        <v>127</v>
      </c>
      <c r="C2238" s="9">
        <v>46218</v>
      </c>
      <c r="D2238" s="10">
        <v>32439</v>
      </c>
    </row>
    <row r="2239" spans="1:4">
      <c r="A2239" t="s">
        <v>5</v>
      </c>
      <c r="B2239" t="s">
        <v>124</v>
      </c>
      <c r="C2239" s="9">
        <v>46218</v>
      </c>
      <c r="D2239" s="10">
        <v>54657</v>
      </c>
    </row>
    <row r="2240" spans="1:4">
      <c r="A2240" t="s">
        <v>4</v>
      </c>
      <c r="B2240" t="s">
        <v>157</v>
      </c>
      <c r="C2240" s="9">
        <v>46219</v>
      </c>
      <c r="D2240" s="10">
        <v>32118</v>
      </c>
    </row>
    <row r="2241" spans="1:4">
      <c r="A2241" t="s">
        <v>4</v>
      </c>
      <c r="B2241" t="s">
        <v>235</v>
      </c>
      <c r="C2241" s="9">
        <v>46219</v>
      </c>
      <c r="D2241" s="10">
        <v>26472</v>
      </c>
    </row>
    <row r="2242" spans="1:4">
      <c r="A2242" t="s">
        <v>25</v>
      </c>
      <c r="B2242" t="s">
        <v>218</v>
      </c>
      <c r="C2242" s="9">
        <v>46219</v>
      </c>
      <c r="D2242" s="10">
        <v>13622</v>
      </c>
    </row>
    <row r="2243" spans="1:4">
      <c r="A2243" t="s">
        <v>26</v>
      </c>
      <c r="B2243" t="s">
        <v>91</v>
      </c>
      <c r="C2243" s="9">
        <v>46219</v>
      </c>
      <c r="D2243" s="10">
        <v>15583</v>
      </c>
    </row>
    <row r="2244" spans="1:4">
      <c r="A2244" t="s">
        <v>7</v>
      </c>
      <c r="B2244" t="s">
        <v>286</v>
      </c>
      <c r="C2244" s="9">
        <v>46219</v>
      </c>
      <c r="D2244" s="10">
        <v>31561</v>
      </c>
    </row>
    <row r="2245" spans="1:4">
      <c r="A2245" t="s">
        <v>7</v>
      </c>
      <c r="B2245" t="s">
        <v>215</v>
      </c>
      <c r="C2245" s="9">
        <v>46219</v>
      </c>
      <c r="D2245" s="10">
        <v>19749</v>
      </c>
    </row>
    <row r="2246" spans="1:4">
      <c r="A2246" t="s">
        <v>9</v>
      </c>
      <c r="B2246" t="s">
        <v>134</v>
      </c>
      <c r="C2246" s="9">
        <v>46219</v>
      </c>
      <c r="D2246" s="10">
        <v>46163</v>
      </c>
    </row>
    <row r="2247" spans="1:4">
      <c r="A2247" t="s">
        <v>9</v>
      </c>
      <c r="B2247" t="s">
        <v>121</v>
      </c>
      <c r="C2247" s="9">
        <v>46219</v>
      </c>
      <c r="D2247" s="10">
        <v>37499</v>
      </c>
    </row>
    <row r="2248" spans="1:4">
      <c r="A2248" t="s">
        <v>9</v>
      </c>
      <c r="B2248" t="s">
        <v>112</v>
      </c>
      <c r="C2248" s="9">
        <v>46219</v>
      </c>
      <c r="D2248" s="10">
        <v>47552</v>
      </c>
    </row>
    <row r="2249" spans="1:4">
      <c r="A2249" t="s">
        <v>9</v>
      </c>
      <c r="B2249" t="s">
        <v>181</v>
      </c>
      <c r="C2249" s="9">
        <v>46219</v>
      </c>
      <c r="D2249" s="10">
        <v>35105</v>
      </c>
    </row>
    <row r="2250" spans="1:4">
      <c r="A2250" t="s">
        <v>5</v>
      </c>
      <c r="B2250" t="s">
        <v>59</v>
      </c>
      <c r="C2250" s="9">
        <v>46219</v>
      </c>
      <c r="D2250" s="10">
        <v>41954</v>
      </c>
    </row>
    <row r="2251" spans="1:4">
      <c r="A2251" t="s">
        <v>5</v>
      </c>
      <c r="B2251" t="s">
        <v>80</v>
      </c>
      <c r="C2251" s="9">
        <v>46219</v>
      </c>
      <c r="D2251" s="10">
        <v>37217</v>
      </c>
    </row>
    <row r="2252" spans="1:4">
      <c r="A2252" t="s">
        <v>5</v>
      </c>
      <c r="B2252" t="s">
        <v>159</v>
      </c>
      <c r="C2252" s="9">
        <v>46219</v>
      </c>
      <c r="D2252" s="10">
        <v>33316</v>
      </c>
    </row>
    <row r="2253" spans="1:4">
      <c r="A2253" t="s">
        <v>35</v>
      </c>
      <c r="B2253" t="s">
        <v>290</v>
      </c>
      <c r="C2253" s="9">
        <v>46220</v>
      </c>
      <c r="D2253" s="10">
        <v>11128</v>
      </c>
    </row>
    <row r="2254" spans="1:4">
      <c r="A2254" t="s">
        <v>4</v>
      </c>
      <c r="B2254" t="s">
        <v>230</v>
      </c>
      <c r="C2254" s="9">
        <v>46220</v>
      </c>
      <c r="D2254" s="10">
        <v>22771</v>
      </c>
    </row>
    <row r="2255" spans="1:4">
      <c r="A2255" t="s">
        <v>6</v>
      </c>
      <c r="B2255" t="s">
        <v>171</v>
      </c>
      <c r="C2255" s="9">
        <v>46220</v>
      </c>
      <c r="D2255" s="10">
        <v>20956</v>
      </c>
    </row>
    <row r="2256" spans="1:4">
      <c r="A2256" t="s">
        <v>33</v>
      </c>
      <c r="B2256" t="s">
        <v>253</v>
      </c>
      <c r="C2256" s="9">
        <v>46220</v>
      </c>
      <c r="D2256" s="10">
        <v>13514</v>
      </c>
    </row>
    <row r="2257" spans="1:4">
      <c r="A2257" t="s">
        <v>29</v>
      </c>
      <c r="B2257" t="s">
        <v>95</v>
      </c>
      <c r="C2257" s="9">
        <v>46220</v>
      </c>
      <c r="D2257" s="10">
        <v>15407</v>
      </c>
    </row>
    <row r="2258" spans="1:4">
      <c r="A2258" t="s">
        <v>7</v>
      </c>
      <c r="B2258" t="s">
        <v>231</v>
      </c>
      <c r="C2258" s="9">
        <v>46220</v>
      </c>
      <c r="D2258" s="10">
        <v>30987</v>
      </c>
    </row>
    <row r="2259" spans="1:4">
      <c r="A2259" t="s">
        <v>5</v>
      </c>
      <c r="B2259" t="s">
        <v>86</v>
      </c>
      <c r="C2259" s="9">
        <v>46220</v>
      </c>
      <c r="D2259" s="10">
        <v>37875</v>
      </c>
    </row>
    <row r="2260" spans="1:4">
      <c r="A2260" t="s">
        <v>4</v>
      </c>
      <c r="B2260" t="s">
        <v>248</v>
      </c>
      <c r="C2260" s="9">
        <v>46221</v>
      </c>
      <c r="D2260" s="10">
        <v>39701</v>
      </c>
    </row>
    <row r="2261" spans="1:4">
      <c r="A2261" t="s">
        <v>4</v>
      </c>
      <c r="B2261" t="s">
        <v>263</v>
      </c>
      <c r="C2261" s="9">
        <v>46221</v>
      </c>
      <c r="D2261" s="10">
        <v>30431</v>
      </c>
    </row>
    <row r="2262" spans="1:4">
      <c r="A2262" t="s">
        <v>26</v>
      </c>
      <c r="B2262" t="s">
        <v>197</v>
      </c>
      <c r="C2262" s="9">
        <v>46221</v>
      </c>
      <c r="D2262" s="10">
        <v>14146</v>
      </c>
    </row>
    <row r="2263" spans="1:4">
      <c r="A2263" t="s">
        <v>34</v>
      </c>
      <c r="B2263" t="s">
        <v>285</v>
      </c>
      <c r="C2263" s="9">
        <v>46221</v>
      </c>
      <c r="D2263" s="10">
        <v>5200</v>
      </c>
    </row>
    <row r="2264" spans="1:4">
      <c r="A2264" t="s">
        <v>7</v>
      </c>
      <c r="B2264" t="s">
        <v>98</v>
      </c>
      <c r="C2264" s="9">
        <v>46221</v>
      </c>
      <c r="D2264" s="10">
        <v>18808</v>
      </c>
    </row>
    <row r="2265" spans="1:4">
      <c r="A2265" t="s">
        <v>7</v>
      </c>
      <c r="B2265" t="s">
        <v>76</v>
      </c>
      <c r="C2265" s="9">
        <v>46221</v>
      </c>
      <c r="D2265" s="10">
        <v>7593</v>
      </c>
    </row>
    <row r="2266" spans="1:4">
      <c r="A2266" t="s">
        <v>9</v>
      </c>
      <c r="B2266" t="s">
        <v>187</v>
      </c>
      <c r="C2266" s="9">
        <v>46221</v>
      </c>
      <c r="D2266" s="10">
        <v>36654</v>
      </c>
    </row>
    <row r="2267" spans="1:4">
      <c r="A2267" t="s">
        <v>9</v>
      </c>
      <c r="B2267" t="s">
        <v>166</v>
      </c>
      <c r="C2267" s="9">
        <v>46221</v>
      </c>
      <c r="D2267" s="10">
        <v>27963</v>
      </c>
    </row>
    <row r="2268" spans="1:4">
      <c r="A2268" t="s">
        <v>5</v>
      </c>
      <c r="B2268" t="s">
        <v>69</v>
      </c>
      <c r="C2268" s="9">
        <v>46221</v>
      </c>
      <c r="D2268" s="10">
        <v>54398</v>
      </c>
    </row>
    <row r="2269" spans="1:4">
      <c r="A2269" t="s">
        <v>5</v>
      </c>
      <c r="B2269" t="s">
        <v>276</v>
      </c>
      <c r="C2269" s="9">
        <v>46221</v>
      </c>
      <c r="D2269" s="10">
        <v>32236</v>
      </c>
    </row>
    <row r="2270" spans="1:4">
      <c r="A2270" t="s">
        <v>5</v>
      </c>
      <c r="B2270" t="s">
        <v>203</v>
      </c>
      <c r="C2270" s="9">
        <v>46221</v>
      </c>
      <c r="D2270" s="10">
        <v>36013</v>
      </c>
    </row>
    <row r="2271" spans="1:4">
      <c r="A2271" t="s">
        <v>25</v>
      </c>
      <c r="B2271" t="s">
        <v>196</v>
      </c>
      <c r="C2271" s="9">
        <v>46222</v>
      </c>
      <c r="D2271" s="10">
        <v>14828</v>
      </c>
    </row>
    <row r="2272" spans="1:4">
      <c r="A2272" t="s">
        <v>25</v>
      </c>
      <c r="B2272" t="s">
        <v>73</v>
      </c>
      <c r="C2272" s="9">
        <v>46222</v>
      </c>
      <c r="D2272" s="10">
        <v>15338</v>
      </c>
    </row>
    <row r="2273" spans="1:4">
      <c r="A2273" t="s">
        <v>29</v>
      </c>
      <c r="B2273" t="s">
        <v>227</v>
      </c>
      <c r="C2273" s="9">
        <v>46222</v>
      </c>
      <c r="D2273" s="10">
        <v>12522</v>
      </c>
    </row>
    <row r="2274" spans="1:4">
      <c r="A2274" t="s">
        <v>7</v>
      </c>
      <c r="B2274" t="s">
        <v>77</v>
      </c>
      <c r="C2274" s="9">
        <v>46222</v>
      </c>
      <c r="D2274" s="10">
        <v>37546</v>
      </c>
    </row>
    <row r="2275" spans="1:4">
      <c r="A2275" t="s">
        <v>7</v>
      </c>
      <c r="B2275" t="s">
        <v>99</v>
      </c>
      <c r="C2275" s="9">
        <v>46222</v>
      </c>
      <c r="D2275" s="10">
        <v>23730</v>
      </c>
    </row>
    <row r="2276" spans="1:4">
      <c r="A2276" t="s">
        <v>9</v>
      </c>
      <c r="B2276" t="s">
        <v>85</v>
      </c>
      <c r="C2276" s="9">
        <v>46222</v>
      </c>
      <c r="D2276" s="10">
        <v>30163</v>
      </c>
    </row>
    <row r="2277" spans="1:4">
      <c r="A2277" t="s">
        <v>9</v>
      </c>
      <c r="B2277" t="s">
        <v>120</v>
      </c>
      <c r="C2277" s="9">
        <v>46222</v>
      </c>
      <c r="D2277" s="10">
        <v>28598</v>
      </c>
    </row>
    <row r="2278" spans="1:4">
      <c r="A2278" t="s">
        <v>9</v>
      </c>
      <c r="B2278" t="s">
        <v>246</v>
      </c>
      <c r="C2278" s="9">
        <v>46222</v>
      </c>
      <c r="D2278" s="10">
        <v>43859</v>
      </c>
    </row>
    <row r="2279" spans="1:4">
      <c r="A2279" t="s">
        <v>9</v>
      </c>
      <c r="B2279" t="s">
        <v>185</v>
      </c>
      <c r="C2279" s="9">
        <v>46222</v>
      </c>
      <c r="D2279" s="10">
        <v>44518</v>
      </c>
    </row>
    <row r="2280" spans="1:4">
      <c r="A2280" t="s">
        <v>5</v>
      </c>
      <c r="B2280" t="s">
        <v>209</v>
      </c>
      <c r="C2280" s="9">
        <v>46222</v>
      </c>
      <c r="D2280" s="10">
        <v>38470</v>
      </c>
    </row>
    <row r="2281" spans="1:4">
      <c r="A2281" t="s">
        <v>5</v>
      </c>
      <c r="B2281" t="s">
        <v>275</v>
      </c>
      <c r="C2281" s="9">
        <v>46222</v>
      </c>
      <c r="D2281" s="10">
        <v>49319</v>
      </c>
    </row>
    <row r="2282" spans="1:4">
      <c r="A2282" t="s">
        <v>5</v>
      </c>
      <c r="B2282" t="s">
        <v>211</v>
      </c>
      <c r="C2282" s="9">
        <v>46222</v>
      </c>
      <c r="D2282" s="10">
        <v>41808</v>
      </c>
    </row>
    <row r="2283" spans="1:4">
      <c r="A2283" t="s">
        <v>5</v>
      </c>
      <c r="B2283" t="s">
        <v>88</v>
      </c>
      <c r="C2283" s="9">
        <v>46222</v>
      </c>
      <c r="D2283" s="10">
        <v>42110</v>
      </c>
    </row>
    <row r="2284" spans="1:4">
      <c r="A2284" t="s">
        <v>5</v>
      </c>
      <c r="B2284" t="s">
        <v>124</v>
      </c>
      <c r="C2284" s="9">
        <v>46222</v>
      </c>
      <c r="D2284" s="10">
        <v>44246</v>
      </c>
    </row>
    <row r="2285" spans="1:4">
      <c r="A2285" t="s">
        <v>4</v>
      </c>
      <c r="B2285" t="s">
        <v>195</v>
      </c>
      <c r="C2285" s="9">
        <v>46223</v>
      </c>
      <c r="D2285" s="10">
        <v>25639</v>
      </c>
    </row>
    <row r="2286" spans="1:4">
      <c r="A2286" t="s">
        <v>4</v>
      </c>
      <c r="B2286" t="s">
        <v>268</v>
      </c>
      <c r="C2286" s="9">
        <v>46223</v>
      </c>
      <c r="D2286" s="10">
        <v>33474</v>
      </c>
    </row>
    <row r="2287" spans="1:4">
      <c r="A2287" t="s">
        <v>31</v>
      </c>
      <c r="B2287" t="s">
        <v>270</v>
      </c>
      <c r="C2287" s="9">
        <v>46223</v>
      </c>
      <c r="D2287" s="10">
        <v>13634</v>
      </c>
    </row>
    <row r="2288" spans="1:4">
      <c r="A2288" t="s">
        <v>25</v>
      </c>
      <c r="B2288" t="s">
        <v>264</v>
      </c>
      <c r="C2288" s="9">
        <v>46223</v>
      </c>
      <c r="D2288" s="10">
        <v>10433</v>
      </c>
    </row>
    <row r="2289" spans="1:4">
      <c r="A2289" t="s">
        <v>25</v>
      </c>
      <c r="B2289" t="s">
        <v>205</v>
      </c>
      <c r="C2289" s="9">
        <v>46223</v>
      </c>
      <c r="D2289" s="10">
        <v>13044</v>
      </c>
    </row>
    <row r="2290" spans="1:4">
      <c r="A2290" t="s">
        <v>28</v>
      </c>
      <c r="B2290" t="s">
        <v>190</v>
      </c>
      <c r="C2290" s="9">
        <v>46223</v>
      </c>
      <c r="D2290" s="10">
        <v>14149</v>
      </c>
    </row>
    <row r="2291" spans="1:4">
      <c r="A2291" t="s">
        <v>8</v>
      </c>
      <c r="B2291" t="s">
        <v>125</v>
      </c>
      <c r="C2291" s="9">
        <v>46223</v>
      </c>
      <c r="D2291" s="10">
        <v>20537</v>
      </c>
    </row>
    <row r="2292" spans="1:4">
      <c r="A2292" t="s">
        <v>32</v>
      </c>
      <c r="B2292" t="s">
        <v>266</v>
      </c>
      <c r="C2292" s="9">
        <v>46223</v>
      </c>
      <c r="D2292" s="10">
        <v>12029</v>
      </c>
    </row>
    <row r="2293" spans="1:4">
      <c r="A2293" t="s">
        <v>6</v>
      </c>
      <c r="B2293" t="s">
        <v>256</v>
      </c>
      <c r="C2293" s="9">
        <v>46223</v>
      </c>
      <c r="D2293" s="10">
        <v>21153</v>
      </c>
    </row>
    <row r="2294" spans="1:4">
      <c r="A2294" t="s">
        <v>33</v>
      </c>
      <c r="B2294" t="s">
        <v>267</v>
      </c>
      <c r="C2294" s="9">
        <v>46223</v>
      </c>
      <c r="D2294" s="10">
        <v>9033</v>
      </c>
    </row>
    <row r="2295" spans="1:4">
      <c r="A2295" t="s">
        <v>7</v>
      </c>
      <c r="B2295" t="s">
        <v>257</v>
      </c>
      <c r="C2295" s="9">
        <v>46223</v>
      </c>
      <c r="D2295" s="10">
        <v>34820</v>
      </c>
    </row>
    <row r="2296" spans="1:4">
      <c r="A2296" t="s">
        <v>9</v>
      </c>
      <c r="B2296" t="s">
        <v>111</v>
      </c>
      <c r="C2296" s="9">
        <v>46223</v>
      </c>
      <c r="D2296" s="10">
        <v>33390</v>
      </c>
    </row>
    <row r="2297" spans="1:4">
      <c r="A2297" t="s">
        <v>9</v>
      </c>
      <c r="B2297" t="s">
        <v>234</v>
      </c>
      <c r="C2297" s="9">
        <v>46223</v>
      </c>
      <c r="D2297" s="10">
        <v>44985</v>
      </c>
    </row>
    <row r="2298" spans="1:4">
      <c r="A2298" t="s">
        <v>9</v>
      </c>
      <c r="B2298" t="s">
        <v>79</v>
      </c>
      <c r="C2298" s="9">
        <v>46223</v>
      </c>
      <c r="D2298" s="10">
        <v>35367</v>
      </c>
    </row>
    <row r="2299" spans="1:4">
      <c r="A2299" t="s">
        <v>5</v>
      </c>
      <c r="B2299" t="s">
        <v>149</v>
      </c>
      <c r="C2299" s="9">
        <v>46223</v>
      </c>
      <c r="D2299" s="10">
        <v>52545</v>
      </c>
    </row>
    <row r="2300" spans="1:4">
      <c r="A2300" t="s">
        <v>5</v>
      </c>
      <c r="B2300" t="s">
        <v>80</v>
      </c>
      <c r="C2300" s="9">
        <v>46223</v>
      </c>
      <c r="D2300" s="10">
        <v>35446</v>
      </c>
    </row>
    <row r="2301" spans="1:4">
      <c r="A2301" t="s">
        <v>5</v>
      </c>
      <c r="B2301" t="s">
        <v>155</v>
      </c>
      <c r="C2301" s="9">
        <v>46223</v>
      </c>
      <c r="D2301" s="10">
        <v>32718</v>
      </c>
    </row>
    <row r="2302" spans="1:4">
      <c r="A2302" t="s">
        <v>4</v>
      </c>
      <c r="B2302" t="s">
        <v>261</v>
      </c>
      <c r="C2302" s="9">
        <v>46224</v>
      </c>
      <c r="D2302" s="10">
        <v>21317</v>
      </c>
    </row>
    <row r="2303" spans="1:4">
      <c r="A2303" t="s">
        <v>30</v>
      </c>
      <c r="B2303" t="s">
        <v>108</v>
      </c>
      <c r="C2303" s="9">
        <v>46224</v>
      </c>
      <c r="D2303" s="10">
        <v>22309</v>
      </c>
    </row>
    <row r="2304" spans="1:4">
      <c r="A2304" t="s">
        <v>30</v>
      </c>
      <c r="B2304" t="s">
        <v>198</v>
      </c>
      <c r="C2304" s="9">
        <v>46224</v>
      </c>
      <c r="D2304" s="10">
        <v>14996</v>
      </c>
    </row>
    <row r="2305" spans="1:4">
      <c r="A2305" t="s">
        <v>32</v>
      </c>
      <c r="B2305" t="s">
        <v>118</v>
      </c>
      <c r="C2305" s="9">
        <v>46224</v>
      </c>
      <c r="D2305" s="10">
        <v>18752</v>
      </c>
    </row>
    <row r="2306" spans="1:4">
      <c r="A2306" t="s">
        <v>7</v>
      </c>
      <c r="B2306" t="s">
        <v>101</v>
      </c>
      <c r="C2306" s="9">
        <v>46224</v>
      </c>
      <c r="D2306" s="10">
        <v>26704</v>
      </c>
    </row>
    <row r="2307" spans="1:4">
      <c r="A2307" t="s">
        <v>9</v>
      </c>
      <c r="B2307" t="s">
        <v>85</v>
      </c>
      <c r="C2307" s="9">
        <v>46224</v>
      </c>
      <c r="D2307" s="10">
        <v>36329</v>
      </c>
    </row>
    <row r="2308" spans="1:4">
      <c r="A2308" t="s">
        <v>9</v>
      </c>
      <c r="B2308" t="s">
        <v>274</v>
      </c>
      <c r="C2308" s="9">
        <v>46224</v>
      </c>
      <c r="D2308" s="10">
        <v>43467</v>
      </c>
    </row>
    <row r="2309" spans="1:4">
      <c r="A2309" t="s">
        <v>9</v>
      </c>
      <c r="B2309" t="s">
        <v>67</v>
      </c>
      <c r="C2309" s="9">
        <v>46224</v>
      </c>
      <c r="D2309" s="10">
        <v>16261</v>
      </c>
    </row>
    <row r="2310" spans="1:4">
      <c r="A2310" t="s">
        <v>5</v>
      </c>
      <c r="B2310" t="s">
        <v>187</v>
      </c>
      <c r="C2310" s="9">
        <v>46224</v>
      </c>
      <c r="D2310" s="10">
        <v>39119</v>
      </c>
    </row>
    <row r="2311" spans="1:4">
      <c r="A2311" t="s">
        <v>5</v>
      </c>
      <c r="B2311" t="s">
        <v>72</v>
      </c>
      <c r="C2311" s="9">
        <v>46224</v>
      </c>
      <c r="D2311" s="10">
        <v>47056</v>
      </c>
    </row>
    <row r="2312" spans="1:4">
      <c r="A2312" t="s">
        <v>5</v>
      </c>
      <c r="B2312" t="s">
        <v>123</v>
      </c>
      <c r="C2312" s="9">
        <v>46224</v>
      </c>
      <c r="D2312" s="10">
        <v>56954</v>
      </c>
    </row>
    <row r="2313" spans="1:4">
      <c r="A2313" t="s">
        <v>27</v>
      </c>
      <c r="B2313" t="s">
        <v>115</v>
      </c>
      <c r="C2313" s="9">
        <v>46225</v>
      </c>
      <c r="D2313" s="10">
        <v>13917</v>
      </c>
    </row>
    <row r="2314" spans="1:4">
      <c r="A2314" t="s">
        <v>4</v>
      </c>
      <c r="B2314" t="s">
        <v>105</v>
      </c>
      <c r="C2314" s="9">
        <v>46225</v>
      </c>
      <c r="D2314" s="10">
        <v>26504</v>
      </c>
    </row>
    <row r="2315" spans="1:4">
      <c r="A2315" t="s">
        <v>31</v>
      </c>
      <c r="B2315" t="s">
        <v>130</v>
      </c>
      <c r="C2315" s="9">
        <v>46225</v>
      </c>
      <c r="D2315" s="10">
        <v>25439</v>
      </c>
    </row>
    <row r="2316" spans="1:4">
      <c r="A2316" t="s">
        <v>32</v>
      </c>
      <c r="B2316" t="s">
        <v>145</v>
      </c>
      <c r="C2316" s="9">
        <v>46225</v>
      </c>
      <c r="D2316" s="10">
        <v>23986</v>
      </c>
    </row>
    <row r="2317" spans="1:4">
      <c r="A2317" t="s">
        <v>6</v>
      </c>
      <c r="B2317" t="s">
        <v>163</v>
      </c>
      <c r="C2317" s="9">
        <v>46225</v>
      </c>
      <c r="D2317" s="10">
        <v>33987</v>
      </c>
    </row>
    <row r="2318" spans="1:4">
      <c r="A2318" t="s">
        <v>9</v>
      </c>
      <c r="B2318" t="s">
        <v>68</v>
      </c>
      <c r="C2318" s="9">
        <v>46225</v>
      </c>
      <c r="D2318" s="10">
        <v>48027</v>
      </c>
    </row>
    <row r="2319" spans="1:4">
      <c r="A2319" t="s">
        <v>5</v>
      </c>
      <c r="B2319" t="s">
        <v>69</v>
      </c>
      <c r="C2319" s="9">
        <v>46225</v>
      </c>
      <c r="D2319" s="10">
        <v>35638</v>
      </c>
    </row>
    <row r="2320" spans="1:4">
      <c r="A2320" t="s">
        <v>5</v>
      </c>
      <c r="B2320" t="s">
        <v>168</v>
      </c>
      <c r="C2320" s="9">
        <v>46225</v>
      </c>
      <c r="D2320" s="10">
        <v>40216</v>
      </c>
    </row>
    <row r="2321" spans="1:4">
      <c r="A2321" t="s">
        <v>5</v>
      </c>
      <c r="B2321" t="s">
        <v>82</v>
      </c>
      <c r="C2321" s="9">
        <v>46225</v>
      </c>
      <c r="D2321" s="10">
        <v>46329</v>
      </c>
    </row>
    <row r="2322" spans="1:4">
      <c r="A2322" t="s">
        <v>5</v>
      </c>
      <c r="B2322" t="s">
        <v>203</v>
      </c>
      <c r="C2322" s="9">
        <v>46225</v>
      </c>
      <c r="D2322" s="10">
        <v>35246</v>
      </c>
    </row>
    <row r="2323" spans="1:4">
      <c r="A2323" t="s">
        <v>5</v>
      </c>
      <c r="B2323" t="s">
        <v>87</v>
      </c>
      <c r="C2323" s="9">
        <v>46225</v>
      </c>
      <c r="D2323" s="10">
        <v>53249</v>
      </c>
    </row>
    <row r="2324" spans="1:4">
      <c r="A2324" t="s">
        <v>5</v>
      </c>
      <c r="B2324" t="s">
        <v>87</v>
      </c>
      <c r="C2324" s="9">
        <v>46225</v>
      </c>
      <c r="D2324" s="10">
        <v>45564</v>
      </c>
    </row>
    <row r="2325" spans="1:4">
      <c r="A2325" t="s">
        <v>5</v>
      </c>
      <c r="B2325" t="s">
        <v>140</v>
      </c>
      <c r="C2325" s="9">
        <v>46225</v>
      </c>
      <c r="D2325" s="10">
        <v>54169</v>
      </c>
    </row>
    <row r="2326" spans="1:4">
      <c r="A2326" t="s">
        <v>28</v>
      </c>
      <c r="B2326" t="s">
        <v>131</v>
      </c>
      <c r="C2326" s="9">
        <v>46226</v>
      </c>
      <c r="D2326" s="10">
        <v>12034</v>
      </c>
    </row>
    <row r="2327" spans="1:4">
      <c r="A2327" t="s">
        <v>6</v>
      </c>
      <c r="B2327" t="s">
        <v>172</v>
      </c>
      <c r="C2327" s="9">
        <v>46226</v>
      </c>
      <c r="D2327" s="10">
        <v>18657</v>
      </c>
    </row>
    <row r="2328" spans="1:4">
      <c r="A2328" t="s">
        <v>9</v>
      </c>
      <c r="B2328" t="s">
        <v>202</v>
      </c>
      <c r="C2328" s="9">
        <v>46226</v>
      </c>
      <c r="D2328" s="10">
        <v>57473</v>
      </c>
    </row>
    <row r="2329" spans="1:4">
      <c r="A2329" t="s">
        <v>9</v>
      </c>
      <c r="B2329" t="s">
        <v>79</v>
      </c>
      <c r="C2329" s="9">
        <v>46226</v>
      </c>
      <c r="D2329" s="10">
        <v>33775</v>
      </c>
    </row>
    <row r="2330" spans="1:4">
      <c r="A2330" t="s">
        <v>5</v>
      </c>
      <c r="B2330" t="s">
        <v>147</v>
      </c>
      <c r="C2330" s="9">
        <v>46226</v>
      </c>
      <c r="D2330" s="10">
        <v>41644</v>
      </c>
    </row>
    <row r="2331" spans="1:4">
      <c r="A2331" t="s">
        <v>5</v>
      </c>
      <c r="B2331" t="s">
        <v>148</v>
      </c>
      <c r="C2331" s="9">
        <v>46226</v>
      </c>
      <c r="D2331" s="10">
        <v>39796</v>
      </c>
    </row>
    <row r="2332" spans="1:4">
      <c r="A2332" t="s">
        <v>5</v>
      </c>
      <c r="B2332" t="s">
        <v>102</v>
      </c>
      <c r="C2332" s="9">
        <v>46226</v>
      </c>
      <c r="D2332" s="10">
        <v>41464</v>
      </c>
    </row>
    <row r="2333" spans="1:4">
      <c r="A2333" t="s">
        <v>5</v>
      </c>
      <c r="B2333" t="s">
        <v>293</v>
      </c>
      <c r="C2333" s="9">
        <v>46226</v>
      </c>
      <c r="D2333" s="10">
        <v>40185</v>
      </c>
    </row>
    <row r="2334" spans="1:4">
      <c r="A2334" t="s">
        <v>5</v>
      </c>
      <c r="B2334" t="s">
        <v>81</v>
      </c>
      <c r="C2334" s="9">
        <v>46226</v>
      </c>
      <c r="D2334" s="10">
        <v>31220</v>
      </c>
    </row>
    <row r="2335" spans="1:4">
      <c r="A2335" t="s">
        <v>26</v>
      </c>
      <c r="B2335" t="s">
        <v>291</v>
      </c>
      <c r="C2335" s="9">
        <v>46227</v>
      </c>
      <c r="D2335" s="10">
        <v>15268</v>
      </c>
    </row>
    <row r="2336" spans="1:4">
      <c r="A2336" t="s">
        <v>26</v>
      </c>
      <c r="B2336" t="s">
        <v>265</v>
      </c>
      <c r="C2336" s="9">
        <v>46227</v>
      </c>
      <c r="D2336" s="10">
        <v>7789</v>
      </c>
    </row>
    <row r="2337" spans="1:4">
      <c r="A2337" t="s">
        <v>8</v>
      </c>
      <c r="B2337" t="s">
        <v>233</v>
      </c>
      <c r="C2337" s="9">
        <v>46227</v>
      </c>
      <c r="D2337" s="10">
        <v>39531</v>
      </c>
    </row>
    <row r="2338" spans="1:4">
      <c r="A2338" t="s">
        <v>6</v>
      </c>
      <c r="B2338" t="s">
        <v>136</v>
      </c>
      <c r="C2338" s="9">
        <v>46227</v>
      </c>
      <c r="D2338" s="10">
        <v>7447</v>
      </c>
    </row>
    <row r="2339" spans="1:4">
      <c r="A2339" t="s">
        <v>33</v>
      </c>
      <c r="B2339" t="s">
        <v>245</v>
      </c>
      <c r="C2339" s="9">
        <v>46227</v>
      </c>
      <c r="D2339" s="10">
        <v>11957</v>
      </c>
    </row>
    <row r="2340" spans="1:4">
      <c r="A2340" t="s">
        <v>9</v>
      </c>
      <c r="B2340" t="s">
        <v>240</v>
      </c>
      <c r="C2340" s="9">
        <v>46227</v>
      </c>
      <c r="D2340" s="10">
        <v>46788</v>
      </c>
    </row>
    <row r="2341" spans="1:4">
      <c r="A2341" t="s">
        <v>5</v>
      </c>
      <c r="B2341" t="s">
        <v>114</v>
      </c>
      <c r="C2341" s="9">
        <v>46227</v>
      </c>
      <c r="D2341" s="10">
        <v>38211</v>
      </c>
    </row>
    <row r="2342" spans="1:4">
      <c r="A2342" t="s">
        <v>5</v>
      </c>
      <c r="B2342" t="s">
        <v>70</v>
      </c>
      <c r="C2342" s="9">
        <v>46227</v>
      </c>
      <c r="D2342" s="10">
        <v>34280</v>
      </c>
    </row>
    <row r="2343" spans="1:4">
      <c r="A2343" t="s">
        <v>5</v>
      </c>
      <c r="B2343" t="s">
        <v>80</v>
      </c>
      <c r="C2343" s="9">
        <v>46227</v>
      </c>
      <c r="D2343" s="10">
        <v>36121</v>
      </c>
    </row>
    <row r="2344" spans="1:4">
      <c r="A2344" t="s">
        <v>5</v>
      </c>
      <c r="B2344" t="s">
        <v>71</v>
      </c>
      <c r="C2344" s="9">
        <v>46227</v>
      </c>
      <c r="D2344" s="10">
        <v>45130</v>
      </c>
    </row>
    <row r="2345" spans="1:4">
      <c r="A2345" t="s">
        <v>5</v>
      </c>
      <c r="B2345" t="s">
        <v>211</v>
      </c>
      <c r="C2345" s="9">
        <v>46227</v>
      </c>
      <c r="D2345" s="10">
        <v>34863</v>
      </c>
    </row>
    <row r="2346" spans="1:4">
      <c r="A2346" t="s">
        <v>5</v>
      </c>
      <c r="B2346" t="s">
        <v>203</v>
      </c>
      <c r="C2346" s="9">
        <v>46227</v>
      </c>
      <c r="D2346" s="10">
        <v>37891</v>
      </c>
    </row>
    <row r="2347" spans="1:4">
      <c r="A2347" t="s">
        <v>5</v>
      </c>
      <c r="B2347" t="s">
        <v>87</v>
      </c>
      <c r="C2347" s="9">
        <v>46227</v>
      </c>
      <c r="D2347" s="10">
        <v>49365</v>
      </c>
    </row>
    <row r="2348" spans="1:4">
      <c r="A2348" t="s">
        <v>5</v>
      </c>
      <c r="B2348" t="s">
        <v>128</v>
      </c>
      <c r="C2348" s="9">
        <v>46227</v>
      </c>
      <c r="D2348" s="10">
        <v>29699</v>
      </c>
    </row>
    <row r="2349" spans="1:4">
      <c r="A2349" t="s">
        <v>5</v>
      </c>
      <c r="B2349" t="s">
        <v>124</v>
      </c>
      <c r="C2349" s="9">
        <v>46227</v>
      </c>
      <c r="D2349" s="10">
        <v>35248</v>
      </c>
    </row>
    <row r="2350" spans="1:4">
      <c r="A2350" t="s">
        <v>4</v>
      </c>
      <c r="B2350" t="s">
        <v>114</v>
      </c>
      <c r="C2350" s="9">
        <v>46228</v>
      </c>
      <c r="D2350" s="10">
        <v>34705</v>
      </c>
    </row>
    <row r="2351" spans="1:4">
      <c r="A2351" t="s">
        <v>4</v>
      </c>
      <c r="B2351" t="s">
        <v>148</v>
      </c>
      <c r="C2351" s="9">
        <v>46228</v>
      </c>
      <c r="D2351" s="10">
        <v>49979</v>
      </c>
    </row>
    <row r="2352" spans="1:4">
      <c r="A2352" t="s">
        <v>4</v>
      </c>
      <c r="B2352" t="s">
        <v>158</v>
      </c>
      <c r="C2352" s="9">
        <v>46228</v>
      </c>
      <c r="D2352" s="10">
        <v>27634</v>
      </c>
    </row>
    <row r="2353" spans="1:4">
      <c r="A2353" t="s">
        <v>25</v>
      </c>
      <c r="B2353" t="s">
        <v>279</v>
      </c>
      <c r="C2353" s="9">
        <v>46228</v>
      </c>
      <c r="D2353" s="10">
        <v>16768</v>
      </c>
    </row>
    <row r="2354" spans="1:4">
      <c r="A2354" t="s">
        <v>30</v>
      </c>
      <c r="B2354" t="s">
        <v>191</v>
      </c>
      <c r="C2354" s="9">
        <v>46228</v>
      </c>
      <c r="D2354" s="10">
        <v>9785</v>
      </c>
    </row>
    <row r="2355" spans="1:4">
      <c r="A2355" t="s">
        <v>6</v>
      </c>
      <c r="B2355" t="s">
        <v>75</v>
      </c>
      <c r="C2355" s="9">
        <v>46228</v>
      </c>
      <c r="D2355" s="10">
        <v>27265</v>
      </c>
    </row>
    <row r="2356" spans="1:4">
      <c r="A2356" t="s">
        <v>29</v>
      </c>
      <c r="B2356" t="s">
        <v>133</v>
      </c>
      <c r="C2356" s="9">
        <v>46228</v>
      </c>
      <c r="D2356" s="10">
        <v>14458</v>
      </c>
    </row>
    <row r="2357" spans="1:4">
      <c r="A2357" t="s">
        <v>7</v>
      </c>
      <c r="B2357" t="s">
        <v>153</v>
      </c>
      <c r="C2357" s="9">
        <v>46228</v>
      </c>
      <c r="D2357" s="10">
        <v>26432</v>
      </c>
    </row>
    <row r="2358" spans="1:4">
      <c r="A2358" t="s">
        <v>5</v>
      </c>
      <c r="B2358" t="s">
        <v>81</v>
      </c>
      <c r="C2358" s="9">
        <v>46228</v>
      </c>
      <c r="D2358" s="10">
        <v>43242</v>
      </c>
    </row>
    <row r="2359" spans="1:4">
      <c r="A2359" t="s">
        <v>5</v>
      </c>
      <c r="B2359" t="s">
        <v>124</v>
      </c>
      <c r="C2359" s="9">
        <v>46228</v>
      </c>
      <c r="D2359" s="10">
        <v>39902</v>
      </c>
    </row>
    <row r="2360" spans="1:4">
      <c r="A2360" t="s">
        <v>27</v>
      </c>
      <c r="B2360" t="s">
        <v>217</v>
      </c>
      <c r="C2360" s="9">
        <v>46229</v>
      </c>
      <c r="D2360" s="10">
        <v>14539</v>
      </c>
    </row>
    <row r="2361" spans="1:4">
      <c r="A2361" t="s">
        <v>27</v>
      </c>
      <c r="B2361" t="s">
        <v>260</v>
      </c>
      <c r="C2361" s="9">
        <v>46229</v>
      </c>
      <c r="D2361" s="10">
        <v>22367</v>
      </c>
    </row>
    <row r="2362" spans="1:4">
      <c r="A2362" t="s">
        <v>4</v>
      </c>
      <c r="B2362" t="s">
        <v>72</v>
      </c>
      <c r="C2362" s="9">
        <v>46229</v>
      </c>
      <c r="D2362" s="10">
        <v>45877</v>
      </c>
    </row>
    <row r="2363" spans="1:4">
      <c r="A2363" t="s">
        <v>4</v>
      </c>
      <c r="B2363" t="s">
        <v>87</v>
      </c>
      <c r="C2363" s="9">
        <v>46229</v>
      </c>
      <c r="D2363" s="10">
        <v>53156</v>
      </c>
    </row>
    <row r="2364" spans="1:4">
      <c r="A2364" t="s">
        <v>31</v>
      </c>
      <c r="B2364" t="s">
        <v>107</v>
      </c>
      <c r="C2364" s="9">
        <v>46229</v>
      </c>
      <c r="D2364" s="10">
        <v>14756</v>
      </c>
    </row>
    <row r="2365" spans="1:4">
      <c r="A2365" t="s">
        <v>30</v>
      </c>
      <c r="B2365" t="s">
        <v>243</v>
      </c>
      <c r="C2365" s="9">
        <v>46229</v>
      </c>
      <c r="D2365" s="10">
        <v>13649</v>
      </c>
    </row>
    <row r="2366" spans="1:4">
      <c r="A2366" t="s">
        <v>8</v>
      </c>
      <c r="B2366" t="s">
        <v>65</v>
      </c>
      <c r="C2366" s="9">
        <v>46229</v>
      </c>
      <c r="D2366" s="10">
        <v>18275</v>
      </c>
    </row>
    <row r="2367" spans="1:4">
      <c r="A2367" t="s">
        <v>29</v>
      </c>
      <c r="B2367" t="s">
        <v>109</v>
      </c>
      <c r="C2367" s="9">
        <v>46229</v>
      </c>
      <c r="D2367" s="10">
        <v>8340</v>
      </c>
    </row>
    <row r="2368" spans="1:4">
      <c r="A2368" t="s">
        <v>7</v>
      </c>
      <c r="B2368" t="s">
        <v>255</v>
      </c>
      <c r="C2368" s="9">
        <v>46229</v>
      </c>
      <c r="D2368" s="10">
        <v>24628</v>
      </c>
    </row>
    <row r="2369" spans="1:4">
      <c r="A2369" t="s">
        <v>7</v>
      </c>
      <c r="B2369" t="s">
        <v>239</v>
      </c>
      <c r="C2369" s="9">
        <v>46229</v>
      </c>
      <c r="D2369" s="10">
        <v>30843</v>
      </c>
    </row>
    <row r="2370" spans="1:4">
      <c r="A2370" t="s">
        <v>7</v>
      </c>
      <c r="B2370" t="s">
        <v>78</v>
      </c>
      <c r="C2370" s="9">
        <v>46229</v>
      </c>
      <c r="D2370" s="10">
        <v>23594</v>
      </c>
    </row>
    <row r="2371" spans="1:4">
      <c r="A2371" t="s">
        <v>9</v>
      </c>
      <c r="B2371" t="s">
        <v>258</v>
      </c>
      <c r="C2371" s="9">
        <v>46229</v>
      </c>
      <c r="D2371" s="10">
        <v>44589</v>
      </c>
    </row>
    <row r="2372" spans="1:4">
      <c r="A2372" t="s">
        <v>9</v>
      </c>
      <c r="B2372" t="s">
        <v>219</v>
      </c>
      <c r="C2372" s="9">
        <v>46229</v>
      </c>
      <c r="D2372" s="10">
        <v>30950</v>
      </c>
    </row>
    <row r="2373" spans="1:4">
      <c r="A2373" t="s">
        <v>5</v>
      </c>
      <c r="B2373" t="s">
        <v>209</v>
      </c>
      <c r="C2373" s="9">
        <v>46229</v>
      </c>
      <c r="D2373" s="10">
        <v>38657</v>
      </c>
    </row>
    <row r="2374" spans="1:4">
      <c r="A2374" t="s">
        <v>5</v>
      </c>
      <c r="B2374" t="s">
        <v>123</v>
      </c>
      <c r="C2374" s="9">
        <v>46229</v>
      </c>
      <c r="D2374" s="10">
        <v>38607</v>
      </c>
    </row>
    <row r="2375" spans="1:4">
      <c r="A2375" t="s">
        <v>5</v>
      </c>
      <c r="B2375" t="s">
        <v>189</v>
      </c>
      <c r="C2375" s="9">
        <v>46229</v>
      </c>
      <c r="D2375" s="10">
        <v>38644</v>
      </c>
    </row>
    <row r="2376" spans="1:4">
      <c r="A2376" t="s">
        <v>5</v>
      </c>
      <c r="B2376" t="s">
        <v>159</v>
      </c>
      <c r="C2376" s="9">
        <v>46229</v>
      </c>
      <c r="D2376" s="10">
        <v>46904</v>
      </c>
    </row>
    <row r="2377" spans="1:4">
      <c r="A2377" t="s">
        <v>5</v>
      </c>
      <c r="B2377" t="s">
        <v>140</v>
      </c>
      <c r="C2377" s="9">
        <v>46229</v>
      </c>
      <c r="D2377" s="10">
        <v>36699</v>
      </c>
    </row>
    <row r="2378" spans="1:4">
      <c r="A2378" t="s">
        <v>27</v>
      </c>
      <c r="B2378" t="s">
        <v>141</v>
      </c>
      <c r="C2378" s="9">
        <v>46230</v>
      </c>
      <c r="D2378" s="10">
        <v>10047</v>
      </c>
    </row>
    <row r="2379" spans="1:4">
      <c r="A2379" t="s">
        <v>4</v>
      </c>
      <c r="B2379" t="s">
        <v>247</v>
      </c>
      <c r="C2379" s="9">
        <v>46230</v>
      </c>
      <c r="D2379" s="10">
        <v>31518</v>
      </c>
    </row>
    <row r="2380" spans="1:4">
      <c r="A2380" t="s">
        <v>25</v>
      </c>
      <c r="B2380" t="s">
        <v>160</v>
      </c>
      <c r="C2380" s="9">
        <v>46230</v>
      </c>
      <c r="D2380" s="10">
        <v>15695</v>
      </c>
    </row>
    <row r="2381" spans="1:4">
      <c r="A2381" t="s">
        <v>8</v>
      </c>
      <c r="B2381" t="s">
        <v>93</v>
      </c>
      <c r="C2381" s="9">
        <v>46230</v>
      </c>
      <c r="D2381" s="10">
        <v>18123</v>
      </c>
    </row>
    <row r="2382" spans="1:4">
      <c r="A2382" t="s">
        <v>7</v>
      </c>
      <c r="B2382" t="s">
        <v>208</v>
      </c>
      <c r="C2382" s="9">
        <v>46230</v>
      </c>
      <c r="D2382" s="10">
        <v>29691</v>
      </c>
    </row>
    <row r="2383" spans="1:4">
      <c r="A2383" t="s">
        <v>9</v>
      </c>
      <c r="B2383" t="s">
        <v>223</v>
      </c>
      <c r="C2383" s="9">
        <v>46230</v>
      </c>
      <c r="D2383" s="10">
        <v>29833</v>
      </c>
    </row>
    <row r="2384" spans="1:4">
      <c r="A2384" t="s">
        <v>5</v>
      </c>
      <c r="B2384" t="s">
        <v>167</v>
      </c>
      <c r="C2384" s="9">
        <v>46230</v>
      </c>
      <c r="D2384" s="10">
        <v>35693</v>
      </c>
    </row>
    <row r="2385" spans="1:4">
      <c r="A2385" t="s">
        <v>5</v>
      </c>
      <c r="B2385" t="s">
        <v>69</v>
      </c>
      <c r="C2385" s="9">
        <v>46230</v>
      </c>
      <c r="D2385" s="10">
        <v>40559</v>
      </c>
    </row>
    <row r="2386" spans="1:4">
      <c r="A2386" t="s">
        <v>5</v>
      </c>
      <c r="B2386" t="s">
        <v>139</v>
      </c>
      <c r="C2386" s="9">
        <v>46230</v>
      </c>
      <c r="D2386" s="10">
        <v>43174</v>
      </c>
    </row>
    <row r="2387" spans="1:4">
      <c r="A2387" t="s">
        <v>5</v>
      </c>
      <c r="B2387" t="s">
        <v>150</v>
      </c>
      <c r="C2387" s="9">
        <v>46230</v>
      </c>
      <c r="D2387" s="10">
        <v>47672</v>
      </c>
    </row>
    <row r="2388" spans="1:4">
      <c r="A2388" t="s">
        <v>5</v>
      </c>
      <c r="B2388" t="s">
        <v>104</v>
      </c>
      <c r="C2388" s="9">
        <v>46230</v>
      </c>
      <c r="D2388" s="10">
        <v>45207</v>
      </c>
    </row>
    <row r="2389" spans="1:4">
      <c r="A2389" t="s">
        <v>5</v>
      </c>
      <c r="B2389" t="s">
        <v>88</v>
      </c>
      <c r="C2389" s="9">
        <v>46230</v>
      </c>
      <c r="D2389" s="10">
        <v>53095</v>
      </c>
    </row>
    <row r="2390" spans="1:4">
      <c r="A2390" t="s">
        <v>4</v>
      </c>
      <c r="B2390" t="s">
        <v>193</v>
      </c>
      <c r="C2390" s="9">
        <v>46231</v>
      </c>
      <c r="D2390" s="10">
        <v>29166</v>
      </c>
    </row>
    <row r="2391" spans="1:4">
      <c r="A2391" t="s">
        <v>25</v>
      </c>
      <c r="B2391" t="s">
        <v>94</v>
      </c>
      <c r="C2391" s="9">
        <v>46231</v>
      </c>
      <c r="D2391" s="10">
        <v>23995</v>
      </c>
    </row>
    <row r="2392" spans="1:4">
      <c r="A2392" t="s">
        <v>25</v>
      </c>
      <c r="B2392" t="s">
        <v>284</v>
      </c>
      <c r="C2392" s="9">
        <v>46231</v>
      </c>
      <c r="D2392" s="10">
        <v>13477</v>
      </c>
    </row>
    <row r="2393" spans="1:4">
      <c r="A2393" t="s">
        <v>6</v>
      </c>
      <c r="B2393" t="s">
        <v>178</v>
      </c>
      <c r="C2393" s="9">
        <v>46231</v>
      </c>
      <c r="D2393" s="10">
        <v>17437</v>
      </c>
    </row>
    <row r="2394" spans="1:4">
      <c r="A2394" t="s">
        <v>9</v>
      </c>
      <c r="B2394" t="s">
        <v>146</v>
      </c>
      <c r="C2394" s="9">
        <v>46231</v>
      </c>
      <c r="D2394" s="10">
        <v>35766</v>
      </c>
    </row>
    <row r="2395" spans="1:4">
      <c r="A2395" t="s">
        <v>9</v>
      </c>
      <c r="B2395" t="s">
        <v>168</v>
      </c>
      <c r="C2395" s="9">
        <v>46231</v>
      </c>
      <c r="D2395" s="10">
        <v>40255</v>
      </c>
    </row>
    <row r="2396" spans="1:4">
      <c r="A2396" t="s">
        <v>5</v>
      </c>
      <c r="B2396" t="s">
        <v>114</v>
      </c>
      <c r="C2396" s="9">
        <v>46231</v>
      </c>
      <c r="D2396" s="10">
        <v>35440</v>
      </c>
    </row>
    <row r="2397" spans="1:4">
      <c r="A2397" t="s">
        <v>5</v>
      </c>
      <c r="B2397" t="s">
        <v>224</v>
      </c>
      <c r="C2397" s="9">
        <v>46231</v>
      </c>
      <c r="D2397" s="10">
        <v>31641</v>
      </c>
    </row>
    <row r="2398" spans="1:4">
      <c r="A2398" t="s">
        <v>5</v>
      </c>
      <c r="B2398" t="s">
        <v>276</v>
      </c>
      <c r="C2398" s="9">
        <v>46231</v>
      </c>
      <c r="D2398" s="10">
        <v>26987</v>
      </c>
    </row>
    <row r="2399" spans="1:4">
      <c r="A2399" t="s">
        <v>5</v>
      </c>
      <c r="B2399" t="s">
        <v>82</v>
      </c>
      <c r="C2399" s="9">
        <v>46231</v>
      </c>
      <c r="D2399" s="10">
        <v>34433</v>
      </c>
    </row>
    <row r="2400" spans="1:4">
      <c r="A2400" t="s">
        <v>5</v>
      </c>
      <c r="B2400" t="s">
        <v>88</v>
      </c>
      <c r="C2400" s="9">
        <v>46231</v>
      </c>
      <c r="D2400" s="10">
        <v>50032</v>
      </c>
    </row>
    <row r="2401" spans="1:4">
      <c r="A2401" t="s">
        <v>5</v>
      </c>
      <c r="B2401" t="s">
        <v>140</v>
      </c>
      <c r="C2401" s="9">
        <v>46231</v>
      </c>
      <c r="D2401" s="10">
        <v>50043</v>
      </c>
    </row>
    <row r="2402" spans="1:4">
      <c r="A2402" t="s">
        <v>27</v>
      </c>
      <c r="B2402" t="s">
        <v>225</v>
      </c>
      <c r="C2402" s="9">
        <v>46232</v>
      </c>
      <c r="D2402" s="10">
        <v>14689</v>
      </c>
    </row>
    <row r="2403" spans="1:4">
      <c r="A2403" t="s">
        <v>31</v>
      </c>
      <c r="B2403" t="s">
        <v>90</v>
      </c>
      <c r="C2403" s="9">
        <v>46232</v>
      </c>
      <c r="D2403" s="10">
        <v>13307</v>
      </c>
    </row>
    <row r="2404" spans="1:4">
      <c r="A2404" t="s">
        <v>26</v>
      </c>
      <c r="B2404" t="s">
        <v>143</v>
      </c>
      <c r="C2404" s="9">
        <v>46232</v>
      </c>
      <c r="D2404" s="10">
        <v>16763</v>
      </c>
    </row>
    <row r="2405" spans="1:4">
      <c r="A2405" t="s">
        <v>8</v>
      </c>
      <c r="B2405" t="s">
        <v>144</v>
      </c>
      <c r="C2405" s="9">
        <v>46232</v>
      </c>
      <c r="D2405" s="10">
        <v>40058</v>
      </c>
    </row>
    <row r="2406" spans="1:4">
      <c r="A2406" t="s">
        <v>8</v>
      </c>
      <c r="B2406" t="s">
        <v>238</v>
      </c>
      <c r="C2406" s="9">
        <v>46232</v>
      </c>
      <c r="D2406" s="10">
        <v>16349</v>
      </c>
    </row>
    <row r="2407" spans="1:4">
      <c r="A2407" t="s">
        <v>7</v>
      </c>
      <c r="B2407" t="s">
        <v>288</v>
      </c>
      <c r="C2407" s="9">
        <v>46232</v>
      </c>
      <c r="D2407" s="10">
        <v>24201</v>
      </c>
    </row>
    <row r="2408" spans="1:4">
      <c r="A2408" t="s">
        <v>5</v>
      </c>
      <c r="B2408" t="s">
        <v>70</v>
      </c>
      <c r="C2408" s="9">
        <v>46232</v>
      </c>
      <c r="D2408" s="10">
        <v>50326</v>
      </c>
    </row>
    <row r="2409" spans="1:4">
      <c r="A2409" t="s">
        <v>5</v>
      </c>
      <c r="B2409" t="s">
        <v>103</v>
      </c>
      <c r="C2409" s="9">
        <v>46232</v>
      </c>
      <c r="D2409" s="10">
        <v>44231</v>
      </c>
    </row>
    <row r="2410" spans="1:4">
      <c r="A2410" t="s">
        <v>5</v>
      </c>
      <c r="B2410" t="s">
        <v>124</v>
      </c>
      <c r="C2410" s="9">
        <v>46232</v>
      </c>
      <c r="D2410" s="10">
        <v>48858</v>
      </c>
    </row>
    <row r="2411" spans="1:4">
      <c r="A2411" t="s">
        <v>4</v>
      </c>
      <c r="B2411" t="s">
        <v>283</v>
      </c>
      <c r="C2411" s="9">
        <v>46233</v>
      </c>
      <c r="D2411" s="10">
        <v>30446</v>
      </c>
    </row>
    <row r="2412" spans="1:4">
      <c r="A2412" t="s">
        <v>4</v>
      </c>
      <c r="B2412" t="s">
        <v>282</v>
      </c>
      <c r="C2412" s="9">
        <v>46233</v>
      </c>
      <c r="D2412" s="10">
        <v>25571</v>
      </c>
    </row>
    <row r="2413" spans="1:4">
      <c r="A2413" t="s">
        <v>4</v>
      </c>
      <c r="B2413" t="s">
        <v>262</v>
      </c>
      <c r="C2413" s="9">
        <v>46233</v>
      </c>
      <c r="D2413" s="10">
        <v>47206</v>
      </c>
    </row>
    <row r="2414" spans="1:4">
      <c r="A2414" t="s">
        <v>28</v>
      </c>
      <c r="B2414" t="s">
        <v>183</v>
      </c>
      <c r="C2414" s="9">
        <v>46233</v>
      </c>
      <c r="D2414" s="10">
        <v>17754</v>
      </c>
    </row>
    <row r="2415" spans="1:4">
      <c r="A2415" t="s">
        <v>6</v>
      </c>
      <c r="B2415" t="s">
        <v>61</v>
      </c>
      <c r="C2415" s="9">
        <v>46233</v>
      </c>
      <c r="D2415" s="10">
        <v>15134</v>
      </c>
    </row>
    <row r="2416" spans="1:4">
      <c r="A2416" t="s">
        <v>29</v>
      </c>
      <c r="B2416" t="s">
        <v>135</v>
      </c>
      <c r="C2416" s="9">
        <v>46233</v>
      </c>
      <c r="D2416" s="10">
        <v>5747</v>
      </c>
    </row>
    <row r="2417" spans="1:4">
      <c r="A2417" t="s">
        <v>7</v>
      </c>
      <c r="B2417" t="s">
        <v>273</v>
      </c>
      <c r="C2417" s="9">
        <v>46233</v>
      </c>
      <c r="D2417" s="10">
        <v>7305</v>
      </c>
    </row>
    <row r="2418" spans="1:4">
      <c r="A2418" t="s">
        <v>9</v>
      </c>
      <c r="B2418" t="s">
        <v>216</v>
      </c>
      <c r="C2418" s="9">
        <v>46233</v>
      </c>
      <c r="D2418" s="10">
        <v>41668</v>
      </c>
    </row>
    <row r="2419" spans="1:4">
      <c r="A2419" t="s">
        <v>9</v>
      </c>
      <c r="B2419" t="s">
        <v>176</v>
      </c>
      <c r="C2419" s="9">
        <v>46233</v>
      </c>
      <c r="D2419" s="10">
        <v>42342</v>
      </c>
    </row>
    <row r="2420" spans="1:4">
      <c r="A2420" t="s">
        <v>5</v>
      </c>
      <c r="B2420" t="s">
        <v>123</v>
      </c>
      <c r="C2420" s="9">
        <v>46233</v>
      </c>
      <c r="D2420" s="10">
        <v>57455</v>
      </c>
    </row>
    <row r="2421" spans="1:4">
      <c r="A2421" t="s">
        <v>5</v>
      </c>
      <c r="B2421" t="s">
        <v>155</v>
      </c>
      <c r="C2421" s="9">
        <v>46233</v>
      </c>
      <c r="D2421" s="10">
        <v>51786</v>
      </c>
    </row>
    <row r="2422" spans="1:4">
      <c r="A2422" t="s">
        <v>5</v>
      </c>
      <c r="B2422" t="s">
        <v>211</v>
      </c>
      <c r="C2422" s="9">
        <v>46233</v>
      </c>
      <c r="D2422" s="10">
        <v>48375</v>
      </c>
    </row>
    <row r="2423" spans="1:4">
      <c r="A2423" t="s">
        <v>5</v>
      </c>
      <c r="B2423" t="s">
        <v>156</v>
      </c>
      <c r="C2423" s="9">
        <v>46233</v>
      </c>
      <c r="D2423" s="10">
        <v>38117</v>
      </c>
    </row>
    <row r="2424" spans="1:4">
      <c r="A2424" t="s">
        <v>27</v>
      </c>
      <c r="B2424" t="s">
        <v>58</v>
      </c>
      <c r="C2424" s="9">
        <v>46234</v>
      </c>
      <c r="D2424" s="10">
        <v>7971</v>
      </c>
    </row>
    <row r="2425" spans="1:4">
      <c r="A2425" t="s">
        <v>4</v>
      </c>
      <c r="B2425" t="s">
        <v>116</v>
      </c>
      <c r="C2425" s="9">
        <v>46234</v>
      </c>
      <c r="D2425" s="10">
        <v>34009</v>
      </c>
    </row>
    <row r="2426" spans="1:4">
      <c r="A2426" t="s">
        <v>4</v>
      </c>
      <c r="B2426" t="s">
        <v>194</v>
      </c>
      <c r="C2426" s="9">
        <v>46234</v>
      </c>
      <c r="D2426" s="10">
        <v>25008</v>
      </c>
    </row>
    <row r="2427" spans="1:4">
      <c r="A2427" t="s">
        <v>8</v>
      </c>
      <c r="B2427" t="s">
        <v>66</v>
      </c>
      <c r="C2427" s="9">
        <v>46234</v>
      </c>
      <c r="D2427" s="10">
        <v>16340</v>
      </c>
    </row>
    <row r="2428" spans="1:4">
      <c r="A2428" t="s">
        <v>34</v>
      </c>
      <c r="B2428" t="s">
        <v>126</v>
      </c>
      <c r="C2428" s="9">
        <v>46234</v>
      </c>
      <c r="D2428" s="10">
        <v>5200</v>
      </c>
    </row>
    <row r="2429" spans="1:4">
      <c r="A2429" t="s">
        <v>9</v>
      </c>
      <c r="B2429" t="s">
        <v>192</v>
      </c>
      <c r="C2429" s="9">
        <v>46234</v>
      </c>
      <c r="D2429" s="10">
        <v>23320</v>
      </c>
    </row>
    <row r="2430" spans="1:4">
      <c r="A2430" t="s">
        <v>5</v>
      </c>
      <c r="B2430" t="s">
        <v>209</v>
      </c>
      <c r="C2430" s="9">
        <v>46234</v>
      </c>
      <c r="D2430" s="10">
        <v>37114</v>
      </c>
    </row>
    <row r="2431" spans="1:4">
      <c r="A2431" t="s">
        <v>5</v>
      </c>
      <c r="B2431" t="s">
        <v>224</v>
      </c>
      <c r="C2431" s="9">
        <v>46234</v>
      </c>
      <c r="D2431" s="10">
        <v>37589</v>
      </c>
    </row>
    <row r="2432" spans="1:4">
      <c r="A2432" t="s">
        <v>5</v>
      </c>
      <c r="B2432" t="s">
        <v>275</v>
      </c>
      <c r="C2432" s="9">
        <v>46234</v>
      </c>
      <c r="D2432" s="10">
        <v>37148</v>
      </c>
    </row>
    <row r="2433" spans="1:4">
      <c r="A2433" t="s">
        <v>5</v>
      </c>
      <c r="B2433" t="s">
        <v>210</v>
      </c>
      <c r="C2433" s="9">
        <v>46234</v>
      </c>
      <c r="D2433" s="10">
        <v>47344</v>
      </c>
    </row>
    <row r="2434" spans="1:4">
      <c r="A2434" t="s">
        <v>5</v>
      </c>
      <c r="B2434" t="s">
        <v>71</v>
      </c>
      <c r="C2434" s="9">
        <v>46234</v>
      </c>
      <c r="D2434" s="10">
        <v>32395</v>
      </c>
    </row>
    <row r="2435" spans="1:4">
      <c r="A2435" t="s">
        <v>5</v>
      </c>
      <c r="B2435" t="s">
        <v>159</v>
      </c>
      <c r="C2435" s="9">
        <v>46234</v>
      </c>
      <c r="D2435" s="10">
        <v>44119</v>
      </c>
    </row>
    <row r="2436" spans="1:4">
      <c r="A2436" t="s">
        <v>5</v>
      </c>
      <c r="B2436" t="s">
        <v>156</v>
      </c>
      <c r="C2436" s="9">
        <v>46234</v>
      </c>
      <c r="D2436" s="10">
        <v>53460</v>
      </c>
    </row>
    <row r="2437" spans="1:4">
      <c r="A2437" t="s">
        <v>4</v>
      </c>
      <c r="B2437" t="s">
        <v>235</v>
      </c>
      <c r="C2437" s="9">
        <v>46235</v>
      </c>
      <c r="D2437" s="10">
        <v>24319</v>
      </c>
    </row>
    <row r="2438" spans="1:4">
      <c r="A2438" t="s">
        <v>33</v>
      </c>
      <c r="B2438" t="s">
        <v>245</v>
      </c>
      <c r="C2438" s="9">
        <v>46235</v>
      </c>
      <c r="D2438" s="10">
        <v>12649</v>
      </c>
    </row>
    <row r="2439" spans="1:4">
      <c r="A2439" t="s">
        <v>29</v>
      </c>
      <c r="B2439" t="s">
        <v>60</v>
      </c>
      <c r="C2439" s="9">
        <v>46235</v>
      </c>
      <c r="D2439" s="10">
        <v>5200</v>
      </c>
    </row>
    <row r="2440" spans="1:4">
      <c r="A2440" t="s">
        <v>9</v>
      </c>
      <c r="B2440" t="s">
        <v>138</v>
      </c>
      <c r="C2440" s="9">
        <v>46235</v>
      </c>
      <c r="D2440" s="10">
        <v>42155</v>
      </c>
    </row>
    <row r="2441" spans="1:4">
      <c r="A2441" t="s">
        <v>5</v>
      </c>
      <c r="B2441" t="s">
        <v>114</v>
      </c>
      <c r="C2441" s="9">
        <v>46235</v>
      </c>
      <c r="D2441" s="10">
        <v>37650</v>
      </c>
    </row>
    <row r="2442" spans="1:4">
      <c r="A2442" t="s">
        <v>5</v>
      </c>
      <c r="B2442" t="s">
        <v>62</v>
      </c>
      <c r="C2442" s="9">
        <v>46235</v>
      </c>
      <c r="D2442" s="10">
        <v>37929</v>
      </c>
    </row>
    <row r="2443" spans="1:4">
      <c r="A2443" t="s">
        <v>5</v>
      </c>
      <c r="B2443" t="s">
        <v>167</v>
      </c>
      <c r="C2443" s="9">
        <v>46235</v>
      </c>
      <c r="D2443" s="10">
        <v>25589</v>
      </c>
    </row>
    <row r="2444" spans="1:4">
      <c r="A2444" t="s">
        <v>5</v>
      </c>
      <c r="B2444" t="s">
        <v>70</v>
      </c>
      <c r="C2444" s="9">
        <v>46235</v>
      </c>
      <c r="D2444" s="10">
        <v>39790</v>
      </c>
    </row>
    <row r="2445" spans="1:4">
      <c r="A2445" t="s">
        <v>5</v>
      </c>
      <c r="B2445" t="s">
        <v>148</v>
      </c>
      <c r="C2445" s="9">
        <v>46235</v>
      </c>
      <c r="D2445" s="10">
        <v>28328</v>
      </c>
    </row>
    <row r="2446" spans="1:4">
      <c r="A2446" t="s">
        <v>5</v>
      </c>
      <c r="B2446" t="s">
        <v>81</v>
      </c>
      <c r="C2446" s="9">
        <v>46235</v>
      </c>
      <c r="D2446" s="10">
        <v>50686</v>
      </c>
    </row>
    <row r="2447" spans="1:4">
      <c r="A2447" t="s">
        <v>5</v>
      </c>
      <c r="B2447" t="s">
        <v>81</v>
      </c>
      <c r="C2447" s="9">
        <v>46235</v>
      </c>
      <c r="D2447" s="10">
        <v>38377</v>
      </c>
    </row>
    <row r="2448" spans="1:4">
      <c r="A2448" t="s">
        <v>5</v>
      </c>
      <c r="B2448" t="s">
        <v>210</v>
      </c>
      <c r="C2448" s="9">
        <v>46235</v>
      </c>
      <c r="D2448" s="10">
        <v>50542</v>
      </c>
    </row>
    <row r="2449" spans="1:4">
      <c r="A2449" t="s">
        <v>38</v>
      </c>
      <c r="B2449" t="s">
        <v>212</v>
      </c>
      <c r="C2449" s="9">
        <v>46236</v>
      </c>
      <c r="D2449" s="10">
        <v>13661</v>
      </c>
    </row>
    <row r="2450" spans="1:4">
      <c r="A2450" t="s">
        <v>4</v>
      </c>
      <c r="B2450" t="s">
        <v>247</v>
      </c>
      <c r="C2450" s="9">
        <v>46236</v>
      </c>
      <c r="D2450" s="10">
        <v>24442</v>
      </c>
    </row>
    <row r="2451" spans="1:4">
      <c r="A2451" t="s">
        <v>28</v>
      </c>
      <c r="B2451" t="s">
        <v>190</v>
      </c>
      <c r="C2451" s="9">
        <v>46236</v>
      </c>
      <c r="D2451" s="10">
        <v>13810</v>
      </c>
    </row>
    <row r="2452" spans="1:4">
      <c r="A2452" t="s">
        <v>26</v>
      </c>
      <c r="B2452" t="s">
        <v>197</v>
      </c>
      <c r="C2452" s="9">
        <v>46236</v>
      </c>
      <c r="D2452" s="10">
        <v>14197</v>
      </c>
    </row>
    <row r="2453" spans="1:4">
      <c r="A2453" t="s">
        <v>8</v>
      </c>
      <c r="B2453" t="s">
        <v>250</v>
      </c>
      <c r="C2453" s="9">
        <v>46236</v>
      </c>
      <c r="D2453" s="10">
        <v>13696</v>
      </c>
    </row>
    <row r="2454" spans="1:4">
      <c r="A2454" t="s">
        <v>6</v>
      </c>
      <c r="B2454" t="s">
        <v>94</v>
      </c>
      <c r="C2454" s="9">
        <v>46236</v>
      </c>
      <c r="D2454" s="10">
        <v>16483</v>
      </c>
    </row>
    <row r="2455" spans="1:4">
      <c r="A2455" t="s">
        <v>7</v>
      </c>
      <c r="B2455" t="s">
        <v>97</v>
      </c>
      <c r="C2455" s="9">
        <v>46236</v>
      </c>
      <c r="D2455" s="10">
        <v>24104</v>
      </c>
    </row>
    <row r="2456" spans="1:4">
      <c r="A2456" t="s">
        <v>7</v>
      </c>
      <c r="B2456" t="s">
        <v>288</v>
      </c>
      <c r="C2456" s="9">
        <v>46236</v>
      </c>
      <c r="D2456" s="10">
        <v>24211</v>
      </c>
    </row>
    <row r="2457" spans="1:4">
      <c r="A2457" t="s">
        <v>7</v>
      </c>
      <c r="B2457" t="s">
        <v>222</v>
      </c>
      <c r="C2457" s="9">
        <v>46236</v>
      </c>
      <c r="D2457" s="10">
        <v>22528</v>
      </c>
    </row>
    <row r="2458" spans="1:4">
      <c r="A2458" t="s">
        <v>9</v>
      </c>
      <c r="B2458" t="s">
        <v>111</v>
      </c>
      <c r="C2458" s="9">
        <v>46236</v>
      </c>
      <c r="D2458" s="10">
        <v>15004</v>
      </c>
    </row>
    <row r="2459" spans="1:4">
      <c r="A2459" t="s">
        <v>9</v>
      </c>
      <c r="B2459" t="s">
        <v>192</v>
      </c>
      <c r="C2459" s="9">
        <v>46236</v>
      </c>
      <c r="D2459" s="10">
        <v>21949</v>
      </c>
    </row>
    <row r="2460" spans="1:4">
      <c r="A2460" t="s">
        <v>9</v>
      </c>
      <c r="B2460" t="s">
        <v>223</v>
      </c>
      <c r="C2460" s="9">
        <v>46236</v>
      </c>
      <c r="D2460" s="10">
        <v>25139</v>
      </c>
    </row>
    <row r="2461" spans="1:4">
      <c r="A2461" t="s">
        <v>5</v>
      </c>
      <c r="B2461" t="s">
        <v>293</v>
      </c>
      <c r="C2461" s="9">
        <v>46236</v>
      </c>
      <c r="D2461" s="10">
        <v>41806</v>
      </c>
    </row>
    <row r="2462" spans="1:4">
      <c r="A2462" t="s">
        <v>5</v>
      </c>
      <c r="B2462" t="s">
        <v>189</v>
      </c>
      <c r="C2462" s="9">
        <v>46236</v>
      </c>
      <c r="D2462" s="10">
        <v>35539</v>
      </c>
    </row>
    <row r="2463" spans="1:4">
      <c r="A2463" t="s">
        <v>4</v>
      </c>
      <c r="B2463" t="s">
        <v>262</v>
      </c>
      <c r="C2463" s="9">
        <v>46237</v>
      </c>
      <c r="D2463" s="10">
        <v>28452</v>
      </c>
    </row>
    <row r="2464" spans="1:4">
      <c r="A2464" t="s">
        <v>6</v>
      </c>
      <c r="B2464" t="s">
        <v>177</v>
      </c>
      <c r="C2464" s="9">
        <v>46237</v>
      </c>
      <c r="D2464" s="10">
        <v>20563</v>
      </c>
    </row>
    <row r="2465" spans="1:4">
      <c r="A2465" t="s">
        <v>9</v>
      </c>
      <c r="B2465" t="s">
        <v>104</v>
      </c>
      <c r="C2465" s="9">
        <v>46237</v>
      </c>
      <c r="D2465" s="10">
        <v>31855</v>
      </c>
    </row>
    <row r="2466" spans="1:4">
      <c r="A2466" t="s">
        <v>5</v>
      </c>
      <c r="B2466" t="s">
        <v>168</v>
      </c>
      <c r="C2466" s="9">
        <v>46237</v>
      </c>
      <c r="D2466" s="10">
        <v>38903</v>
      </c>
    </row>
    <row r="2467" spans="1:4">
      <c r="A2467" t="s">
        <v>5</v>
      </c>
      <c r="B2467" t="s">
        <v>82</v>
      </c>
      <c r="C2467" s="9">
        <v>46237</v>
      </c>
      <c r="D2467" s="10">
        <v>39621</v>
      </c>
    </row>
    <row r="2468" spans="1:4">
      <c r="A2468" t="s">
        <v>5</v>
      </c>
      <c r="B2468" t="s">
        <v>104</v>
      </c>
      <c r="C2468" s="9">
        <v>46237</v>
      </c>
      <c r="D2468" s="10">
        <v>34821</v>
      </c>
    </row>
    <row r="2469" spans="1:4">
      <c r="A2469" t="s">
        <v>5</v>
      </c>
      <c r="B2469" t="s">
        <v>124</v>
      </c>
      <c r="C2469" s="9">
        <v>46237</v>
      </c>
      <c r="D2469" s="10">
        <v>50999</v>
      </c>
    </row>
    <row r="2470" spans="1:4">
      <c r="A2470" t="s">
        <v>4</v>
      </c>
      <c r="B2470" t="s">
        <v>57</v>
      </c>
      <c r="C2470" s="9">
        <v>46238</v>
      </c>
      <c r="D2470" s="10">
        <v>41813</v>
      </c>
    </row>
    <row r="2471" spans="1:4">
      <c r="A2471" t="s">
        <v>25</v>
      </c>
      <c r="B2471" t="s">
        <v>264</v>
      </c>
      <c r="C2471" s="9">
        <v>46238</v>
      </c>
      <c r="D2471" s="10">
        <v>10274</v>
      </c>
    </row>
    <row r="2472" spans="1:4">
      <c r="A2472" t="s">
        <v>28</v>
      </c>
      <c r="B2472" t="s">
        <v>74</v>
      </c>
      <c r="C2472" s="9">
        <v>46238</v>
      </c>
      <c r="D2472" s="10">
        <v>14968</v>
      </c>
    </row>
    <row r="2473" spans="1:4">
      <c r="A2473" t="s">
        <v>6</v>
      </c>
      <c r="B2473" t="s">
        <v>252</v>
      </c>
      <c r="C2473" s="9">
        <v>46238</v>
      </c>
      <c r="D2473" s="10">
        <v>49051</v>
      </c>
    </row>
    <row r="2474" spans="1:4">
      <c r="A2474" t="s">
        <v>9</v>
      </c>
      <c r="B2474" t="s">
        <v>258</v>
      </c>
      <c r="C2474" s="9">
        <v>46238</v>
      </c>
      <c r="D2474" s="10">
        <v>33000</v>
      </c>
    </row>
    <row r="2475" spans="1:4">
      <c r="A2475" t="s">
        <v>9</v>
      </c>
      <c r="B2475" t="s">
        <v>100</v>
      </c>
      <c r="C2475" s="9">
        <v>46238</v>
      </c>
      <c r="D2475" s="10">
        <v>21324</v>
      </c>
    </row>
    <row r="2476" spans="1:4">
      <c r="A2476" t="s">
        <v>5</v>
      </c>
      <c r="B2476" t="s">
        <v>241</v>
      </c>
      <c r="C2476" s="9">
        <v>46238</v>
      </c>
      <c r="D2476" s="10">
        <v>36818</v>
      </c>
    </row>
    <row r="2477" spans="1:4">
      <c r="A2477" t="s">
        <v>5</v>
      </c>
      <c r="B2477" t="s">
        <v>123</v>
      </c>
      <c r="C2477" s="9">
        <v>46238</v>
      </c>
      <c r="D2477" s="10">
        <v>42921</v>
      </c>
    </row>
    <row r="2478" spans="1:4">
      <c r="A2478" t="s">
        <v>5</v>
      </c>
      <c r="B2478" t="s">
        <v>276</v>
      </c>
      <c r="C2478" s="9">
        <v>46238</v>
      </c>
      <c r="D2478" s="10">
        <v>22526</v>
      </c>
    </row>
    <row r="2479" spans="1:4">
      <c r="A2479" t="s">
        <v>5</v>
      </c>
      <c r="B2479" t="s">
        <v>140</v>
      </c>
      <c r="C2479" s="9">
        <v>46238</v>
      </c>
      <c r="D2479" s="10">
        <v>46489</v>
      </c>
    </row>
    <row r="2480" spans="1:4">
      <c r="A2480" t="s">
        <v>27</v>
      </c>
      <c r="B2480" t="s">
        <v>182</v>
      </c>
      <c r="C2480" s="9">
        <v>46239</v>
      </c>
      <c r="D2480" s="10">
        <v>5200</v>
      </c>
    </row>
    <row r="2481" spans="1:4">
      <c r="A2481" t="s">
        <v>31</v>
      </c>
      <c r="B2481" t="s">
        <v>63</v>
      </c>
      <c r="C2481" s="9">
        <v>46239</v>
      </c>
      <c r="D2481" s="10">
        <v>13872</v>
      </c>
    </row>
    <row r="2482" spans="1:4">
      <c r="A2482" t="s">
        <v>8</v>
      </c>
      <c r="B2482" t="s">
        <v>244</v>
      </c>
      <c r="C2482" s="9">
        <v>46239</v>
      </c>
      <c r="D2482" s="10">
        <v>30937</v>
      </c>
    </row>
    <row r="2483" spans="1:4">
      <c r="A2483" t="s">
        <v>6</v>
      </c>
      <c r="B2483" t="s">
        <v>136</v>
      </c>
      <c r="C2483" s="9">
        <v>46239</v>
      </c>
      <c r="D2483" s="10">
        <v>41302</v>
      </c>
    </row>
    <row r="2484" spans="1:4">
      <c r="A2484" t="s">
        <v>5</v>
      </c>
      <c r="B2484" t="s">
        <v>224</v>
      </c>
      <c r="C2484" s="9">
        <v>46239</v>
      </c>
      <c r="D2484" s="10">
        <v>46503</v>
      </c>
    </row>
    <row r="2485" spans="1:4">
      <c r="A2485" t="s">
        <v>5</v>
      </c>
      <c r="B2485" t="s">
        <v>149</v>
      </c>
      <c r="C2485" s="9">
        <v>46239</v>
      </c>
      <c r="D2485" s="10">
        <v>43329</v>
      </c>
    </row>
    <row r="2486" spans="1:4">
      <c r="A2486" t="s">
        <v>5</v>
      </c>
      <c r="B2486" t="s">
        <v>168</v>
      </c>
      <c r="C2486" s="9">
        <v>46239</v>
      </c>
      <c r="D2486" s="10">
        <v>37883</v>
      </c>
    </row>
    <row r="2487" spans="1:4">
      <c r="A2487" t="s">
        <v>5</v>
      </c>
      <c r="B2487" t="s">
        <v>211</v>
      </c>
      <c r="C2487" s="9">
        <v>46239</v>
      </c>
      <c r="D2487" s="10">
        <v>31716</v>
      </c>
    </row>
    <row r="2488" spans="1:4">
      <c r="A2488" t="s">
        <v>4</v>
      </c>
      <c r="B2488" t="s">
        <v>195</v>
      </c>
      <c r="C2488" s="9">
        <v>46240</v>
      </c>
      <c r="D2488" s="10">
        <v>19902</v>
      </c>
    </row>
    <row r="2489" spans="1:4">
      <c r="A2489" t="s">
        <v>4</v>
      </c>
      <c r="B2489" t="s">
        <v>175</v>
      </c>
      <c r="C2489" s="9">
        <v>46240</v>
      </c>
      <c r="D2489" s="10">
        <v>32097</v>
      </c>
    </row>
    <row r="2490" spans="1:4">
      <c r="A2490" t="s">
        <v>26</v>
      </c>
      <c r="B2490" t="s">
        <v>249</v>
      </c>
      <c r="C2490" s="9">
        <v>46240</v>
      </c>
      <c r="D2490" s="10">
        <v>14963</v>
      </c>
    </row>
    <row r="2491" spans="1:4">
      <c r="A2491" t="s">
        <v>30</v>
      </c>
      <c r="B2491" t="s">
        <v>183</v>
      </c>
      <c r="C2491" s="9">
        <v>46240</v>
      </c>
      <c r="D2491" s="10">
        <v>14871</v>
      </c>
    </row>
    <row r="2492" spans="1:4">
      <c r="A2492" t="s">
        <v>6</v>
      </c>
      <c r="B2492" t="s">
        <v>184</v>
      </c>
      <c r="C2492" s="9">
        <v>46240</v>
      </c>
      <c r="D2492" s="10">
        <v>18445</v>
      </c>
    </row>
    <row r="2493" spans="1:4">
      <c r="A2493" t="s">
        <v>9</v>
      </c>
      <c r="B2493" t="s">
        <v>79</v>
      </c>
      <c r="C2493" s="9">
        <v>46240</v>
      </c>
      <c r="D2493" s="10">
        <v>35966</v>
      </c>
    </row>
    <row r="2494" spans="1:4">
      <c r="A2494" t="s">
        <v>5</v>
      </c>
      <c r="B2494" t="s">
        <v>114</v>
      </c>
      <c r="C2494" s="9">
        <v>46240</v>
      </c>
      <c r="D2494" s="10">
        <v>27394</v>
      </c>
    </row>
    <row r="2495" spans="1:4">
      <c r="A2495" t="s">
        <v>5</v>
      </c>
      <c r="B2495" t="s">
        <v>72</v>
      </c>
      <c r="C2495" s="9">
        <v>46240</v>
      </c>
      <c r="D2495" s="10">
        <v>57931</v>
      </c>
    </row>
    <row r="2496" spans="1:4">
      <c r="A2496" t="s">
        <v>5</v>
      </c>
      <c r="B2496" t="s">
        <v>139</v>
      </c>
      <c r="C2496" s="9">
        <v>46240</v>
      </c>
      <c r="D2496" s="10">
        <v>48980</v>
      </c>
    </row>
    <row r="2497" spans="1:4">
      <c r="A2497" t="s">
        <v>35</v>
      </c>
      <c r="B2497" t="s">
        <v>290</v>
      </c>
      <c r="C2497" s="9">
        <v>46241</v>
      </c>
      <c r="D2497" s="10">
        <v>13310</v>
      </c>
    </row>
    <row r="2498" spans="1:4">
      <c r="A2498" t="s">
        <v>4</v>
      </c>
      <c r="B2498" t="s">
        <v>110</v>
      </c>
      <c r="C2498" s="9">
        <v>46241</v>
      </c>
      <c r="D2498" s="10">
        <v>39793</v>
      </c>
    </row>
    <row r="2499" spans="1:4">
      <c r="A2499" t="s">
        <v>4</v>
      </c>
      <c r="B2499" t="s">
        <v>81</v>
      </c>
      <c r="C2499" s="9">
        <v>46241</v>
      </c>
      <c r="D2499" s="10">
        <v>34885</v>
      </c>
    </row>
    <row r="2500" spans="1:4">
      <c r="A2500" t="s">
        <v>8</v>
      </c>
      <c r="B2500" t="s">
        <v>238</v>
      </c>
      <c r="C2500" s="9">
        <v>46241</v>
      </c>
      <c r="D2500" s="10">
        <v>16126</v>
      </c>
    </row>
    <row r="2501" spans="1:4">
      <c r="A2501" t="s">
        <v>6</v>
      </c>
      <c r="B2501" t="s">
        <v>163</v>
      </c>
      <c r="C2501" s="9">
        <v>46241</v>
      </c>
      <c r="D2501" s="10">
        <v>32548</v>
      </c>
    </row>
    <row r="2502" spans="1:4">
      <c r="A2502" t="s">
        <v>6</v>
      </c>
      <c r="B2502" t="s">
        <v>171</v>
      </c>
      <c r="C2502" s="9">
        <v>46241</v>
      </c>
      <c r="D2502" s="10">
        <v>21872</v>
      </c>
    </row>
    <row r="2503" spans="1:4">
      <c r="A2503" t="s">
        <v>7</v>
      </c>
      <c r="B2503" t="s">
        <v>96</v>
      </c>
      <c r="C2503" s="9">
        <v>46241</v>
      </c>
      <c r="D2503" s="10">
        <v>22092</v>
      </c>
    </row>
    <row r="2504" spans="1:4">
      <c r="A2504" t="s">
        <v>7</v>
      </c>
      <c r="B2504" t="s">
        <v>231</v>
      </c>
      <c r="C2504" s="9">
        <v>46241</v>
      </c>
      <c r="D2504" s="10">
        <v>22873</v>
      </c>
    </row>
    <row r="2505" spans="1:4">
      <c r="A2505" t="s">
        <v>9</v>
      </c>
      <c r="B2505" t="s">
        <v>166</v>
      </c>
      <c r="C2505" s="9">
        <v>46241</v>
      </c>
      <c r="D2505" s="10">
        <v>34047</v>
      </c>
    </row>
    <row r="2506" spans="1:4">
      <c r="A2506" t="s">
        <v>5</v>
      </c>
      <c r="B2506" t="s">
        <v>59</v>
      </c>
      <c r="C2506" s="9">
        <v>46241</v>
      </c>
      <c r="D2506" s="10">
        <v>36517</v>
      </c>
    </row>
    <row r="2507" spans="1:4">
      <c r="A2507" t="s">
        <v>5</v>
      </c>
      <c r="B2507" t="s">
        <v>80</v>
      </c>
      <c r="C2507" s="9">
        <v>46241</v>
      </c>
      <c r="D2507" s="10">
        <v>51372</v>
      </c>
    </row>
    <row r="2508" spans="1:4">
      <c r="A2508" t="s">
        <v>5</v>
      </c>
      <c r="B2508" t="s">
        <v>210</v>
      </c>
      <c r="C2508" s="9">
        <v>46241</v>
      </c>
      <c r="D2508" s="10">
        <v>44366</v>
      </c>
    </row>
    <row r="2509" spans="1:4">
      <c r="A2509" t="s">
        <v>5</v>
      </c>
      <c r="B2509" t="s">
        <v>159</v>
      </c>
      <c r="C2509" s="9">
        <v>46241</v>
      </c>
      <c r="D2509" s="10">
        <v>41346</v>
      </c>
    </row>
    <row r="2510" spans="1:4">
      <c r="A2510" t="s">
        <v>5</v>
      </c>
      <c r="B2510" t="s">
        <v>87</v>
      </c>
      <c r="C2510" s="9">
        <v>46241</v>
      </c>
      <c r="D2510" s="10">
        <v>47173</v>
      </c>
    </row>
    <row r="2511" spans="1:4">
      <c r="A2511" t="s">
        <v>5</v>
      </c>
      <c r="B2511" t="s">
        <v>104</v>
      </c>
      <c r="C2511" s="9">
        <v>46241</v>
      </c>
      <c r="D2511" s="10">
        <v>43577</v>
      </c>
    </row>
    <row r="2512" spans="1:4">
      <c r="A2512" t="s">
        <v>27</v>
      </c>
      <c r="B2512" t="s">
        <v>225</v>
      </c>
      <c r="C2512" s="9">
        <v>46242</v>
      </c>
      <c r="D2512" s="10">
        <v>12455</v>
      </c>
    </row>
    <row r="2513" spans="1:4">
      <c r="A2513" t="s">
        <v>27</v>
      </c>
      <c r="B2513" t="s">
        <v>169</v>
      </c>
      <c r="C2513" s="9">
        <v>46242</v>
      </c>
      <c r="D2513" s="10">
        <v>14370</v>
      </c>
    </row>
    <row r="2514" spans="1:4">
      <c r="A2514" t="s">
        <v>4</v>
      </c>
      <c r="B2514" t="s">
        <v>204</v>
      </c>
      <c r="C2514" s="9">
        <v>46242</v>
      </c>
      <c r="D2514" s="10">
        <v>36966</v>
      </c>
    </row>
    <row r="2515" spans="1:4">
      <c r="A2515" t="s">
        <v>8</v>
      </c>
      <c r="B2515" t="s">
        <v>125</v>
      </c>
      <c r="C2515" s="9">
        <v>46242</v>
      </c>
      <c r="D2515" s="10">
        <v>22107</v>
      </c>
    </row>
    <row r="2516" spans="1:4">
      <c r="A2516" t="s">
        <v>6</v>
      </c>
      <c r="B2516" t="s">
        <v>287</v>
      </c>
      <c r="C2516" s="9">
        <v>46242</v>
      </c>
      <c r="D2516" s="10">
        <v>18910</v>
      </c>
    </row>
    <row r="2517" spans="1:4">
      <c r="A2517" t="s">
        <v>7</v>
      </c>
      <c r="B2517" t="s">
        <v>119</v>
      </c>
      <c r="C2517" s="9">
        <v>46242</v>
      </c>
      <c r="D2517" s="10">
        <v>22534</v>
      </c>
    </row>
    <row r="2518" spans="1:4">
      <c r="A2518" t="s">
        <v>7</v>
      </c>
      <c r="B2518" t="s">
        <v>289</v>
      </c>
      <c r="C2518" s="9">
        <v>46242</v>
      </c>
      <c r="D2518" s="10">
        <v>7647</v>
      </c>
    </row>
    <row r="2519" spans="1:4">
      <c r="A2519" t="s">
        <v>9</v>
      </c>
      <c r="B2519" t="s">
        <v>258</v>
      </c>
      <c r="C2519" s="9">
        <v>46242</v>
      </c>
      <c r="D2519" s="10">
        <v>41811</v>
      </c>
    </row>
    <row r="2520" spans="1:4">
      <c r="A2520" t="s">
        <v>5</v>
      </c>
      <c r="B2520" t="s">
        <v>62</v>
      </c>
      <c r="C2520" s="9">
        <v>46242</v>
      </c>
      <c r="D2520" s="10">
        <v>46331</v>
      </c>
    </row>
    <row r="2521" spans="1:4">
      <c r="A2521" t="s">
        <v>5</v>
      </c>
      <c r="B2521" t="s">
        <v>62</v>
      </c>
      <c r="C2521" s="9">
        <v>46242</v>
      </c>
      <c r="D2521" s="10">
        <v>49365</v>
      </c>
    </row>
    <row r="2522" spans="1:4">
      <c r="A2522" t="s">
        <v>5</v>
      </c>
      <c r="B2522" t="s">
        <v>275</v>
      </c>
      <c r="C2522" s="9">
        <v>46242</v>
      </c>
      <c r="D2522" s="10">
        <v>15935</v>
      </c>
    </row>
    <row r="2523" spans="1:4">
      <c r="A2523" t="s">
        <v>5</v>
      </c>
      <c r="B2523" t="s">
        <v>102</v>
      </c>
      <c r="C2523" s="9">
        <v>46242</v>
      </c>
      <c r="D2523" s="10">
        <v>43141</v>
      </c>
    </row>
    <row r="2524" spans="1:4">
      <c r="A2524" t="s">
        <v>5</v>
      </c>
      <c r="B2524" t="s">
        <v>149</v>
      </c>
      <c r="C2524" s="9">
        <v>46242</v>
      </c>
      <c r="D2524" s="10">
        <v>54268</v>
      </c>
    </row>
    <row r="2525" spans="1:4">
      <c r="A2525" t="s">
        <v>5</v>
      </c>
      <c r="B2525" t="s">
        <v>122</v>
      </c>
      <c r="C2525" s="9">
        <v>46242</v>
      </c>
      <c r="D2525" s="10">
        <v>42032</v>
      </c>
    </row>
    <row r="2526" spans="1:4">
      <c r="A2526" t="s">
        <v>5</v>
      </c>
      <c r="B2526" t="s">
        <v>127</v>
      </c>
      <c r="C2526" s="9">
        <v>46242</v>
      </c>
      <c r="D2526" s="10">
        <v>36773</v>
      </c>
    </row>
    <row r="2527" spans="1:4">
      <c r="A2527" t="s">
        <v>26</v>
      </c>
      <c r="B2527" t="s">
        <v>220</v>
      </c>
      <c r="C2527" s="9">
        <v>46243</v>
      </c>
      <c r="D2527" s="10">
        <v>15231</v>
      </c>
    </row>
    <row r="2528" spans="1:4">
      <c r="A2528" t="s">
        <v>29</v>
      </c>
      <c r="B2528" t="s">
        <v>95</v>
      </c>
      <c r="C2528" s="9">
        <v>46243</v>
      </c>
      <c r="D2528" s="10">
        <v>12301</v>
      </c>
    </row>
    <row r="2529" spans="1:4">
      <c r="A2529" t="s">
        <v>9</v>
      </c>
      <c r="B2529" t="s">
        <v>85</v>
      </c>
      <c r="C2529" s="9">
        <v>46243</v>
      </c>
      <c r="D2529" s="10">
        <v>35493</v>
      </c>
    </row>
    <row r="2530" spans="1:4">
      <c r="A2530" t="s">
        <v>9</v>
      </c>
      <c r="B2530" t="s">
        <v>240</v>
      </c>
      <c r="C2530" s="9">
        <v>46243</v>
      </c>
      <c r="D2530" s="10">
        <v>36753</v>
      </c>
    </row>
    <row r="2531" spans="1:4">
      <c r="A2531" t="s">
        <v>5</v>
      </c>
      <c r="B2531" t="s">
        <v>62</v>
      </c>
      <c r="C2531" s="9">
        <v>46243</v>
      </c>
      <c r="D2531" s="10">
        <v>40841</v>
      </c>
    </row>
    <row r="2532" spans="1:4">
      <c r="A2532" t="s">
        <v>5</v>
      </c>
      <c r="B2532" t="s">
        <v>293</v>
      </c>
      <c r="C2532" s="9">
        <v>46243</v>
      </c>
      <c r="D2532" s="10">
        <v>50777</v>
      </c>
    </row>
    <row r="2533" spans="1:4">
      <c r="A2533" t="s">
        <v>5</v>
      </c>
      <c r="B2533" t="s">
        <v>210</v>
      </c>
      <c r="C2533" s="9">
        <v>46243</v>
      </c>
      <c r="D2533" s="10">
        <v>47669</v>
      </c>
    </row>
    <row r="2534" spans="1:4">
      <c r="A2534" t="s">
        <v>5</v>
      </c>
      <c r="B2534" t="s">
        <v>211</v>
      </c>
      <c r="C2534" s="9">
        <v>46243</v>
      </c>
      <c r="D2534" s="10">
        <v>42006</v>
      </c>
    </row>
    <row r="2535" spans="1:4">
      <c r="A2535" t="s">
        <v>4</v>
      </c>
      <c r="B2535" t="s">
        <v>157</v>
      </c>
      <c r="C2535" s="9">
        <v>46244</v>
      </c>
      <c r="D2535" s="10">
        <v>31140</v>
      </c>
    </row>
    <row r="2536" spans="1:4">
      <c r="A2536" t="s">
        <v>4</v>
      </c>
      <c r="B2536" t="s">
        <v>158</v>
      </c>
      <c r="C2536" s="9">
        <v>46244</v>
      </c>
      <c r="D2536" s="10">
        <v>28025</v>
      </c>
    </row>
    <row r="2537" spans="1:4">
      <c r="A2537" t="s">
        <v>25</v>
      </c>
      <c r="B2537" t="s">
        <v>117</v>
      </c>
      <c r="C2537" s="9">
        <v>46244</v>
      </c>
      <c r="D2537" s="10">
        <v>14873</v>
      </c>
    </row>
    <row r="2538" spans="1:4">
      <c r="A2538" t="s">
        <v>7</v>
      </c>
      <c r="B2538" t="s">
        <v>96</v>
      </c>
      <c r="C2538" s="9">
        <v>46244</v>
      </c>
      <c r="D2538" s="10">
        <v>22485</v>
      </c>
    </row>
    <row r="2539" spans="1:4">
      <c r="A2539" t="s">
        <v>9</v>
      </c>
      <c r="B2539" t="s">
        <v>219</v>
      </c>
      <c r="C2539" s="9">
        <v>46244</v>
      </c>
      <c r="D2539" s="10">
        <v>32886</v>
      </c>
    </row>
    <row r="2540" spans="1:4">
      <c r="A2540" t="s">
        <v>9</v>
      </c>
      <c r="B2540" t="s">
        <v>219</v>
      </c>
      <c r="C2540" s="9">
        <v>46244</v>
      </c>
      <c r="D2540" s="10">
        <v>30039</v>
      </c>
    </row>
    <row r="2541" spans="1:4">
      <c r="A2541" t="s">
        <v>5</v>
      </c>
      <c r="B2541" t="s">
        <v>86</v>
      </c>
      <c r="C2541" s="9">
        <v>46244</v>
      </c>
      <c r="D2541" s="10">
        <v>36232</v>
      </c>
    </row>
    <row r="2542" spans="1:4">
      <c r="A2542" t="s">
        <v>5</v>
      </c>
      <c r="B2542" t="s">
        <v>189</v>
      </c>
      <c r="C2542" s="9">
        <v>46244</v>
      </c>
      <c r="D2542" s="10">
        <v>41768</v>
      </c>
    </row>
    <row r="2543" spans="1:4">
      <c r="A2543" t="s">
        <v>5</v>
      </c>
      <c r="B2543" t="s">
        <v>71</v>
      </c>
      <c r="C2543" s="9">
        <v>46244</v>
      </c>
      <c r="D2543" s="10">
        <v>38991</v>
      </c>
    </row>
    <row r="2544" spans="1:4">
      <c r="A2544" t="s">
        <v>5</v>
      </c>
      <c r="B2544" t="s">
        <v>159</v>
      </c>
      <c r="C2544" s="9">
        <v>46244</v>
      </c>
      <c r="D2544" s="10">
        <v>30135</v>
      </c>
    </row>
    <row r="2545" spans="1:4">
      <c r="A2545" t="s">
        <v>4</v>
      </c>
      <c r="B2545" t="s">
        <v>213</v>
      </c>
      <c r="C2545" s="9">
        <v>46245</v>
      </c>
      <c r="D2545" s="10">
        <v>34099</v>
      </c>
    </row>
    <row r="2546" spans="1:4">
      <c r="A2546" t="s">
        <v>8</v>
      </c>
      <c r="B2546" t="s">
        <v>65</v>
      </c>
      <c r="C2546" s="9">
        <v>46245</v>
      </c>
      <c r="D2546" s="10">
        <v>17094</v>
      </c>
    </row>
    <row r="2547" spans="1:4">
      <c r="A2547" t="s">
        <v>32</v>
      </c>
      <c r="B2547" t="s">
        <v>266</v>
      </c>
      <c r="C2547" s="9">
        <v>46245</v>
      </c>
      <c r="D2547" s="10">
        <v>12552</v>
      </c>
    </row>
    <row r="2548" spans="1:4">
      <c r="A2548" t="s">
        <v>7</v>
      </c>
      <c r="B2548" t="s">
        <v>165</v>
      </c>
      <c r="C2548" s="9">
        <v>46245</v>
      </c>
      <c r="D2548" s="10">
        <v>25557</v>
      </c>
    </row>
    <row r="2549" spans="1:4">
      <c r="A2549" t="s">
        <v>9</v>
      </c>
      <c r="B2549" t="s">
        <v>185</v>
      </c>
      <c r="C2549" s="9">
        <v>46245</v>
      </c>
      <c r="D2549" s="10">
        <v>39343</v>
      </c>
    </row>
    <row r="2550" spans="1:4">
      <c r="A2550" t="s">
        <v>5</v>
      </c>
      <c r="B2550" t="s">
        <v>69</v>
      </c>
      <c r="C2550" s="9">
        <v>46245</v>
      </c>
      <c r="D2550" s="10">
        <v>35894</v>
      </c>
    </row>
    <row r="2551" spans="1:4">
      <c r="A2551" t="s">
        <v>5</v>
      </c>
      <c r="B2551" t="s">
        <v>148</v>
      </c>
      <c r="C2551" s="9">
        <v>46245</v>
      </c>
      <c r="D2551" s="10">
        <v>28385</v>
      </c>
    </row>
    <row r="2552" spans="1:4">
      <c r="A2552" t="s">
        <v>5</v>
      </c>
      <c r="B2552" t="s">
        <v>102</v>
      </c>
      <c r="C2552" s="9">
        <v>46245</v>
      </c>
      <c r="D2552" s="10">
        <v>37353</v>
      </c>
    </row>
    <row r="2553" spans="1:4">
      <c r="A2553" t="s">
        <v>5</v>
      </c>
      <c r="B2553" t="s">
        <v>211</v>
      </c>
      <c r="C2553" s="9">
        <v>46245</v>
      </c>
      <c r="D2553" s="10">
        <v>49754</v>
      </c>
    </row>
    <row r="2554" spans="1:4">
      <c r="A2554" t="s">
        <v>5</v>
      </c>
      <c r="B2554" t="s">
        <v>128</v>
      </c>
      <c r="C2554" s="9">
        <v>46245</v>
      </c>
      <c r="D2554" s="10">
        <v>36555</v>
      </c>
    </row>
    <row r="2555" spans="1:4">
      <c r="A2555" t="s">
        <v>4</v>
      </c>
      <c r="B2555" t="s">
        <v>283</v>
      </c>
      <c r="C2555" s="9">
        <v>46246</v>
      </c>
      <c r="D2555" s="10">
        <v>26058</v>
      </c>
    </row>
    <row r="2556" spans="1:4">
      <c r="A2556" t="s">
        <v>4</v>
      </c>
      <c r="B2556" t="s">
        <v>116</v>
      </c>
      <c r="C2556" s="9">
        <v>46246</v>
      </c>
      <c r="D2556" s="10">
        <v>34052</v>
      </c>
    </row>
    <row r="2557" spans="1:4">
      <c r="A2557" t="s">
        <v>4</v>
      </c>
      <c r="B2557" t="s">
        <v>230</v>
      </c>
      <c r="C2557" s="9">
        <v>46246</v>
      </c>
      <c r="D2557" s="10">
        <v>34430</v>
      </c>
    </row>
    <row r="2558" spans="1:4">
      <c r="A2558" t="s">
        <v>4</v>
      </c>
      <c r="B2558" t="s">
        <v>155</v>
      </c>
      <c r="C2558" s="9">
        <v>46246</v>
      </c>
      <c r="D2558" s="10">
        <v>37151</v>
      </c>
    </row>
    <row r="2559" spans="1:4">
      <c r="A2559" t="s">
        <v>31</v>
      </c>
      <c r="B2559" t="s">
        <v>129</v>
      </c>
      <c r="C2559" s="9">
        <v>46246</v>
      </c>
      <c r="D2559" s="10">
        <v>12830</v>
      </c>
    </row>
    <row r="2560" spans="1:4">
      <c r="A2560" t="s">
        <v>25</v>
      </c>
      <c r="B2560" t="s">
        <v>161</v>
      </c>
      <c r="C2560" s="9">
        <v>46246</v>
      </c>
      <c r="D2560" s="10">
        <v>14726</v>
      </c>
    </row>
    <row r="2561" spans="1:4">
      <c r="A2561" t="s">
        <v>36</v>
      </c>
      <c r="B2561" t="s">
        <v>280</v>
      </c>
      <c r="C2561" s="9">
        <v>46246</v>
      </c>
      <c r="D2561" s="10">
        <v>16527</v>
      </c>
    </row>
    <row r="2562" spans="1:4">
      <c r="A2562" t="s">
        <v>6</v>
      </c>
      <c r="B2562" t="s">
        <v>286</v>
      </c>
      <c r="C2562" s="9">
        <v>46246</v>
      </c>
      <c r="D2562" s="10">
        <v>31619</v>
      </c>
    </row>
    <row r="2563" spans="1:4">
      <c r="A2563" t="s">
        <v>9</v>
      </c>
      <c r="B2563" t="s">
        <v>113</v>
      </c>
      <c r="C2563" s="9">
        <v>46246</v>
      </c>
      <c r="D2563" s="10">
        <v>49128</v>
      </c>
    </row>
    <row r="2564" spans="1:4">
      <c r="A2564" t="s">
        <v>5</v>
      </c>
      <c r="B2564" t="s">
        <v>59</v>
      </c>
      <c r="C2564" s="9">
        <v>46246</v>
      </c>
      <c r="D2564" s="10">
        <v>45438</v>
      </c>
    </row>
    <row r="2565" spans="1:4">
      <c r="A2565" t="s">
        <v>5</v>
      </c>
      <c r="B2565" t="s">
        <v>70</v>
      </c>
      <c r="C2565" s="9">
        <v>46246</v>
      </c>
      <c r="D2565" s="10">
        <v>45562</v>
      </c>
    </row>
    <row r="2566" spans="1:4">
      <c r="A2566" t="s">
        <v>5</v>
      </c>
      <c r="B2566" t="s">
        <v>188</v>
      </c>
      <c r="C2566" s="9">
        <v>46246</v>
      </c>
      <c r="D2566" s="10">
        <v>22103</v>
      </c>
    </row>
    <row r="2567" spans="1:4">
      <c r="A2567" t="s">
        <v>5</v>
      </c>
      <c r="B2567" t="s">
        <v>159</v>
      </c>
      <c r="C2567" s="9">
        <v>46246</v>
      </c>
      <c r="D2567" s="10">
        <v>38497</v>
      </c>
    </row>
    <row r="2568" spans="1:4">
      <c r="A2568" t="s">
        <v>5</v>
      </c>
      <c r="B2568" t="s">
        <v>87</v>
      </c>
      <c r="C2568" s="9">
        <v>46246</v>
      </c>
      <c r="D2568" s="10">
        <v>51736</v>
      </c>
    </row>
    <row r="2569" spans="1:4">
      <c r="A2569" t="s">
        <v>4</v>
      </c>
      <c r="B2569" t="s">
        <v>142</v>
      </c>
      <c r="C2569" s="9">
        <v>46247</v>
      </c>
      <c r="D2569" s="10">
        <v>12737</v>
      </c>
    </row>
    <row r="2570" spans="1:4">
      <c r="A2570" t="s">
        <v>4</v>
      </c>
      <c r="B2570" t="s">
        <v>155</v>
      </c>
      <c r="C2570" s="9">
        <v>46247</v>
      </c>
      <c r="D2570" s="10">
        <v>47422</v>
      </c>
    </row>
    <row r="2571" spans="1:4">
      <c r="A2571" t="s">
        <v>26</v>
      </c>
      <c r="B2571" t="s">
        <v>221</v>
      </c>
      <c r="C2571" s="9">
        <v>46247</v>
      </c>
      <c r="D2571" s="10">
        <v>15116</v>
      </c>
    </row>
    <row r="2572" spans="1:4">
      <c r="A2572" t="s">
        <v>32</v>
      </c>
      <c r="B2572" t="s">
        <v>206</v>
      </c>
      <c r="C2572" s="9">
        <v>46247</v>
      </c>
      <c r="D2572" s="10">
        <v>14253</v>
      </c>
    </row>
    <row r="2573" spans="1:4">
      <c r="A2573" t="s">
        <v>6</v>
      </c>
      <c r="B2573" t="s">
        <v>105</v>
      </c>
      <c r="C2573" s="9">
        <v>46247</v>
      </c>
      <c r="D2573" s="10">
        <v>26619</v>
      </c>
    </row>
    <row r="2574" spans="1:4">
      <c r="A2574" t="s">
        <v>9</v>
      </c>
      <c r="B2574" t="s">
        <v>240</v>
      </c>
      <c r="C2574" s="9">
        <v>46247</v>
      </c>
      <c r="D2574" s="10">
        <v>32850</v>
      </c>
    </row>
    <row r="2575" spans="1:4">
      <c r="A2575" t="s">
        <v>9</v>
      </c>
      <c r="B2575" t="s">
        <v>150</v>
      </c>
      <c r="C2575" s="9">
        <v>46247</v>
      </c>
      <c r="D2575" s="10">
        <v>46202</v>
      </c>
    </row>
    <row r="2576" spans="1:4">
      <c r="A2576" t="s">
        <v>9</v>
      </c>
      <c r="B2576" t="s">
        <v>181</v>
      </c>
      <c r="C2576" s="9">
        <v>46247</v>
      </c>
      <c r="D2576" s="10">
        <v>25992</v>
      </c>
    </row>
    <row r="2577" spans="1:4">
      <c r="A2577" t="s">
        <v>9</v>
      </c>
      <c r="B2577" t="s">
        <v>101</v>
      </c>
      <c r="C2577" s="9">
        <v>46247</v>
      </c>
      <c r="D2577" s="10">
        <v>32721</v>
      </c>
    </row>
    <row r="2578" spans="1:4">
      <c r="A2578" t="s">
        <v>5</v>
      </c>
      <c r="B2578" t="s">
        <v>69</v>
      </c>
      <c r="C2578" s="9">
        <v>46247</v>
      </c>
      <c r="D2578" s="10">
        <v>47808</v>
      </c>
    </row>
    <row r="2579" spans="1:4">
      <c r="A2579" t="s">
        <v>5</v>
      </c>
      <c r="B2579" t="s">
        <v>139</v>
      </c>
      <c r="C2579" s="9">
        <v>46247</v>
      </c>
      <c r="D2579" s="10">
        <v>35902</v>
      </c>
    </row>
    <row r="2580" spans="1:4">
      <c r="A2580" t="s">
        <v>5</v>
      </c>
      <c r="B2580" t="s">
        <v>87</v>
      </c>
      <c r="C2580" s="9">
        <v>46247</v>
      </c>
      <c r="D2580" s="10">
        <v>56387</v>
      </c>
    </row>
    <row r="2581" spans="1:4">
      <c r="A2581" t="s">
        <v>4</v>
      </c>
      <c r="B2581" t="s">
        <v>242</v>
      </c>
      <c r="C2581" s="9">
        <v>46248</v>
      </c>
      <c r="D2581" s="10">
        <v>23405</v>
      </c>
    </row>
    <row r="2582" spans="1:4">
      <c r="A2582" t="s">
        <v>4</v>
      </c>
      <c r="B2582" t="s">
        <v>140</v>
      </c>
      <c r="C2582" s="9">
        <v>46248</v>
      </c>
      <c r="D2582" s="10">
        <v>45291</v>
      </c>
    </row>
    <row r="2583" spans="1:4">
      <c r="A2583" t="s">
        <v>26</v>
      </c>
      <c r="B2583" t="s">
        <v>143</v>
      </c>
      <c r="C2583" s="9">
        <v>46248</v>
      </c>
      <c r="D2583" s="10">
        <v>16151</v>
      </c>
    </row>
    <row r="2584" spans="1:4">
      <c r="A2584" t="s">
        <v>26</v>
      </c>
      <c r="B2584" t="s">
        <v>271</v>
      </c>
      <c r="C2584" s="9">
        <v>46248</v>
      </c>
      <c r="D2584" s="10">
        <v>9697</v>
      </c>
    </row>
    <row r="2585" spans="1:4">
      <c r="A2585" t="s">
        <v>26</v>
      </c>
      <c r="B2585" t="s">
        <v>281</v>
      </c>
      <c r="C2585" s="9">
        <v>46248</v>
      </c>
      <c r="D2585" s="10">
        <v>28441</v>
      </c>
    </row>
    <row r="2586" spans="1:4">
      <c r="A2586" t="s">
        <v>9</v>
      </c>
      <c r="B2586" t="s">
        <v>216</v>
      </c>
      <c r="C2586" s="9">
        <v>46248</v>
      </c>
      <c r="D2586" s="10">
        <v>42309</v>
      </c>
    </row>
    <row r="2587" spans="1:4">
      <c r="A2587" t="s">
        <v>9</v>
      </c>
      <c r="B2587" t="s">
        <v>202</v>
      </c>
      <c r="C2587" s="9">
        <v>46248</v>
      </c>
      <c r="D2587" s="10">
        <v>25988</v>
      </c>
    </row>
    <row r="2588" spans="1:4">
      <c r="A2588" t="s">
        <v>5</v>
      </c>
      <c r="B2588" t="s">
        <v>102</v>
      </c>
      <c r="C2588" s="9">
        <v>46248</v>
      </c>
      <c r="D2588" s="10">
        <v>37466</v>
      </c>
    </row>
    <row r="2589" spans="1:4">
      <c r="A2589" t="s">
        <v>5</v>
      </c>
      <c r="B2589" t="s">
        <v>128</v>
      </c>
      <c r="C2589" s="9">
        <v>46248</v>
      </c>
      <c r="D2589" s="10">
        <v>38563</v>
      </c>
    </row>
    <row r="2590" spans="1:4">
      <c r="A2590" t="s">
        <v>5</v>
      </c>
      <c r="B2590" t="s">
        <v>128</v>
      </c>
      <c r="C2590" s="9">
        <v>46248</v>
      </c>
      <c r="D2590" s="10">
        <v>40400</v>
      </c>
    </row>
    <row r="2591" spans="1:4">
      <c r="A2591" t="s">
        <v>4</v>
      </c>
      <c r="B2591" t="s">
        <v>268</v>
      </c>
      <c r="C2591" s="9">
        <v>46249</v>
      </c>
      <c r="D2591" s="10">
        <v>31357</v>
      </c>
    </row>
    <row r="2592" spans="1:4">
      <c r="A2592" t="s">
        <v>25</v>
      </c>
      <c r="B2592" t="s">
        <v>218</v>
      </c>
      <c r="C2592" s="9">
        <v>46249</v>
      </c>
      <c r="D2592" s="10">
        <v>26809</v>
      </c>
    </row>
    <row r="2593" spans="1:4">
      <c r="A2593" t="s">
        <v>30</v>
      </c>
      <c r="B2593" t="s">
        <v>243</v>
      </c>
      <c r="C2593" s="9">
        <v>46249</v>
      </c>
      <c r="D2593" s="10">
        <v>13850</v>
      </c>
    </row>
    <row r="2594" spans="1:4">
      <c r="A2594" t="s">
        <v>8</v>
      </c>
      <c r="B2594" t="s">
        <v>92</v>
      </c>
      <c r="C2594" s="9">
        <v>46249</v>
      </c>
      <c r="D2594" s="10">
        <v>5200</v>
      </c>
    </row>
    <row r="2595" spans="1:4">
      <c r="A2595" t="s">
        <v>34</v>
      </c>
      <c r="B2595" t="s">
        <v>259</v>
      </c>
      <c r="C2595" s="9">
        <v>46249</v>
      </c>
      <c r="D2595" s="10">
        <v>10710</v>
      </c>
    </row>
    <row r="2596" spans="1:4">
      <c r="A2596" t="s">
        <v>29</v>
      </c>
      <c r="B2596" t="s">
        <v>227</v>
      </c>
      <c r="C2596" s="9">
        <v>46249</v>
      </c>
      <c r="D2596" s="10">
        <v>12339</v>
      </c>
    </row>
    <row r="2597" spans="1:4">
      <c r="A2597" t="s">
        <v>7</v>
      </c>
      <c r="B2597" t="s">
        <v>98</v>
      </c>
      <c r="C2597" s="9">
        <v>46249</v>
      </c>
      <c r="D2597" s="10">
        <v>49971</v>
      </c>
    </row>
    <row r="2598" spans="1:4">
      <c r="A2598" t="s">
        <v>9</v>
      </c>
      <c r="B2598" t="s">
        <v>146</v>
      </c>
      <c r="C2598" s="9">
        <v>46249</v>
      </c>
      <c r="D2598" s="10">
        <v>46981</v>
      </c>
    </row>
    <row r="2599" spans="1:4">
      <c r="A2599" t="s">
        <v>5</v>
      </c>
      <c r="B2599" t="s">
        <v>224</v>
      </c>
      <c r="C2599" s="9">
        <v>46249</v>
      </c>
      <c r="D2599" s="10">
        <v>41091</v>
      </c>
    </row>
    <row r="2600" spans="1:4">
      <c r="A2600" t="s">
        <v>5</v>
      </c>
      <c r="B2600" t="s">
        <v>167</v>
      </c>
      <c r="C2600" s="9">
        <v>46249</v>
      </c>
      <c r="D2600" s="10">
        <v>39602</v>
      </c>
    </row>
    <row r="2601" spans="1:4">
      <c r="A2601" t="s">
        <v>5</v>
      </c>
      <c r="B2601" t="s">
        <v>80</v>
      </c>
      <c r="C2601" s="9">
        <v>46249</v>
      </c>
      <c r="D2601" s="10">
        <v>35532</v>
      </c>
    </row>
    <row r="2602" spans="1:4">
      <c r="A2602" t="s">
        <v>5</v>
      </c>
      <c r="B2602" t="s">
        <v>82</v>
      </c>
      <c r="C2602" s="9">
        <v>46249</v>
      </c>
      <c r="D2602" s="10">
        <v>42248</v>
      </c>
    </row>
    <row r="2603" spans="1:4">
      <c r="A2603" t="s">
        <v>5</v>
      </c>
      <c r="B2603" t="s">
        <v>104</v>
      </c>
      <c r="C2603" s="9">
        <v>46249</v>
      </c>
      <c r="D2603" s="10">
        <v>44796</v>
      </c>
    </row>
    <row r="2604" spans="1:4">
      <c r="A2604" t="s">
        <v>5</v>
      </c>
      <c r="B2604" t="s">
        <v>88</v>
      </c>
      <c r="C2604" s="9">
        <v>46249</v>
      </c>
      <c r="D2604" s="10">
        <v>42017</v>
      </c>
    </row>
    <row r="2605" spans="1:4">
      <c r="A2605" t="s">
        <v>4</v>
      </c>
      <c r="B2605" t="s">
        <v>230</v>
      </c>
      <c r="C2605" s="9">
        <v>46250</v>
      </c>
      <c r="D2605" s="10">
        <v>30856</v>
      </c>
    </row>
    <row r="2606" spans="1:4">
      <c r="A2606" t="s">
        <v>8</v>
      </c>
      <c r="B2606" t="s">
        <v>256</v>
      </c>
      <c r="C2606" s="9">
        <v>46250</v>
      </c>
      <c r="D2606" s="10">
        <v>14765</v>
      </c>
    </row>
    <row r="2607" spans="1:4">
      <c r="A2607" t="s">
        <v>32</v>
      </c>
      <c r="B2607" t="s">
        <v>118</v>
      </c>
      <c r="C2607" s="9">
        <v>46250</v>
      </c>
      <c r="D2607" s="10">
        <v>27165</v>
      </c>
    </row>
    <row r="2608" spans="1:4">
      <c r="A2608" t="s">
        <v>6</v>
      </c>
      <c r="B2608" t="s">
        <v>83</v>
      </c>
      <c r="C2608" s="9">
        <v>46250</v>
      </c>
      <c r="D2608" s="10">
        <v>17883</v>
      </c>
    </row>
    <row r="2609" spans="1:4">
      <c r="A2609" t="s">
        <v>6</v>
      </c>
      <c r="B2609" t="s">
        <v>282</v>
      </c>
      <c r="C2609" s="9">
        <v>46250</v>
      </c>
      <c r="D2609" s="10">
        <v>17212</v>
      </c>
    </row>
    <row r="2610" spans="1:4">
      <c r="A2610" t="s">
        <v>29</v>
      </c>
      <c r="B2610" t="s">
        <v>109</v>
      </c>
      <c r="C2610" s="9">
        <v>46250</v>
      </c>
      <c r="D2610" s="10">
        <v>5370</v>
      </c>
    </row>
    <row r="2611" spans="1:4">
      <c r="A2611" t="s">
        <v>9</v>
      </c>
      <c r="B2611" t="s">
        <v>274</v>
      </c>
      <c r="C2611" s="9">
        <v>46250</v>
      </c>
      <c r="D2611" s="10">
        <v>46371</v>
      </c>
    </row>
    <row r="2612" spans="1:4">
      <c r="A2612" t="s">
        <v>9</v>
      </c>
      <c r="B2612" t="s">
        <v>134</v>
      </c>
      <c r="C2612" s="9">
        <v>46250</v>
      </c>
      <c r="D2612" s="10">
        <v>45955</v>
      </c>
    </row>
    <row r="2613" spans="1:4">
      <c r="A2613" t="s">
        <v>5</v>
      </c>
      <c r="B2613" t="s">
        <v>72</v>
      </c>
      <c r="C2613" s="9">
        <v>46250</v>
      </c>
      <c r="D2613" s="10">
        <v>57951</v>
      </c>
    </row>
    <row r="2614" spans="1:4">
      <c r="A2614" t="s">
        <v>5</v>
      </c>
      <c r="B2614" t="s">
        <v>69</v>
      </c>
      <c r="C2614" s="9">
        <v>46250</v>
      </c>
      <c r="D2614" s="10">
        <v>39882</v>
      </c>
    </row>
    <row r="2615" spans="1:4">
      <c r="A2615" t="s">
        <v>5</v>
      </c>
      <c r="B2615" t="s">
        <v>211</v>
      </c>
      <c r="C2615" s="9">
        <v>46250</v>
      </c>
      <c r="D2615" s="10">
        <v>48724</v>
      </c>
    </row>
    <row r="2616" spans="1:4">
      <c r="A2616" t="s">
        <v>5</v>
      </c>
      <c r="B2616" t="s">
        <v>140</v>
      </c>
      <c r="C2616" s="9">
        <v>46250</v>
      </c>
      <c r="D2616" s="10">
        <v>41137</v>
      </c>
    </row>
    <row r="2617" spans="1:4">
      <c r="A2617" t="s">
        <v>27</v>
      </c>
      <c r="B2617" t="s">
        <v>229</v>
      </c>
      <c r="C2617" s="9">
        <v>46251</v>
      </c>
      <c r="D2617" s="10">
        <v>15747</v>
      </c>
    </row>
    <row r="2618" spans="1:4">
      <c r="A2618" t="s">
        <v>25</v>
      </c>
      <c r="B2618" t="s">
        <v>160</v>
      </c>
      <c r="C2618" s="9">
        <v>46251</v>
      </c>
      <c r="D2618" s="10">
        <v>15294</v>
      </c>
    </row>
    <row r="2619" spans="1:4">
      <c r="A2619" t="s">
        <v>25</v>
      </c>
      <c r="B2619" t="s">
        <v>73</v>
      </c>
      <c r="C2619" s="9">
        <v>46251</v>
      </c>
      <c r="D2619" s="10">
        <v>16508</v>
      </c>
    </row>
    <row r="2620" spans="1:4">
      <c r="A2620" t="s">
        <v>28</v>
      </c>
      <c r="B2620" t="s">
        <v>131</v>
      </c>
      <c r="C2620" s="9">
        <v>46251</v>
      </c>
      <c r="D2620" s="10">
        <v>11956</v>
      </c>
    </row>
    <row r="2621" spans="1:4">
      <c r="A2621" t="s">
        <v>26</v>
      </c>
      <c r="B2621" t="s">
        <v>291</v>
      </c>
      <c r="C2621" s="9">
        <v>46251</v>
      </c>
      <c r="D2621" s="10">
        <v>15088</v>
      </c>
    </row>
    <row r="2622" spans="1:4">
      <c r="A2622" t="s">
        <v>34</v>
      </c>
      <c r="B2622" t="s">
        <v>126</v>
      </c>
      <c r="C2622" s="9">
        <v>46251</v>
      </c>
      <c r="D2622" s="10">
        <v>8480</v>
      </c>
    </row>
    <row r="2623" spans="1:4">
      <c r="A2623" t="s">
        <v>6</v>
      </c>
      <c r="B2623" t="s">
        <v>199</v>
      </c>
      <c r="C2623" s="9">
        <v>46251</v>
      </c>
      <c r="D2623" s="10">
        <v>15387</v>
      </c>
    </row>
    <row r="2624" spans="1:4">
      <c r="A2624" t="s">
        <v>6</v>
      </c>
      <c r="B2624" t="s">
        <v>75</v>
      </c>
      <c r="C2624" s="9">
        <v>46251</v>
      </c>
      <c r="D2624" s="10">
        <v>24224</v>
      </c>
    </row>
    <row r="2625" spans="1:4">
      <c r="A2625" t="s">
        <v>7</v>
      </c>
      <c r="B2625" t="s">
        <v>77</v>
      </c>
      <c r="C2625" s="9">
        <v>46251</v>
      </c>
      <c r="D2625" s="10">
        <v>19721</v>
      </c>
    </row>
    <row r="2626" spans="1:4">
      <c r="A2626" t="s">
        <v>9</v>
      </c>
      <c r="B2626" t="s">
        <v>292</v>
      </c>
      <c r="C2626" s="9">
        <v>46251</v>
      </c>
      <c r="D2626" s="10">
        <v>15192</v>
      </c>
    </row>
    <row r="2627" spans="1:4">
      <c r="A2627" t="s">
        <v>9</v>
      </c>
      <c r="B2627" t="s">
        <v>166</v>
      </c>
      <c r="C2627" s="9">
        <v>46251</v>
      </c>
      <c r="D2627" s="10">
        <v>25801</v>
      </c>
    </row>
    <row r="2628" spans="1:4">
      <c r="A2628" t="s">
        <v>5</v>
      </c>
      <c r="B2628" t="s">
        <v>71</v>
      </c>
      <c r="C2628" s="9">
        <v>46251</v>
      </c>
      <c r="D2628" s="10">
        <v>36446</v>
      </c>
    </row>
    <row r="2629" spans="1:4">
      <c r="A2629" t="s">
        <v>5</v>
      </c>
      <c r="B2629" t="s">
        <v>203</v>
      </c>
      <c r="C2629" s="9">
        <v>46251</v>
      </c>
      <c r="D2629" s="10">
        <v>39358</v>
      </c>
    </row>
    <row r="2630" spans="1:4">
      <c r="A2630" t="s">
        <v>5</v>
      </c>
      <c r="B2630" t="s">
        <v>159</v>
      </c>
      <c r="C2630" s="9">
        <v>46251</v>
      </c>
      <c r="D2630" s="10">
        <v>42401</v>
      </c>
    </row>
    <row r="2631" spans="1:4">
      <c r="A2631" t="s">
        <v>4</v>
      </c>
      <c r="B2631" t="s">
        <v>89</v>
      </c>
      <c r="C2631" s="9">
        <v>46252</v>
      </c>
      <c r="D2631" s="10">
        <v>37895</v>
      </c>
    </row>
    <row r="2632" spans="1:4">
      <c r="A2632" t="s">
        <v>31</v>
      </c>
      <c r="B2632" t="s">
        <v>64</v>
      </c>
      <c r="C2632" s="9">
        <v>46252</v>
      </c>
      <c r="D2632" s="10">
        <v>12946</v>
      </c>
    </row>
    <row r="2633" spans="1:4">
      <c r="A2633" t="s">
        <v>25</v>
      </c>
      <c r="B2633" t="s">
        <v>279</v>
      </c>
      <c r="C2633" s="9">
        <v>46252</v>
      </c>
      <c r="D2633" s="10">
        <v>17391</v>
      </c>
    </row>
    <row r="2634" spans="1:4">
      <c r="A2634" t="s">
        <v>8</v>
      </c>
      <c r="B2634" t="s">
        <v>251</v>
      </c>
      <c r="C2634" s="9">
        <v>46252</v>
      </c>
      <c r="D2634" s="10">
        <v>17960</v>
      </c>
    </row>
    <row r="2635" spans="1:4">
      <c r="A2635" t="s">
        <v>6</v>
      </c>
      <c r="B2635" t="s">
        <v>61</v>
      </c>
      <c r="C2635" s="9">
        <v>46252</v>
      </c>
      <c r="D2635" s="10">
        <v>17848</v>
      </c>
    </row>
    <row r="2636" spans="1:4">
      <c r="A2636" t="s">
        <v>29</v>
      </c>
      <c r="B2636" t="s">
        <v>152</v>
      </c>
      <c r="C2636" s="9">
        <v>46252</v>
      </c>
      <c r="D2636" s="10">
        <v>9123</v>
      </c>
    </row>
    <row r="2637" spans="1:4">
      <c r="A2637" t="s">
        <v>7</v>
      </c>
      <c r="B2637" t="s">
        <v>179</v>
      </c>
      <c r="C2637" s="9">
        <v>46252</v>
      </c>
      <c r="D2637" s="10">
        <v>53238</v>
      </c>
    </row>
    <row r="2638" spans="1:4">
      <c r="A2638" t="s">
        <v>7</v>
      </c>
      <c r="B2638" t="s">
        <v>164</v>
      </c>
      <c r="C2638" s="9">
        <v>46252</v>
      </c>
      <c r="D2638" s="10">
        <v>21683</v>
      </c>
    </row>
    <row r="2639" spans="1:4">
      <c r="A2639" t="s">
        <v>9</v>
      </c>
      <c r="B2639" t="s">
        <v>189</v>
      </c>
      <c r="C2639" s="9">
        <v>46252</v>
      </c>
      <c r="D2639" s="10">
        <v>40566</v>
      </c>
    </row>
    <row r="2640" spans="1:4">
      <c r="A2640" t="s">
        <v>9</v>
      </c>
      <c r="B2640" t="s">
        <v>101</v>
      </c>
      <c r="C2640" s="9">
        <v>46252</v>
      </c>
      <c r="D2640" s="10">
        <v>25948</v>
      </c>
    </row>
    <row r="2641" spans="1:4">
      <c r="A2641" t="s">
        <v>5</v>
      </c>
      <c r="B2641" t="s">
        <v>72</v>
      </c>
      <c r="C2641" s="9">
        <v>46252</v>
      </c>
      <c r="D2641" s="10">
        <v>59457</v>
      </c>
    </row>
    <row r="2642" spans="1:4">
      <c r="A2642" t="s">
        <v>5</v>
      </c>
      <c r="B2642" t="s">
        <v>293</v>
      </c>
      <c r="C2642" s="9">
        <v>46252</v>
      </c>
      <c r="D2642" s="10">
        <v>45011</v>
      </c>
    </row>
    <row r="2643" spans="1:4">
      <c r="A2643" t="s">
        <v>5</v>
      </c>
      <c r="B2643" t="s">
        <v>150</v>
      </c>
      <c r="C2643" s="9">
        <v>46252</v>
      </c>
      <c r="D2643" s="10">
        <v>37694</v>
      </c>
    </row>
    <row r="2644" spans="1:4">
      <c r="A2644" t="s">
        <v>5</v>
      </c>
      <c r="B2644" t="s">
        <v>87</v>
      </c>
      <c r="C2644" s="9">
        <v>46252</v>
      </c>
      <c r="D2644" s="10">
        <v>54803</v>
      </c>
    </row>
    <row r="2645" spans="1:4">
      <c r="A2645" t="s">
        <v>27</v>
      </c>
      <c r="B2645" t="s">
        <v>58</v>
      </c>
      <c r="C2645" s="9">
        <v>46253</v>
      </c>
      <c r="D2645" s="10">
        <v>28916</v>
      </c>
    </row>
    <row r="2646" spans="1:4">
      <c r="A2646" t="s">
        <v>4</v>
      </c>
      <c r="B2646" t="s">
        <v>214</v>
      </c>
      <c r="C2646" s="9">
        <v>46253</v>
      </c>
      <c r="D2646" s="10">
        <v>13961</v>
      </c>
    </row>
    <row r="2647" spans="1:4">
      <c r="A2647" t="s">
        <v>4</v>
      </c>
      <c r="B2647" t="s">
        <v>278</v>
      </c>
      <c r="C2647" s="9">
        <v>46253</v>
      </c>
      <c r="D2647" s="10">
        <v>41765</v>
      </c>
    </row>
    <row r="2648" spans="1:4">
      <c r="A2648" t="s">
        <v>25</v>
      </c>
      <c r="B2648" t="s">
        <v>205</v>
      </c>
      <c r="C2648" s="9">
        <v>46253</v>
      </c>
      <c r="D2648" s="10">
        <v>13480</v>
      </c>
    </row>
    <row r="2649" spans="1:4">
      <c r="A2649" t="s">
        <v>26</v>
      </c>
      <c r="B2649" t="s">
        <v>162</v>
      </c>
      <c r="C2649" s="9">
        <v>46253</v>
      </c>
      <c r="D2649" s="10">
        <v>19991</v>
      </c>
    </row>
    <row r="2650" spans="1:4">
      <c r="A2650" t="s">
        <v>8</v>
      </c>
      <c r="B2650" t="s">
        <v>132</v>
      </c>
      <c r="C2650" s="9">
        <v>46253</v>
      </c>
      <c r="D2650" s="10">
        <v>21287</v>
      </c>
    </row>
    <row r="2651" spans="1:4">
      <c r="A2651" t="s">
        <v>32</v>
      </c>
      <c r="B2651" t="s">
        <v>145</v>
      </c>
      <c r="C2651" s="9">
        <v>46253</v>
      </c>
      <c r="D2651" s="10">
        <v>10256</v>
      </c>
    </row>
    <row r="2652" spans="1:4">
      <c r="A2652" t="s">
        <v>33</v>
      </c>
      <c r="B2652" t="s">
        <v>267</v>
      </c>
      <c r="C2652" s="9">
        <v>46253</v>
      </c>
      <c r="D2652" s="10">
        <v>8946</v>
      </c>
    </row>
    <row r="2653" spans="1:4">
      <c r="A2653" t="s">
        <v>7</v>
      </c>
      <c r="B2653" t="s">
        <v>78</v>
      </c>
      <c r="C2653" s="9">
        <v>46253</v>
      </c>
      <c r="D2653" s="10">
        <v>23429</v>
      </c>
    </row>
    <row r="2654" spans="1:4">
      <c r="A2654" t="s">
        <v>9</v>
      </c>
      <c r="B2654" t="s">
        <v>137</v>
      </c>
      <c r="C2654" s="9">
        <v>46253</v>
      </c>
      <c r="D2654" s="10">
        <v>11028</v>
      </c>
    </row>
    <row r="2655" spans="1:4">
      <c r="A2655" t="s">
        <v>9</v>
      </c>
      <c r="B2655" t="s">
        <v>106</v>
      </c>
      <c r="C2655" s="9">
        <v>46253</v>
      </c>
      <c r="D2655" s="10">
        <v>55957</v>
      </c>
    </row>
    <row r="2656" spans="1:4">
      <c r="A2656" t="s">
        <v>5</v>
      </c>
      <c r="B2656" t="s">
        <v>187</v>
      </c>
      <c r="C2656" s="9">
        <v>46253</v>
      </c>
      <c r="D2656" s="10">
        <v>42280</v>
      </c>
    </row>
    <row r="2657" spans="1:4">
      <c r="A2657" t="s">
        <v>5</v>
      </c>
      <c r="B2657" t="s">
        <v>147</v>
      </c>
      <c r="C2657" s="9">
        <v>46253</v>
      </c>
      <c r="D2657" s="10">
        <v>43314</v>
      </c>
    </row>
    <row r="2658" spans="1:4">
      <c r="A2658" t="s">
        <v>5</v>
      </c>
      <c r="B2658" t="s">
        <v>293</v>
      </c>
      <c r="C2658" s="9">
        <v>46253</v>
      </c>
      <c r="D2658" s="10">
        <v>35648</v>
      </c>
    </row>
    <row r="2659" spans="1:4">
      <c r="A2659" t="s">
        <v>5</v>
      </c>
      <c r="B2659" t="s">
        <v>87</v>
      </c>
      <c r="C2659" s="9">
        <v>46253</v>
      </c>
      <c r="D2659" s="10">
        <v>52737</v>
      </c>
    </row>
    <row r="2660" spans="1:4">
      <c r="A2660" t="s">
        <v>5</v>
      </c>
      <c r="B2660" t="s">
        <v>140</v>
      </c>
      <c r="C2660" s="9">
        <v>46253</v>
      </c>
      <c r="D2660" s="10">
        <v>46903</v>
      </c>
    </row>
    <row r="2661" spans="1:4">
      <c r="A2661" t="s">
        <v>28</v>
      </c>
      <c r="B2661" t="s">
        <v>270</v>
      </c>
      <c r="C2661" s="9">
        <v>46254</v>
      </c>
      <c r="D2661" s="10">
        <v>9620</v>
      </c>
    </row>
    <row r="2662" spans="1:4">
      <c r="A2662" t="s">
        <v>8</v>
      </c>
      <c r="B2662" t="s">
        <v>66</v>
      </c>
      <c r="C2662" s="9">
        <v>46254</v>
      </c>
      <c r="D2662" s="10">
        <v>15364</v>
      </c>
    </row>
    <row r="2663" spans="1:4">
      <c r="A2663" t="s">
        <v>6</v>
      </c>
      <c r="B2663" t="s">
        <v>284</v>
      </c>
      <c r="C2663" s="9">
        <v>46254</v>
      </c>
      <c r="D2663" s="10">
        <v>12241</v>
      </c>
    </row>
    <row r="2664" spans="1:4">
      <c r="A2664" t="s">
        <v>6</v>
      </c>
      <c r="B2664" t="s">
        <v>172</v>
      </c>
      <c r="C2664" s="9">
        <v>46254</v>
      </c>
      <c r="D2664" s="10">
        <v>19329</v>
      </c>
    </row>
    <row r="2665" spans="1:4">
      <c r="A2665" t="s">
        <v>29</v>
      </c>
      <c r="B2665" t="s">
        <v>254</v>
      </c>
      <c r="C2665" s="9">
        <v>46254</v>
      </c>
      <c r="D2665" s="10">
        <v>15679</v>
      </c>
    </row>
    <row r="2666" spans="1:4">
      <c r="A2666" t="s">
        <v>29</v>
      </c>
      <c r="B2666" t="s">
        <v>84</v>
      </c>
      <c r="C2666" s="9">
        <v>46254</v>
      </c>
      <c r="D2666" s="10">
        <v>14596</v>
      </c>
    </row>
    <row r="2667" spans="1:4">
      <c r="A2667" t="s">
        <v>7</v>
      </c>
      <c r="B2667" t="s">
        <v>255</v>
      </c>
      <c r="C2667" s="9">
        <v>46254</v>
      </c>
      <c r="D2667" s="10">
        <v>25113</v>
      </c>
    </row>
    <row r="2668" spans="1:4">
      <c r="A2668" t="s">
        <v>7</v>
      </c>
      <c r="B2668" t="s">
        <v>153</v>
      </c>
      <c r="C2668" s="9">
        <v>46254</v>
      </c>
      <c r="D2668" s="10">
        <v>26465</v>
      </c>
    </row>
    <row r="2669" spans="1:4">
      <c r="A2669" t="s">
        <v>37</v>
      </c>
      <c r="B2669" t="s">
        <v>186</v>
      </c>
      <c r="C2669" s="9">
        <v>46254</v>
      </c>
      <c r="D2669" s="10">
        <v>13086</v>
      </c>
    </row>
    <row r="2670" spans="1:4">
      <c r="A2670" t="s">
        <v>5</v>
      </c>
      <c r="B2670" t="s">
        <v>168</v>
      </c>
      <c r="C2670" s="9">
        <v>46254</v>
      </c>
      <c r="D2670" s="10">
        <v>47343</v>
      </c>
    </row>
    <row r="2671" spans="1:4">
      <c r="A2671" t="s">
        <v>5</v>
      </c>
      <c r="B2671" t="s">
        <v>81</v>
      </c>
      <c r="C2671" s="9">
        <v>46254</v>
      </c>
      <c r="D2671" s="10">
        <v>36071</v>
      </c>
    </row>
    <row r="2672" spans="1:4">
      <c r="A2672" t="s">
        <v>5</v>
      </c>
      <c r="B2672" t="s">
        <v>181</v>
      </c>
      <c r="C2672" s="9">
        <v>46254</v>
      </c>
      <c r="D2672" s="10">
        <v>31323</v>
      </c>
    </row>
    <row r="2673" spans="1:4">
      <c r="A2673" t="s">
        <v>5</v>
      </c>
      <c r="B2673" t="s">
        <v>103</v>
      </c>
      <c r="C2673" s="9">
        <v>46254</v>
      </c>
      <c r="D2673" s="10">
        <v>43872</v>
      </c>
    </row>
    <row r="2674" spans="1:4">
      <c r="A2674" t="s">
        <v>4</v>
      </c>
      <c r="B2674" t="s">
        <v>226</v>
      </c>
      <c r="C2674" s="9">
        <v>46255</v>
      </c>
      <c r="D2674" s="10">
        <v>8803</v>
      </c>
    </row>
    <row r="2675" spans="1:4">
      <c r="A2675" t="s">
        <v>8</v>
      </c>
      <c r="B2675" t="s">
        <v>93</v>
      </c>
      <c r="C2675" s="9">
        <v>46255</v>
      </c>
      <c r="D2675" s="10">
        <v>17833</v>
      </c>
    </row>
    <row r="2676" spans="1:4">
      <c r="A2676" t="s">
        <v>9</v>
      </c>
      <c r="B2676" t="s">
        <v>85</v>
      </c>
      <c r="C2676" s="9">
        <v>46255</v>
      </c>
      <c r="D2676" s="10">
        <v>31261</v>
      </c>
    </row>
    <row r="2677" spans="1:4">
      <c r="A2677" t="s">
        <v>9</v>
      </c>
      <c r="B2677" t="s">
        <v>223</v>
      </c>
      <c r="C2677" s="9">
        <v>46255</v>
      </c>
      <c r="D2677" s="10">
        <v>35359</v>
      </c>
    </row>
    <row r="2678" spans="1:4">
      <c r="A2678" t="s">
        <v>9</v>
      </c>
      <c r="B2678" t="s">
        <v>234</v>
      </c>
      <c r="C2678" s="9">
        <v>46255</v>
      </c>
      <c r="D2678" s="10">
        <v>47116</v>
      </c>
    </row>
    <row r="2679" spans="1:4">
      <c r="A2679" t="s">
        <v>9</v>
      </c>
      <c r="B2679" t="s">
        <v>79</v>
      </c>
      <c r="C2679" s="9">
        <v>46255</v>
      </c>
      <c r="D2679" s="10">
        <v>32962</v>
      </c>
    </row>
    <row r="2680" spans="1:4">
      <c r="A2680" t="s">
        <v>5</v>
      </c>
      <c r="B2680" t="s">
        <v>187</v>
      </c>
      <c r="C2680" s="9">
        <v>46255</v>
      </c>
      <c r="D2680" s="10">
        <v>39490</v>
      </c>
    </row>
    <row r="2681" spans="1:4">
      <c r="A2681" t="s">
        <v>5</v>
      </c>
      <c r="B2681" t="s">
        <v>62</v>
      </c>
      <c r="C2681" s="9">
        <v>46255</v>
      </c>
      <c r="D2681" s="10">
        <v>40249</v>
      </c>
    </row>
    <row r="2682" spans="1:4">
      <c r="A2682" t="s">
        <v>5</v>
      </c>
      <c r="B2682" t="s">
        <v>210</v>
      </c>
      <c r="C2682" s="9">
        <v>46255</v>
      </c>
      <c r="D2682" s="10">
        <v>60299</v>
      </c>
    </row>
    <row r="2683" spans="1:4">
      <c r="A2683" t="s">
        <v>5</v>
      </c>
      <c r="B2683" t="s">
        <v>203</v>
      </c>
      <c r="C2683" s="9">
        <v>46255</v>
      </c>
      <c r="D2683" s="10">
        <v>34186</v>
      </c>
    </row>
    <row r="2684" spans="1:4">
      <c r="A2684" t="s">
        <v>5</v>
      </c>
      <c r="B2684" t="s">
        <v>87</v>
      </c>
      <c r="C2684" s="9">
        <v>46255</v>
      </c>
      <c r="D2684" s="10">
        <v>44926</v>
      </c>
    </row>
    <row r="2685" spans="1:4">
      <c r="A2685" t="s">
        <v>5</v>
      </c>
      <c r="B2685" t="s">
        <v>103</v>
      </c>
      <c r="C2685" s="9">
        <v>46255</v>
      </c>
      <c r="D2685" s="10">
        <v>32033</v>
      </c>
    </row>
    <row r="2686" spans="1:4">
      <c r="A2686" t="s">
        <v>5</v>
      </c>
      <c r="B2686" t="s">
        <v>156</v>
      </c>
      <c r="C2686" s="9">
        <v>46255</v>
      </c>
      <c r="D2686" s="10">
        <v>48843</v>
      </c>
    </row>
    <row r="2687" spans="1:4">
      <c r="A2687" t="s">
        <v>27</v>
      </c>
      <c r="B2687" t="s">
        <v>217</v>
      </c>
      <c r="C2687" s="9">
        <v>46256</v>
      </c>
      <c r="D2687" s="10">
        <v>14606</v>
      </c>
    </row>
    <row r="2688" spans="1:4">
      <c r="A2688" t="s">
        <v>31</v>
      </c>
      <c r="B2688" t="s">
        <v>130</v>
      </c>
      <c r="C2688" s="9">
        <v>46256</v>
      </c>
      <c r="D2688" s="10">
        <v>8023</v>
      </c>
    </row>
    <row r="2689" spans="1:4">
      <c r="A2689" t="s">
        <v>31</v>
      </c>
      <c r="B2689" t="s">
        <v>107</v>
      </c>
      <c r="C2689" s="9">
        <v>46256</v>
      </c>
      <c r="D2689" s="10">
        <v>16134</v>
      </c>
    </row>
    <row r="2690" spans="1:4">
      <c r="A2690" t="s">
        <v>28</v>
      </c>
      <c r="B2690" t="s">
        <v>269</v>
      </c>
      <c r="C2690" s="9">
        <v>46256</v>
      </c>
      <c r="D2690" s="10">
        <v>10050</v>
      </c>
    </row>
    <row r="2691" spans="1:4">
      <c r="A2691" t="s">
        <v>8</v>
      </c>
      <c r="B2691" t="s">
        <v>170</v>
      </c>
      <c r="C2691" s="9">
        <v>46256</v>
      </c>
      <c r="D2691" s="10">
        <v>17603</v>
      </c>
    </row>
    <row r="2692" spans="1:4">
      <c r="A2692" t="s">
        <v>9</v>
      </c>
      <c r="B2692" t="s">
        <v>201</v>
      </c>
      <c r="C2692" s="9">
        <v>46256</v>
      </c>
      <c r="D2692" s="10">
        <v>35028</v>
      </c>
    </row>
    <row r="2693" spans="1:4">
      <c r="A2693" t="s">
        <v>9</v>
      </c>
      <c r="B2693" t="s">
        <v>192</v>
      </c>
      <c r="C2693" s="9">
        <v>46256</v>
      </c>
      <c r="D2693" s="10">
        <v>31477</v>
      </c>
    </row>
    <row r="2694" spans="1:4">
      <c r="A2694" t="s">
        <v>9</v>
      </c>
      <c r="B2694" t="s">
        <v>180</v>
      </c>
      <c r="C2694" s="9">
        <v>46256</v>
      </c>
      <c r="D2694" s="10">
        <v>48300</v>
      </c>
    </row>
    <row r="2695" spans="1:4">
      <c r="A2695" t="s">
        <v>9</v>
      </c>
      <c r="B2695" t="s">
        <v>246</v>
      </c>
      <c r="C2695" s="9">
        <v>46256</v>
      </c>
      <c r="D2695" s="10">
        <v>41242</v>
      </c>
    </row>
    <row r="2696" spans="1:4">
      <c r="A2696" t="s">
        <v>5</v>
      </c>
      <c r="B2696" t="s">
        <v>72</v>
      </c>
      <c r="C2696" s="9">
        <v>46256</v>
      </c>
      <c r="D2696" s="10">
        <v>40210</v>
      </c>
    </row>
    <row r="2697" spans="1:4">
      <c r="A2697" t="s">
        <v>5</v>
      </c>
      <c r="B2697" t="s">
        <v>148</v>
      </c>
      <c r="C2697" s="9">
        <v>46256</v>
      </c>
      <c r="D2697" s="10">
        <v>39831</v>
      </c>
    </row>
    <row r="2698" spans="1:4">
      <c r="A2698" t="s">
        <v>5</v>
      </c>
      <c r="B2698" t="s">
        <v>88</v>
      </c>
      <c r="C2698" s="9">
        <v>46256</v>
      </c>
      <c r="D2698" s="10">
        <v>58056</v>
      </c>
    </row>
    <row r="2699" spans="1:4">
      <c r="A2699" t="s">
        <v>27</v>
      </c>
      <c r="B2699" t="s">
        <v>141</v>
      </c>
      <c r="C2699" s="9">
        <v>46257</v>
      </c>
      <c r="D2699" s="10">
        <v>11869</v>
      </c>
    </row>
    <row r="2700" spans="1:4">
      <c r="A2700" t="s">
        <v>4</v>
      </c>
      <c r="B2700" t="s">
        <v>261</v>
      </c>
      <c r="C2700" s="9">
        <v>46257</v>
      </c>
      <c r="D2700" s="10">
        <v>9561</v>
      </c>
    </row>
    <row r="2701" spans="1:4">
      <c r="A2701" t="s">
        <v>26</v>
      </c>
      <c r="B2701" t="s">
        <v>151</v>
      </c>
      <c r="C2701" s="9">
        <v>46257</v>
      </c>
      <c r="D2701" s="10">
        <v>20312</v>
      </c>
    </row>
    <row r="2702" spans="1:4">
      <c r="A2702" t="s">
        <v>8</v>
      </c>
      <c r="B2702" t="s">
        <v>237</v>
      </c>
      <c r="C2702" s="9">
        <v>46257</v>
      </c>
      <c r="D2702" s="10">
        <v>18326</v>
      </c>
    </row>
    <row r="2703" spans="1:4">
      <c r="A2703" t="s">
        <v>9</v>
      </c>
      <c r="B2703" t="s">
        <v>120</v>
      </c>
      <c r="C2703" s="9">
        <v>46257</v>
      </c>
      <c r="D2703" s="10">
        <v>44302</v>
      </c>
    </row>
    <row r="2704" spans="1:4">
      <c r="A2704" t="s">
        <v>9</v>
      </c>
      <c r="B2704" t="s">
        <v>68</v>
      </c>
      <c r="C2704" s="9">
        <v>46257</v>
      </c>
      <c r="D2704" s="10">
        <v>20329</v>
      </c>
    </row>
    <row r="2705" spans="1:4">
      <c r="A2705" t="s">
        <v>5</v>
      </c>
      <c r="B2705" t="s">
        <v>154</v>
      </c>
      <c r="C2705" s="9">
        <v>46257</v>
      </c>
      <c r="D2705" s="10">
        <v>59702</v>
      </c>
    </row>
    <row r="2706" spans="1:4">
      <c r="A2706" t="s">
        <v>5</v>
      </c>
      <c r="B2706" t="s">
        <v>127</v>
      </c>
      <c r="C2706" s="9">
        <v>46257</v>
      </c>
      <c r="D2706" s="10">
        <v>28617</v>
      </c>
    </row>
    <row r="2707" spans="1:4">
      <c r="A2707" t="s">
        <v>9</v>
      </c>
      <c r="B2707" t="s">
        <v>121</v>
      </c>
      <c r="C2707" s="9">
        <v>46258</v>
      </c>
      <c r="D2707" s="10">
        <v>28225</v>
      </c>
    </row>
    <row r="2708" spans="1:4">
      <c r="A2708" t="s">
        <v>9</v>
      </c>
      <c r="B2708" t="s">
        <v>138</v>
      </c>
      <c r="C2708" s="9">
        <v>46258</v>
      </c>
      <c r="D2708" s="10">
        <v>28374</v>
      </c>
    </row>
    <row r="2709" spans="1:4">
      <c r="A2709" t="s">
        <v>5</v>
      </c>
      <c r="B2709" t="s">
        <v>209</v>
      </c>
      <c r="C2709" s="9">
        <v>46258</v>
      </c>
      <c r="D2709" s="10">
        <v>18881</v>
      </c>
    </row>
    <row r="2710" spans="1:4">
      <c r="A2710" t="s">
        <v>5</v>
      </c>
      <c r="B2710" t="s">
        <v>167</v>
      </c>
      <c r="C2710" s="9">
        <v>46258</v>
      </c>
      <c r="D2710" s="10">
        <v>38747</v>
      </c>
    </row>
    <row r="2711" spans="1:4">
      <c r="A2711" t="s">
        <v>5</v>
      </c>
      <c r="B2711" t="s">
        <v>70</v>
      </c>
      <c r="C2711" s="9">
        <v>46258</v>
      </c>
      <c r="D2711" s="10">
        <v>54522</v>
      </c>
    </row>
    <row r="2712" spans="1:4">
      <c r="A2712" t="s">
        <v>5</v>
      </c>
      <c r="B2712" t="s">
        <v>210</v>
      </c>
      <c r="C2712" s="9">
        <v>46258</v>
      </c>
      <c r="D2712" s="10">
        <v>38535</v>
      </c>
    </row>
    <row r="2713" spans="1:4">
      <c r="A2713" t="s">
        <v>5</v>
      </c>
      <c r="B2713" t="s">
        <v>106</v>
      </c>
      <c r="C2713" s="9">
        <v>46258</v>
      </c>
      <c r="D2713" s="10">
        <v>36543</v>
      </c>
    </row>
    <row r="2714" spans="1:4">
      <c r="A2714" t="s">
        <v>5</v>
      </c>
      <c r="B2714" t="s">
        <v>88</v>
      </c>
      <c r="C2714" s="9">
        <v>46258</v>
      </c>
      <c r="D2714" s="10">
        <v>54192</v>
      </c>
    </row>
    <row r="2715" spans="1:4">
      <c r="A2715" t="s">
        <v>4</v>
      </c>
      <c r="B2715" t="s">
        <v>194</v>
      </c>
      <c r="C2715" s="9">
        <v>46259</v>
      </c>
      <c r="D2715" s="10">
        <v>29565</v>
      </c>
    </row>
    <row r="2716" spans="1:4">
      <c r="A2716" t="s">
        <v>30</v>
      </c>
      <c r="B2716" t="s">
        <v>236</v>
      </c>
      <c r="C2716" s="9">
        <v>46259</v>
      </c>
      <c r="D2716" s="10">
        <v>12794</v>
      </c>
    </row>
    <row r="2717" spans="1:4">
      <c r="A2717" t="s">
        <v>30</v>
      </c>
      <c r="B2717" t="s">
        <v>108</v>
      </c>
      <c r="C2717" s="9">
        <v>46259</v>
      </c>
      <c r="D2717" s="10">
        <v>24060</v>
      </c>
    </row>
    <row r="2718" spans="1:4">
      <c r="A2718" t="s">
        <v>6</v>
      </c>
      <c r="B2718" t="s">
        <v>178</v>
      </c>
      <c r="C2718" s="9">
        <v>46259</v>
      </c>
      <c r="D2718" s="10">
        <v>7808</v>
      </c>
    </row>
    <row r="2719" spans="1:4">
      <c r="A2719" t="s">
        <v>29</v>
      </c>
      <c r="B2719" t="s">
        <v>133</v>
      </c>
      <c r="C2719" s="9">
        <v>46259</v>
      </c>
      <c r="D2719" s="10">
        <v>16913</v>
      </c>
    </row>
    <row r="2720" spans="1:4">
      <c r="A2720" t="s">
        <v>29</v>
      </c>
      <c r="B2720" t="s">
        <v>135</v>
      </c>
      <c r="C2720" s="9">
        <v>46259</v>
      </c>
      <c r="D2720" s="10">
        <v>9610</v>
      </c>
    </row>
    <row r="2721" spans="1:4">
      <c r="A2721" t="s">
        <v>7</v>
      </c>
      <c r="B2721" t="s">
        <v>257</v>
      </c>
      <c r="C2721" s="9">
        <v>46259</v>
      </c>
      <c r="D2721" s="10">
        <v>31060</v>
      </c>
    </row>
    <row r="2722" spans="1:4">
      <c r="A2722" t="s">
        <v>9</v>
      </c>
      <c r="B2722" t="s">
        <v>262</v>
      </c>
      <c r="C2722" s="9">
        <v>46259</v>
      </c>
      <c r="D2722" s="10">
        <v>33299</v>
      </c>
    </row>
    <row r="2723" spans="1:4">
      <c r="A2723" t="s">
        <v>9</v>
      </c>
      <c r="B2723" t="s">
        <v>176</v>
      </c>
      <c r="C2723" s="9">
        <v>46259</v>
      </c>
      <c r="D2723" s="10">
        <v>42608</v>
      </c>
    </row>
    <row r="2724" spans="1:4">
      <c r="A2724" t="s">
        <v>5</v>
      </c>
      <c r="B2724" t="s">
        <v>114</v>
      </c>
      <c r="C2724" s="9">
        <v>46259</v>
      </c>
      <c r="D2724" s="10">
        <v>42223</v>
      </c>
    </row>
    <row r="2725" spans="1:4">
      <c r="A2725" t="s">
        <v>5</v>
      </c>
      <c r="B2725" t="s">
        <v>148</v>
      </c>
      <c r="C2725" s="9">
        <v>46259</v>
      </c>
      <c r="D2725" s="10">
        <v>34377</v>
      </c>
    </row>
    <row r="2726" spans="1:4">
      <c r="A2726" t="s">
        <v>5</v>
      </c>
      <c r="B2726" t="s">
        <v>102</v>
      </c>
      <c r="C2726" s="9">
        <v>46259</v>
      </c>
      <c r="D2726" s="10">
        <v>36917</v>
      </c>
    </row>
    <row r="2727" spans="1:4">
      <c r="A2727" t="s">
        <v>5</v>
      </c>
      <c r="B2727" t="s">
        <v>241</v>
      </c>
      <c r="C2727" s="9">
        <v>46259</v>
      </c>
      <c r="D2727" s="10">
        <v>43053</v>
      </c>
    </row>
    <row r="2728" spans="1:4">
      <c r="A2728" t="s">
        <v>5</v>
      </c>
      <c r="B2728" t="s">
        <v>124</v>
      </c>
      <c r="C2728" s="9">
        <v>46259</v>
      </c>
      <c r="D2728" s="10">
        <v>45607</v>
      </c>
    </row>
    <row r="2729" spans="1:4">
      <c r="A2729" t="s">
        <v>30</v>
      </c>
      <c r="B2729" t="s">
        <v>191</v>
      </c>
      <c r="C2729" s="9">
        <v>46260</v>
      </c>
      <c r="D2729" s="10">
        <v>19917</v>
      </c>
    </row>
    <row r="2730" spans="1:4">
      <c r="A2730" t="s">
        <v>8</v>
      </c>
      <c r="B2730" t="s">
        <v>196</v>
      </c>
      <c r="C2730" s="9">
        <v>46260</v>
      </c>
      <c r="D2730" s="10">
        <v>18712</v>
      </c>
    </row>
    <row r="2731" spans="1:4">
      <c r="A2731" t="s">
        <v>33</v>
      </c>
      <c r="B2731" t="s">
        <v>253</v>
      </c>
      <c r="C2731" s="9">
        <v>46260</v>
      </c>
      <c r="D2731" s="10">
        <v>13095</v>
      </c>
    </row>
    <row r="2732" spans="1:4">
      <c r="A2732" t="s">
        <v>7</v>
      </c>
      <c r="B2732" t="s">
        <v>273</v>
      </c>
      <c r="C2732" s="9">
        <v>46260</v>
      </c>
      <c r="D2732" s="10">
        <v>22730</v>
      </c>
    </row>
    <row r="2733" spans="1:4">
      <c r="A2733" t="s">
        <v>9</v>
      </c>
      <c r="B2733" t="s">
        <v>147</v>
      </c>
      <c r="C2733" s="9">
        <v>46260</v>
      </c>
      <c r="D2733" s="10">
        <v>45918</v>
      </c>
    </row>
    <row r="2734" spans="1:4">
      <c r="A2734" t="s">
        <v>9</v>
      </c>
      <c r="B2734" t="s">
        <v>67</v>
      </c>
      <c r="C2734" s="9">
        <v>46260</v>
      </c>
      <c r="D2734" s="10">
        <v>23311</v>
      </c>
    </row>
    <row r="2735" spans="1:4">
      <c r="A2735" t="s">
        <v>5</v>
      </c>
      <c r="B2735" t="s">
        <v>104</v>
      </c>
      <c r="C2735" s="9">
        <v>46260</v>
      </c>
      <c r="D2735" s="10">
        <v>45603</v>
      </c>
    </row>
    <row r="2736" spans="1:4">
      <c r="A2736" t="s">
        <v>27</v>
      </c>
      <c r="B2736" t="s">
        <v>115</v>
      </c>
      <c r="C2736" s="9">
        <v>46261</v>
      </c>
      <c r="D2736" s="10">
        <v>15456</v>
      </c>
    </row>
    <row r="2737" spans="1:4">
      <c r="A2737" t="s">
        <v>25</v>
      </c>
      <c r="B2737" t="s">
        <v>277</v>
      </c>
      <c r="C2737" s="9">
        <v>46261</v>
      </c>
      <c r="D2737" s="10">
        <v>18548</v>
      </c>
    </row>
    <row r="2738" spans="1:4">
      <c r="A2738" t="s">
        <v>8</v>
      </c>
      <c r="B2738" t="s">
        <v>233</v>
      </c>
      <c r="C2738" s="9">
        <v>46261</v>
      </c>
      <c r="D2738" s="10">
        <v>11441</v>
      </c>
    </row>
    <row r="2739" spans="1:4">
      <c r="A2739" t="s">
        <v>8</v>
      </c>
      <c r="B2739" t="s">
        <v>144</v>
      </c>
      <c r="C2739" s="9">
        <v>46261</v>
      </c>
      <c r="D2739" s="10">
        <v>32822</v>
      </c>
    </row>
    <row r="2740" spans="1:4">
      <c r="A2740" t="s">
        <v>9</v>
      </c>
      <c r="B2740" t="s">
        <v>201</v>
      </c>
      <c r="C2740" s="9">
        <v>46261</v>
      </c>
      <c r="D2740" s="10">
        <v>40825</v>
      </c>
    </row>
    <row r="2741" spans="1:4">
      <c r="A2741" t="s">
        <v>9</v>
      </c>
      <c r="B2741" t="s">
        <v>121</v>
      </c>
      <c r="C2741" s="9">
        <v>46261</v>
      </c>
      <c r="D2741" s="10">
        <v>30796</v>
      </c>
    </row>
    <row r="2742" spans="1:4">
      <c r="A2742" t="s">
        <v>9</v>
      </c>
      <c r="B2742" t="s">
        <v>100</v>
      </c>
      <c r="C2742" s="9">
        <v>46261</v>
      </c>
      <c r="D2742" s="10">
        <v>23416</v>
      </c>
    </row>
    <row r="2743" spans="1:4">
      <c r="A2743" t="s">
        <v>9</v>
      </c>
      <c r="B2743" t="s">
        <v>202</v>
      </c>
      <c r="C2743" s="9">
        <v>46261</v>
      </c>
      <c r="D2743" s="10">
        <v>35808</v>
      </c>
    </row>
    <row r="2744" spans="1:4">
      <c r="A2744" t="s">
        <v>5</v>
      </c>
      <c r="B2744" t="s">
        <v>86</v>
      </c>
      <c r="C2744" s="9">
        <v>46261</v>
      </c>
      <c r="D2744" s="10">
        <v>27012</v>
      </c>
    </row>
    <row r="2745" spans="1:4">
      <c r="A2745" t="s">
        <v>27</v>
      </c>
      <c r="B2745" t="s">
        <v>260</v>
      </c>
      <c r="C2745" s="9">
        <v>46262</v>
      </c>
      <c r="D2745" s="10">
        <v>7703</v>
      </c>
    </row>
    <row r="2746" spans="1:4">
      <c r="A2746" t="s">
        <v>4</v>
      </c>
      <c r="B2746" t="s">
        <v>193</v>
      </c>
      <c r="C2746" s="9">
        <v>46262</v>
      </c>
      <c r="D2746" s="10">
        <v>28966</v>
      </c>
    </row>
    <row r="2747" spans="1:4">
      <c r="A2747" t="s">
        <v>25</v>
      </c>
      <c r="B2747" t="s">
        <v>232</v>
      </c>
      <c r="C2747" s="9">
        <v>46262</v>
      </c>
      <c r="D2747" s="10">
        <v>5200</v>
      </c>
    </row>
    <row r="2748" spans="1:4">
      <c r="A2748" t="s">
        <v>30</v>
      </c>
      <c r="B2748" t="s">
        <v>198</v>
      </c>
      <c r="C2748" s="9">
        <v>46262</v>
      </c>
      <c r="D2748" s="10">
        <v>14082</v>
      </c>
    </row>
    <row r="2749" spans="1:4">
      <c r="A2749" t="s">
        <v>7</v>
      </c>
      <c r="B2749" t="s">
        <v>99</v>
      </c>
      <c r="C2749" s="9">
        <v>46262</v>
      </c>
      <c r="D2749" s="10">
        <v>30157</v>
      </c>
    </row>
    <row r="2750" spans="1:4">
      <c r="A2750" t="s">
        <v>9</v>
      </c>
      <c r="B2750" t="s">
        <v>121</v>
      </c>
      <c r="C2750" s="9">
        <v>46262</v>
      </c>
      <c r="D2750" s="10">
        <v>39892</v>
      </c>
    </row>
    <row r="2751" spans="1:4">
      <c r="A2751" t="s">
        <v>9</v>
      </c>
      <c r="B2751" t="s">
        <v>246</v>
      </c>
      <c r="C2751" s="9">
        <v>46262</v>
      </c>
      <c r="D2751" s="10">
        <v>53010</v>
      </c>
    </row>
    <row r="2752" spans="1:4">
      <c r="A2752" t="s">
        <v>5</v>
      </c>
      <c r="B2752" t="s">
        <v>71</v>
      </c>
      <c r="C2752" s="9">
        <v>46262</v>
      </c>
      <c r="D2752" s="10">
        <v>33435</v>
      </c>
    </row>
    <row r="2753" spans="1:4">
      <c r="A2753" t="s">
        <v>5</v>
      </c>
      <c r="B2753" t="s">
        <v>203</v>
      </c>
      <c r="C2753" s="9">
        <v>46262</v>
      </c>
      <c r="D2753" s="10">
        <v>40120</v>
      </c>
    </row>
    <row r="2754" spans="1:4">
      <c r="A2754" t="s">
        <v>5</v>
      </c>
      <c r="B2754" t="s">
        <v>104</v>
      </c>
      <c r="C2754" s="9">
        <v>46262</v>
      </c>
      <c r="D2754" s="10">
        <v>33630</v>
      </c>
    </row>
    <row r="2755" spans="1:4">
      <c r="A2755" t="s">
        <v>26</v>
      </c>
      <c r="B2755" t="s">
        <v>91</v>
      </c>
      <c r="C2755" s="9">
        <v>46263</v>
      </c>
      <c r="D2755" s="10">
        <v>11860</v>
      </c>
    </row>
    <row r="2756" spans="1:4">
      <c r="A2756" t="s">
        <v>26</v>
      </c>
      <c r="B2756" t="s">
        <v>265</v>
      </c>
      <c r="C2756" s="9">
        <v>46263</v>
      </c>
      <c r="D2756" s="10">
        <v>22812</v>
      </c>
    </row>
    <row r="2757" spans="1:4">
      <c r="A2757" t="s">
        <v>34</v>
      </c>
      <c r="B2757" t="s">
        <v>285</v>
      </c>
      <c r="C2757" s="9">
        <v>46263</v>
      </c>
      <c r="D2757" s="10">
        <v>5469</v>
      </c>
    </row>
    <row r="2758" spans="1:4">
      <c r="A2758" t="s">
        <v>9</v>
      </c>
      <c r="B2758" t="s">
        <v>228</v>
      </c>
      <c r="C2758" s="9">
        <v>46263</v>
      </c>
      <c r="D2758" s="10">
        <v>43069</v>
      </c>
    </row>
    <row r="2759" spans="1:4">
      <c r="A2759" t="s">
        <v>5</v>
      </c>
      <c r="B2759" t="s">
        <v>224</v>
      </c>
      <c r="C2759" s="9">
        <v>46263</v>
      </c>
      <c r="D2759" s="10">
        <v>36867</v>
      </c>
    </row>
    <row r="2760" spans="1:4">
      <c r="A2760" t="s">
        <v>5</v>
      </c>
      <c r="B2760" t="s">
        <v>86</v>
      </c>
      <c r="C2760" s="9">
        <v>46263</v>
      </c>
      <c r="D2760" s="10">
        <v>28447</v>
      </c>
    </row>
    <row r="2761" spans="1:4">
      <c r="A2761" t="s">
        <v>5</v>
      </c>
      <c r="B2761" t="s">
        <v>189</v>
      </c>
      <c r="C2761" s="9">
        <v>46263</v>
      </c>
      <c r="D2761" s="10">
        <v>45081</v>
      </c>
    </row>
    <row r="2762" spans="1:4">
      <c r="A2762" t="s">
        <v>5</v>
      </c>
      <c r="B2762" t="s">
        <v>87</v>
      </c>
      <c r="C2762" s="9">
        <v>46263</v>
      </c>
      <c r="D2762" s="10">
        <v>38370</v>
      </c>
    </row>
    <row r="2763" spans="1:4">
      <c r="A2763" t="s">
        <v>4</v>
      </c>
      <c r="B2763" t="s">
        <v>203</v>
      </c>
      <c r="C2763" s="9">
        <v>46264</v>
      </c>
      <c r="D2763" s="10">
        <v>36974</v>
      </c>
    </row>
    <row r="2764" spans="1:4">
      <c r="A2764" t="s">
        <v>8</v>
      </c>
      <c r="B2764" t="s">
        <v>173</v>
      </c>
      <c r="C2764" s="9">
        <v>46264</v>
      </c>
      <c r="D2764" s="10">
        <v>21647</v>
      </c>
    </row>
    <row r="2765" spans="1:4">
      <c r="A2765" t="s">
        <v>6</v>
      </c>
      <c r="B2765" t="s">
        <v>272</v>
      </c>
      <c r="C2765" s="9">
        <v>46264</v>
      </c>
      <c r="D2765" s="10">
        <v>18800</v>
      </c>
    </row>
    <row r="2766" spans="1:4">
      <c r="A2766" t="s">
        <v>6</v>
      </c>
      <c r="B2766" t="s">
        <v>207</v>
      </c>
      <c r="C2766" s="9">
        <v>46264</v>
      </c>
      <c r="D2766" s="10">
        <v>19231</v>
      </c>
    </row>
    <row r="2767" spans="1:4">
      <c r="A2767" t="s">
        <v>7</v>
      </c>
      <c r="B2767" t="s">
        <v>239</v>
      </c>
      <c r="C2767" s="9">
        <v>46264</v>
      </c>
      <c r="D2767" s="10">
        <v>29527</v>
      </c>
    </row>
    <row r="2768" spans="1:4">
      <c r="A2768" t="s">
        <v>9</v>
      </c>
      <c r="B2768" t="s">
        <v>146</v>
      </c>
      <c r="C2768" s="9">
        <v>46264</v>
      </c>
      <c r="D2768" s="10">
        <v>35962</v>
      </c>
    </row>
    <row r="2769" spans="1:4">
      <c r="A2769" t="s">
        <v>9</v>
      </c>
      <c r="B2769" t="s">
        <v>112</v>
      </c>
      <c r="C2769" s="9">
        <v>46264</v>
      </c>
      <c r="D2769" s="10">
        <v>43607</v>
      </c>
    </row>
    <row r="2770" spans="1:4">
      <c r="A2770" t="s">
        <v>9</v>
      </c>
      <c r="B2770" t="s">
        <v>103</v>
      </c>
      <c r="C2770" s="9">
        <v>46264</v>
      </c>
      <c r="D2770" s="10">
        <v>34083</v>
      </c>
    </row>
    <row r="2771" spans="1:4">
      <c r="A2771" t="s">
        <v>5</v>
      </c>
      <c r="B2771" t="s">
        <v>248</v>
      </c>
      <c r="C2771" s="9">
        <v>46264</v>
      </c>
      <c r="D2771" s="10">
        <v>40170</v>
      </c>
    </row>
    <row r="2772" spans="1:4">
      <c r="A2772" t="s">
        <v>5</v>
      </c>
      <c r="B2772" t="s">
        <v>155</v>
      </c>
      <c r="C2772" s="9">
        <v>46264</v>
      </c>
      <c r="D2772" s="10">
        <v>55397</v>
      </c>
    </row>
    <row r="2773" spans="1:4">
      <c r="A2773" t="s">
        <v>5</v>
      </c>
      <c r="B2773" t="s">
        <v>155</v>
      </c>
      <c r="C2773" s="9">
        <v>46264</v>
      </c>
      <c r="D2773" s="10">
        <v>34071</v>
      </c>
    </row>
    <row r="2774" spans="1:4">
      <c r="A2774" t="s">
        <v>4</v>
      </c>
      <c r="B2774" t="s">
        <v>263</v>
      </c>
      <c r="C2774" s="9">
        <v>46265</v>
      </c>
      <c r="D2774" s="10">
        <v>30651</v>
      </c>
    </row>
    <row r="2775" spans="1:4">
      <c r="A2775" t="s">
        <v>4</v>
      </c>
      <c r="B2775" t="s">
        <v>127</v>
      </c>
      <c r="C2775" s="9">
        <v>46265</v>
      </c>
      <c r="D2775" s="10">
        <v>29749</v>
      </c>
    </row>
    <row r="2776" spans="1:4">
      <c r="A2776" t="s">
        <v>31</v>
      </c>
      <c r="B2776" t="s">
        <v>90</v>
      </c>
      <c r="C2776" s="9">
        <v>46265</v>
      </c>
      <c r="D2776" s="10">
        <v>14283</v>
      </c>
    </row>
    <row r="2777" spans="1:4">
      <c r="A2777" t="s">
        <v>6</v>
      </c>
      <c r="B2777" t="s">
        <v>200</v>
      </c>
      <c r="C2777" s="9">
        <v>46265</v>
      </c>
      <c r="D2777" s="10">
        <v>32893</v>
      </c>
    </row>
    <row r="2778" spans="1:4">
      <c r="A2778" t="s">
        <v>7</v>
      </c>
      <c r="B2778" t="s">
        <v>76</v>
      </c>
      <c r="C2778" s="9">
        <v>46265</v>
      </c>
      <c r="D2778" s="10">
        <v>20717</v>
      </c>
    </row>
    <row r="2779" spans="1:4">
      <c r="A2779" t="s">
        <v>7</v>
      </c>
      <c r="B2779" t="s">
        <v>208</v>
      </c>
      <c r="C2779" s="9">
        <v>46265</v>
      </c>
      <c r="D2779" s="10">
        <v>28262</v>
      </c>
    </row>
    <row r="2780" spans="1:4">
      <c r="A2780" t="s">
        <v>7</v>
      </c>
      <c r="B2780" t="s">
        <v>215</v>
      </c>
      <c r="C2780" s="9">
        <v>46265</v>
      </c>
      <c r="D2780" s="10">
        <v>21018</v>
      </c>
    </row>
    <row r="2781" spans="1:4">
      <c r="A2781" t="s">
        <v>7</v>
      </c>
      <c r="B2781" t="s">
        <v>174</v>
      </c>
      <c r="C2781" s="9">
        <v>46265</v>
      </c>
      <c r="D2781" s="10">
        <v>26581</v>
      </c>
    </row>
    <row r="2782" spans="1:4">
      <c r="A2782" t="s">
        <v>9</v>
      </c>
      <c r="B2782" t="s">
        <v>138</v>
      </c>
      <c r="C2782" s="9">
        <v>46265</v>
      </c>
      <c r="D2782" s="10">
        <v>30928</v>
      </c>
    </row>
    <row r="2783" spans="1:4">
      <c r="A2783" t="s">
        <v>9</v>
      </c>
      <c r="B2783" t="s">
        <v>181</v>
      </c>
      <c r="C2783" s="9">
        <v>46265</v>
      </c>
      <c r="D2783" s="10">
        <v>37035</v>
      </c>
    </row>
    <row r="2784" spans="1:4">
      <c r="A2784" t="s">
        <v>5</v>
      </c>
      <c r="B2784" t="s">
        <v>187</v>
      </c>
      <c r="C2784" s="9">
        <v>46265</v>
      </c>
      <c r="D2784" s="10">
        <v>36756</v>
      </c>
    </row>
    <row r="2785" spans="1:4">
      <c r="A2785" t="s">
        <v>5</v>
      </c>
      <c r="B2785" t="s">
        <v>72</v>
      </c>
      <c r="C2785" s="9">
        <v>46265</v>
      </c>
      <c r="D2785" s="10">
        <v>54472</v>
      </c>
    </row>
    <row r="2786" spans="1:4">
      <c r="A2786" t="s">
        <v>5</v>
      </c>
      <c r="B2786" t="s">
        <v>104</v>
      </c>
      <c r="C2786" s="9">
        <v>46265</v>
      </c>
      <c r="D2786" s="10">
        <v>41309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76E5-807C-4BC4-9794-0BEE66ABC2F5}">
  <dimension ref="A1:AA238"/>
  <sheetViews>
    <sheetView zoomScale="82" workbookViewId="0">
      <selection activeCell="G13" sqref="G13"/>
    </sheetView>
  </sheetViews>
  <sheetFormatPr defaultRowHeight="15"/>
  <cols>
    <col min="1" max="1" width="34.7109375" customWidth="1"/>
    <col min="2" max="2" width="22" customWidth="1"/>
    <col min="3" max="3" width="9.7109375" customWidth="1"/>
    <col min="4" max="4" width="3.5703125" customWidth="1"/>
    <col min="5" max="5" width="4.140625" customWidth="1"/>
    <col min="6" max="6" width="2.5703125" customWidth="1"/>
    <col min="7" max="7" width="3.28515625" customWidth="1"/>
    <col min="8" max="8" width="9.7109375" customWidth="1"/>
    <col min="9" max="9" width="35.85546875" bestFit="1" customWidth="1"/>
    <col min="10" max="10" width="12.140625" bestFit="1" customWidth="1"/>
    <col min="11" max="12" width="6.7109375" bestFit="1" customWidth="1"/>
    <col min="13" max="13" width="10.42578125" customWidth="1"/>
    <col min="14" max="23" width="6.7109375" bestFit="1" customWidth="1"/>
    <col min="24" max="24" width="18.42578125" bestFit="1" customWidth="1"/>
    <col min="25" max="25" width="21.85546875" bestFit="1" customWidth="1"/>
    <col min="26" max="27" width="9.5703125" bestFit="1" customWidth="1"/>
    <col min="28" max="28" width="12" bestFit="1" customWidth="1"/>
    <col min="29" max="32" width="6.7109375" bestFit="1" customWidth="1"/>
    <col min="33" max="33" width="8.7109375" bestFit="1" customWidth="1"/>
    <col min="34" max="61" width="7.140625" bestFit="1" customWidth="1"/>
    <col min="62" max="62" width="9.140625" bestFit="1" customWidth="1"/>
    <col min="63" max="93" width="7.28515625" bestFit="1" customWidth="1"/>
    <col min="94" max="94" width="9.28515625" bestFit="1" customWidth="1"/>
    <col min="95" max="124" width="6.85546875" bestFit="1" customWidth="1"/>
    <col min="125" max="125" width="8.85546875" bestFit="1" customWidth="1"/>
    <col min="126" max="156" width="7.28515625" bestFit="1" customWidth="1"/>
    <col min="157" max="157" width="9.28515625" bestFit="1" customWidth="1"/>
    <col min="158" max="187" width="7.42578125" bestFit="1" customWidth="1"/>
    <col min="188" max="188" width="9.42578125" bestFit="1" customWidth="1"/>
    <col min="189" max="219" width="7.42578125" bestFit="1" customWidth="1"/>
    <col min="220" max="220" width="9.42578125" bestFit="1" customWidth="1"/>
    <col min="221" max="251" width="6.28515625" bestFit="1" customWidth="1"/>
    <col min="252" max="252" width="8.28515625" bestFit="1" customWidth="1"/>
    <col min="253" max="253" width="11.85546875" bestFit="1" customWidth="1"/>
  </cols>
  <sheetData>
    <row r="1" spans="1:27">
      <c r="A1" s="11" t="s">
        <v>294</v>
      </c>
      <c r="B1" t="s">
        <v>295</v>
      </c>
      <c r="C1" t="s">
        <v>17</v>
      </c>
      <c r="I1" t="s">
        <v>314</v>
      </c>
      <c r="J1" t="s">
        <v>313</v>
      </c>
      <c r="K1" t="s">
        <v>17</v>
      </c>
      <c r="L1" t="s">
        <v>18</v>
      </c>
      <c r="M1" t="s">
        <v>315</v>
      </c>
    </row>
    <row r="2" spans="1:27">
      <c r="A2" s="45" t="s">
        <v>217</v>
      </c>
      <c r="B2" s="46">
        <v>112219</v>
      </c>
      <c r="C2" t="str">
        <f>VLOOKUP(B2,$N$7:$O$9,2,1)</f>
        <v>C</v>
      </c>
      <c r="I2" s="12" t="s">
        <v>174</v>
      </c>
      <c r="J2" s="29">
        <v>5.0179665216321605E-2</v>
      </c>
      <c r="K2" t="s">
        <v>13</v>
      </c>
      <c r="L2" t="s">
        <v>21</v>
      </c>
      <c r="M2">
        <v>237013</v>
      </c>
      <c r="X2" s="11" t="s">
        <v>316</v>
      </c>
      <c r="Y2" s="11" t="s">
        <v>312</v>
      </c>
    </row>
    <row r="3" spans="1:27">
      <c r="A3" s="12" t="s">
        <v>272</v>
      </c>
      <c r="B3" s="13">
        <v>146994</v>
      </c>
      <c r="C3" t="str">
        <f t="shared" ref="C3:C66" si="0">VLOOKUP(B3,$N$7:$O$9,2,1)</f>
        <v>C</v>
      </c>
      <c r="I3" s="12" t="s">
        <v>113</v>
      </c>
      <c r="J3" s="29">
        <v>3.2683032265504598E-2</v>
      </c>
      <c r="K3" t="s">
        <v>13</v>
      </c>
      <c r="L3" t="s">
        <v>21</v>
      </c>
      <c r="M3">
        <v>381469</v>
      </c>
      <c r="N3" s="39">
        <v>0</v>
      </c>
      <c r="O3" s="40" t="s">
        <v>21</v>
      </c>
      <c r="X3" s="11" t="s">
        <v>294</v>
      </c>
      <c r="Y3" t="s">
        <v>21</v>
      </c>
      <c r="Z3" t="s">
        <v>20</v>
      </c>
      <c r="AA3" t="s">
        <v>19</v>
      </c>
    </row>
    <row r="4" spans="1:27">
      <c r="A4" s="12" t="s">
        <v>96</v>
      </c>
      <c r="B4" s="13">
        <v>324464</v>
      </c>
      <c r="C4" t="str">
        <f t="shared" si="0"/>
        <v>C</v>
      </c>
      <c r="I4" s="12" t="s">
        <v>168</v>
      </c>
      <c r="J4" s="29">
        <v>3.2370667650941792E-2</v>
      </c>
      <c r="K4" t="s">
        <v>13</v>
      </c>
      <c r="L4" t="s">
        <v>21</v>
      </c>
      <c r="M4">
        <v>960502</v>
      </c>
      <c r="N4" s="39">
        <v>0.1</v>
      </c>
      <c r="O4" s="40" t="s">
        <v>20</v>
      </c>
      <c r="X4" s="12" t="s">
        <v>13</v>
      </c>
      <c r="Y4" s="13">
        <v>25881222</v>
      </c>
      <c r="Z4" s="13">
        <v>20531831</v>
      </c>
      <c r="AA4" s="13">
        <v>21543171</v>
      </c>
    </row>
    <row r="5" spans="1:27">
      <c r="A5" s="12" t="s">
        <v>279</v>
      </c>
      <c r="B5" s="13">
        <v>135548</v>
      </c>
      <c r="C5" t="str">
        <f t="shared" si="0"/>
        <v>C</v>
      </c>
      <c r="I5" s="12" t="s">
        <v>219</v>
      </c>
      <c r="J5" s="29">
        <v>3.2290675452753E-2</v>
      </c>
      <c r="K5" t="s">
        <v>13</v>
      </c>
      <c r="L5" t="s">
        <v>21</v>
      </c>
      <c r="M5">
        <v>529368</v>
      </c>
      <c r="N5" s="39">
        <v>0.25</v>
      </c>
      <c r="O5" s="40" t="s">
        <v>19</v>
      </c>
      <c r="X5" s="12" t="s">
        <v>14</v>
      </c>
      <c r="Y5" s="13">
        <v>5760396</v>
      </c>
      <c r="Z5" s="13">
        <v>3180646</v>
      </c>
      <c r="AA5" s="13">
        <v>3698164</v>
      </c>
    </row>
    <row r="6" spans="1:27">
      <c r="A6" s="12" t="s">
        <v>187</v>
      </c>
      <c r="B6" s="13">
        <v>937387</v>
      </c>
      <c r="C6" t="str">
        <f t="shared" si="0"/>
        <v>C</v>
      </c>
      <c r="I6" s="12" t="s">
        <v>223</v>
      </c>
      <c r="J6" s="29">
        <v>3.139493155491286E-2</v>
      </c>
      <c r="K6" t="s">
        <v>13</v>
      </c>
      <c r="L6" t="s">
        <v>21</v>
      </c>
      <c r="M6">
        <v>464546</v>
      </c>
      <c r="X6" s="12" t="s">
        <v>15</v>
      </c>
      <c r="Y6" s="13">
        <v>1806531</v>
      </c>
      <c r="Z6" s="13">
        <v>1220142</v>
      </c>
      <c r="AA6" s="13">
        <v>1323215</v>
      </c>
    </row>
    <row r="7" spans="1:27">
      <c r="A7" s="12" t="s">
        <v>129</v>
      </c>
      <c r="B7" s="13">
        <v>104601</v>
      </c>
      <c r="C7" t="str">
        <f t="shared" si="0"/>
        <v>C</v>
      </c>
      <c r="I7" s="12" t="s">
        <v>70</v>
      </c>
      <c r="J7" s="29">
        <v>2.9651573262847557E-2</v>
      </c>
      <c r="K7" t="s">
        <v>13</v>
      </c>
      <c r="L7" t="s">
        <v>21</v>
      </c>
      <c r="M7">
        <v>1062071</v>
      </c>
      <c r="N7" s="48">
        <v>0</v>
      </c>
      <c r="O7" s="49" t="s">
        <v>13</v>
      </c>
    </row>
    <row r="8" spans="1:27">
      <c r="A8" s="12" t="s">
        <v>255</v>
      </c>
      <c r="B8" s="13">
        <v>199235</v>
      </c>
      <c r="C8" t="str">
        <f t="shared" si="0"/>
        <v>C</v>
      </c>
      <c r="I8" s="12" t="s">
        <v>189</v>
      </c>
      <c r="J8" s="29">
        <v>2.8908661645095486E-2</v>
      </c>
      <c r="K8" t="s">
        <v>13</v>
      </c>
      <c r="L8" t="s">
        <v>21</v>
      </c>
      <c r="M8">
        <v>1282910</v>
      </c>
      <c r="N8" s="48">
        <v>0.8</v>
      </c>
      <c r="O8" s="49" t="s">
        <v>14</v>
      </c>
    </row>
    <row r="9" spans="1:27">
      <c r="A9" s="12" t="s">
        <v>114</v>
      </c>
      <c r="B9" s="13">
        <v>863708</v>
      </c>
      <c r="C9" t="str">
        <f t="shared" si="0"/>
        <v>C</v>
      </c>
      <c r="I9" s="12" t="s">
        <v>59</v>
      </c>
      <c r="J9" s="29">
        <v>2.8671049767273502E-2</v>
      </c>
      <c r="K9" t="s">
        <v>13</v>
      </c>
      <c r="L9" t="s">
        <v>21</v>
      </c>
      <c r="M9">
        <v>679389</v>
      </c>
      <c r="N9" s="48">
        <v>0.95</v>
      </c>
      <c r="O9" s="50" t="s">
        <v>15</v>
      </c>
      <c r="P9" s="38"/>
    </row>
    <row r="10" spans="1:27">
      <c r="A10" s="12" t="s">
        <v>247</v>
      </c>
      <c r="B10" s="13">
        <v>268944</v>
      </c>
      <c r="C10" t="str">
        <f t="shared" si="0"/>
        <v>C</v>
      </c>
      <c r="I10" s="12" t="s">
        <v>71</v>
      </c>
      <c r="J10" s="29">
        <v>2.7690260583818765E-2</v>
      </c>
      <c r="K10" t="s">
        <v>13</v>
      </c>
      <c r="L10" t="s">
        <v>21</v>
      </c>
      <c r="M10">
        <v>906937</v>
      </c>
      <c r="O10" s="38"/>
      <c r="P10" s="38"/>
    </row>
    <row r="11" spans="1:27">
      <c r="A11" s="12" t="s">
        <v>65</v>
      </c>
      <c r="B11" s="13">
        <v>150630</v>
      </c>
      <c r="C11" t="str">
        <f t="shared" si="0"/>
        <v>C</v>
      </c>
      <c r="I11" s="12" t="s">
        <v>208</v>
      </c>
      <c r="J11" s="29">
        <v>2.733465133418533E-2</v>
      </c>
      <c r="K11" t="s">
        <v>13</v>
      </c>
      <c r="L11" t="s">
        <v>21</v>
      </c>
      <c r="M11">
        <v>233427</v>
      </c>
      <c r="O11" s="37"/>
      <c r="P11" s="38"/>
      <c r="Q11" s="38"/>
      <c r="R11" s="38"/>
      <c r="S11" s="38"/>
    </row>
    <row r="12" spans="1:27">
      <c r="A12" s="12" t="s">
        <v>264</v>
      </c>
      <c r="B12" s="13">
        <v>108319</v>
      </c>
      <c r="C12" t="str">
        <f t="shared" si="0"/>
        <v>C</v>
      </c>
      <c r="I12" s="12" t="s">
        <v>134</v>
      </c>
      <c r="J12" s="29">
        <v>2.7277073874253533E-2</v>
      </c>
      <c r="K12" t="s">
        <v>13</v>
      </c>
      <c r="L12" t="s">
        <v>21</v>
      </c>
      <c r="M12">
        <v>379393</v>
      </c>
      <c r="O12" s="37"/>
      <c r="P12" s="38"/>
      <c r="Q12" s="38"/>
      <c r="R12" s="38"/>
      <c r="S12" s="38"/>
    </row>
    <row r="13" spans="1:27">
      <c r="A13" s="12" t="s">
        <v>225</v>
      </c>
      <c r="B13" s="13">
        <v>118237</v>
      </c>
      <c r="C13" t="str">
        <f t="shared" si="0"/>
        <v>C</v>
      </c>
      <c r="I13" s="12" t="s">
        <v>274</v>
      </c>
      <c r="J13" s="29">
        <v>2.7274896236560067E-2</v>
      </c>
      <c r="K13" t="s">
        <v>13</v>
      </c>
      <c r="L13" t="s">
        <v>21</v>
      </c>
      <c r="M13">
        <v>358793</v>
      </c>
      <c r="O13" s="37"/>
      <c r="P13" s="38"/>
      <c r="Q13" s="38"/>
      <c r="R13" s="38"/>
      <c r="S13" s="38"/>
    </row>
    <row r="14" spans="1:27">
      <c r="A14" s="12" t="s">
        <v>193</v>
      </c>
      <c r="B14" s="13">
        <v>227539</v>
      </c>
      <c r="C14" t="str">
        <f t="shared" si="0"/>
        <v>C</v>
      </c>
      <c r="I14" s="12" t="s">
        <v>150</v>
      </c>
      <c r="J14" s="29">
        <v>2.7025203302557581E-2</v>
      </c>
      <c r="K14" t="s">
        <v>13</v>
      </c>
      <c r="L14" t="s">
        <v>21</v>
      </c>
      <c r="M14">
        <v>649387</v>
      </c>
      <c r="O14" s="37"/>
      <c r="P14" s="38"/>
      <c r="Q14" s="38"/>
      <c r="R14" s="38"/>
      <c r="S14" s="38"/>
    </row>
    <row r="15" spans="1:27">
      <c r="A15" s="12" t="s">
        <v>89</v>
      </c>
      <c r="B15" s="13">
        <v>256607</v>
      </c>
      <c r="C15" t="str">
        <f t="shared" si="0"/>
        <v>C</v>
      </c>
      <c r="I15" s="12" t="s">
        <v>213</v>
      </c>
      <c r="J15" s="29">
        <v>2.6915102793502E-2</v>
      </c>
      <c r="K15" t="s">
        <v>13</v>
      </c>
      <c r="L15" t="s">
        <v>21</v>
      </c>
      <c r="M15">
        <v>284206</v>
      </c>
      <c r="O15" s="37"/>
      <c r="P15" s="38"/>
      <c r="Q15" s="38"/>
      <c r="R15" s="38"/>
      <c r="S15" s="38"/>
    </row>
    <row r="16" spans="1:27">
      <c r="A16" s="12" t="s">
        <v>95</v>
      </c>
      <c r="B16" s="13">
        <v>115286</v>
      </c>
      <c r="C16" t="str">
        <f t="shared" si="0"/>
        <v>C</v>
      </c>
      <c r="I16" s="12" t="s">
        <v>268</v>
      </c>
      <c r="J16" s="29">
        <v>2.676691212673564E-2</v>
      </c>
      <c r="K16" t="s">
        <v>13</v>
      </c>
      <c r="L16" t="s">
        <v>21</v>
      </c>
      <c r="M16">
        <v>263116</v>
      </c>
      <c r="O16" s="37"/>
      <c r="P16" s="38"/>
      <c r="Q16" s="38"/>
      <c r="R16" s="38"/>
      <c r="S16" s="38"/>
    </row>
    <row r="17" spans="1:19">
      <c r="A17" s="12" t="s">
        <v>66</v>
      </c>
      <c r="B17" s="13">
        <v>126645</v>
      </c>
      <c r="C17" t="str">
        <f t="shared" si="0"/>
        <v>C</v>
      </c>
      <c r="I17" s="12" t="s">
        <v>79</v>
      </c>
      <c r="J17" s="29">
        <v>2.6666695806132703E-2</v>
      </c>
      <c r="K17" t="s">
        <v>13</v>
      </c>
      <c r="L17" t="s">
        <v>21</v>
      </c>
      <c r="M17">
        <v>538234</v>
      </c>
      <c r="O17" s="37"/>
      <c r="P17" s="38"/>
      <c r="Q17" s="38"/>
      <c r="R17" s="38"/>
      <c r="S17" s="38"/>
    </row>
    <row r="18" spans="1:19">
      <c r="A18" s="12" t="s">
        <v>207</v>
      </c>
      <c r="B18" s="13">
        <v>156719</v>
      </c>
      <c r="C18" t="str">
        <f t="shared" si="0"/>
        <v>C</v>
      </c>
      <c r="I18" s="12" t="s">
        <v>86</v>
      </c>
      <c r="J18" s="29">
        <v>2.6606715932558637E-2</v>
      </c>
      <c r="K18" t="s">
        <v>13</v>
      </c>
      <c r="L18" t="s">
        <v>21</v>
      </c>
      <c r="M18">
        <v>753833</v>
      </c>
      <c r="O18" s="38"/>
      <c r="P18" s="38"/>
      <c r="Q18" s="38"/>
      <c r="R18" s="38"/>
      <c r="S18" s="38"/>
    </row>
    <row r="19" spans="1:19">
      <c r="A19" s="12" t="s">
        <v>232</v>
      </c>
      <c r="B19" s="13">
        <v>117061</v>
      </c>
      <c r="C19" t="str">
        <f t="shared" si="0"/>
        <v>C</v>
      </c>
      <c r="I19" s="12" t="s">
        <v>158</v>
      </c>
      <c r="J19" s="29">
        <v>2.6532383745411548E-2</v>
      </c>
      <c r="K19" t="s">
        <v>13</v>
      </c>
      <c r="L19" t="s">
        <v>21</v>
      </c>
      <c r="M19">
        <v>226831</v>
      </c>
      <c r="Q19" s="38"/>
      <c r="R19" s="38"/>
      <c r="S19" s="38"/>
    </row>
    <row r="20" spans="1:19">
      <c r="A20" s="12" t="s">
        <v>85</v>
      </c>
      <c r="B20" s="13">
        <v>530337</v>
      </c>
      <c r="C20" t="str">
        <f t="shared" si="0"/>
        <v>C</v>
      </c>
      <c r="I20" s="12" t="s">
        <v>167</v>
      </c>
      <c r="J20" s="29">
        <v>2.6505174395900419E-2</v>
      </c>
      <c r="K20" t="s">
        <v>13</v>
      </c>
      <c r="L20" t="s">
        <v>21</v>
      </c>
      <c r="M20">
        <v>831294</v>
      </c>
      <c r="Q20" s="38"/>
      <c r="R20" s="38"/>
    </row>
    <row r="21" spans="1:19">
      <c r="A21" s="12" t="s">
        <v>143</v>
      </c>
      <c r="B21" s="13">
        <v>132097</v>
      </c>
      <c r="C21" t="str">
        <f t="shared" si="0"/>
        <v>C</v>
      </c>
      <c r="I21" s="12" t="s">
        <v>101</v>
      </c>
      <c r="J21" s="29">
        <v>2.6163177744783859E-2</v>
      </c>
      <c r="K21" t="s">
        <v>13</v>
      </c>
      <c r="L21" t="s">
        <v>21</v>
      </c>
      <c r="M21">
        <v>473153</v>
      </c>
    </row>
    <row r="22" spans="1:19">
      <c r="A22" s="12" t="s">
        <v>160</v>
      </c>
      <c r="B22" s="13">
        <v>126446</v>
      </c>
      <c r="C22" t="str">
        <f t="shared" si="0"/>
        <v>C</v>
      </c>
      <c r="I22" s="12" t="s">
        <v>148</v>
      </c>
      <c r="J22" s="29">
        <v>2.5960333606931497E-2</v>
      </c>
      <c r="K22" t="s">
        <v>13</v>
      </c>
      <c r="L22" t="s">
        <v>21</v>
      </c>
      <c r="M22">
        <v>1000062</v>
      </c>
    </row>
    <row r="23" spans="1:19">
      <c r="A23" s="12" t="s">
        <v>62</v>
      </c>
      <c r="B23" s="13">
        <v>962420</v>
      </c>
      <c r="C23" t="str">
        <f t="shared" si="0"/>
        <v>C</v>
      </c>
      <c r="I23" s="12" t="s">
        <v>258</v>
      </c>
      <c r="J23" s="29">
        <v>2.5645284355898707E-2</v>
      </c>
      <c r="K23" t="s">
        <v>13</v>
      </c>
      <c r="L23" t="s">
        <v>21</v>
      </c>
      <c r="M23">
        <v>606145</v>
      </c>
    </row>
    <row r="24" spans="1:19">
      <c r="A24" s="12" t="s">
        <v>233</v>
      </c>
      <c r="B24" s="13">
        <v>143051</v>
      </c>
      <c r="C24" t="str">
        <f t="shared" si="0"/>
        <v>C</v>
      </c>
      <c r="I24" s="12" t="s">
        <v>88</v>
      </c>
      <c r="J24" s="29">
        <v>2.5629070920481844E-2</v>
      </c>
      <c r="K24" t="s">
        <v>13</v>
      </c>
      <c r="L24" t="s">
        <v>21</v>
      </c>
      <c r="M24">
        <v>1216269</v>
      </c>
    </row>
    <row r="25" spans="1:19">
      <c r="A25" s="12" t="s">
        <v>236</v>
      </c>
      <c r="B25" s="13">
        <v>99682</v>
      </c>
      <c r="C25" t="str">
        <f t="shared" si="0"/>
        <v>C</v>
      </c>
      <c r="I25" s="12" t="s">
        <v>57</v>
      </c>
      <c r="J25" s="29">
        <v>2.4898003586854078E-2</v>
      </c>
      <c r="K25" t="s">
        <v>13</v>
      </c>
      <c r="L25" t="s">
        <v>21</v>
      </c>
      <c r="M25">
        <v>320569</v>
      </c>
    </row>
    <row r="26" spans="1:19">
      <c r="A26" s="12" t="s">
        <v>209</v>
      </c>
      <c r="B26" s="13">
        <v>783599</v>
      </c>
      <c r="C26" t="str">
        <f t="shared" si="0"/>
        <v>C</v>
      </c>
      <c r="I26" s="12" t="s">
        <v>263</v>
      </c>
      <c r="J26" s="29">
        <v>2.4604095645945991E-2</v>
      </c>
      <c r="K26" t="s">
        <v>13</v>
      </c>
      <c r="L26" t="s">
        <v>21</v>
      </c>
      <c r="M26">
        <v>251685</v>
      </c>
    </row>
    <row r="27" spans="1:19">
      <c r="A27" s="12" t="s">
        <v>108</v>
      </c>
      <c r="B27" s="13">
        <v>118709</v>
      </c>
      <c r="C27" t="str">
        <f t="shared" si="0"/>
        <v>C</v>
      </c>
      <c r="I27" s="12" t="s">
        <v>216</v>
      </c>
      <c r="J27" s="29">
        <v>2.4388490193769277E-2</v>
      </c>
      <c r="K27" t="s">
        <v>13</v>
      </c>
      <c r="L27" t="s">
        <v>21</v>
      </c>
      <c r="M27">
        <v>339574</v>
      </c>
    </row>
    <row r="28" spans="1:19">
      <c r="A28" s="12" t="s">
        <v>157</v>
      </c>
      <c r="B28" s="13">
        <v>356962</v>
      </c>
      <c r="C28" t="str">
        <f t="shared" si="0"/>
        <v>C</v>
      </c>
      <c r="I28" s="12" t="s">
        <v>69</v>
      </c>
      <c r="J28" s="29">
        <v>2.425696742312991E-2</v>
      </c>
      <c r="K28" t="s">
        <v>13</v>
      </c>
      <c r="L28" t="s">
        <v>21</v>
      </c>
      <c r="M28">
        <v>1011973</v>
      </c>
    </row>
    <row r="29" spans="1:19">
      <c r="A29" s="12" t="s">
        <v>266</v>
      </c>
      <c r="B29" s="13">
        <v>98661</v>
      </c>
      <c r="C29" t="str">
        <f t="shared" si="0"/>
        <v>C</v>
      </c>
      <c r="I29" s="12" t="s">
        <v>166</v>
      </c>
      <c r="J29" s="29">
        <v>2.3798362972012297E-2</v>
      </c>
      <c r="K29" t="s">
        <v>13</v>
      </c>
      <c r="L29" t="s">
        <v>21</v>
      </c>
      <c r="M29">
        <v>485054</v>
      </c>
    </row>
    <row r="30" spans="1:19">
      <c r="A30" s="12" t="s">
        <v>131</v>
      </c>
      <c r="B30" s="13">
        <v>96997</v>
      </c>
      <c r="C30" t="str">
        <f t="shared" si="0"/>
        <v>C</v>
      </c>
      <c r="I30" s="12" t="s">
        <v>187</v>
      </c>
      <c r="J30" s="29">
        <v>2.2458130628014116E-2</v>
      </c>
      <c r="K30" t="s">
        <v>13</v>
      </c>
      <c r="L30" t="s">
        <v>21</v>
      </c>
      <c r="M30">
        <v>937387</v>
      </c>
    </row>
    <row r="31" spans="1:19">
      <c r="A31" s="12" t="s">
        <v>226</v>
      </c>
      <c r="B31" s="13">
        <v>280949</v>
      </c>
      <c r="C31" t="str">
        <f t="shared" si="0"/>
        <v>C</v>
      </c>
      <c r="I31" s="12" t="s">
        <v>241</v>
      </c>
      <c r="J31" s="29">
        <v>2.2249001179116133E-2</v>
      </c>
      <c r="K31" t="s">
        <v>13</v>
      </c>
      <c r="L31" t="s">
        <v>21</v>
      </c>
      <c r="M31">
        <v>651801</v>
      </c>
    </row>
    <row r="32" spans="1:19">
      <c r="A32" s="12" t="s">
        <v>290</v>
      </c>
      <c r="B32" s="13">
        <v>106517</v>
      </c>
      <c r="C32" t="str">
        <f t="shared" si="0"/>
        <v>C</v>
      </c>
      <c r="I32" s="12" t="s">
        <v>146</v>
      </c>
      <c r="J32" s="29">
        <v>2.2124374638434356E-2</v>
      </c>
      <c r="K32" t="s">
        <v>13</v>
      </c>
      <c r="L32" t="s">
        <v>21</v>
      </c>
      <c r="M32">
        <v>637566</v>
      </c>
    </row>
    <row r="33" spans="1:13">
      <c r="A33" s="12" t="s">
        <v>283</v>
      </c>
      <c r="B33" s="13">
        <v>270573</v>
      </c>
      <c r="C33" t="str">
        <f t="shared" si="0"/>
        <v>C</v>
      </c>
      <c r="I33" s="12" t="s">
        <v>193</v>
      </c>
      <c r="J33" s="29">
        <v>2.12687536736949E-2</v>
      </c>
      <c r="K33" t="s">
        <v>13</v>
      </c>
      <c r="L33" t="s">
        <v>21</v>
      </c>
      <c r="M33">
        <v>227539</v>
      </c>
    </row>
    <row r="34" spans="1:13">
      <c r="A34" s="12" t="s">
        <v>110</v>
      </c>
      <c r="B34" s="13">
        <v>321384</v>
      </c>
      <c r="C34" t="str">
        <f t="shared" si="0"/>
        <v>C</v>
      </c>
      <c r="I34" s="12" t="s">
        <v>179</v>
      </c>
      <c r="J34" s="29">
        <v>2.0605753213020783E-2</v>
      </c>
      <c r="K34" t="s">
        <v>13</v>
      </c>
      <c r="L34" t="s">
        <v>21</v>
      </c>
      <c r="M34">
        <v>432598</v>
      </c>
    </row>
    <row r="35" spans="1:13">
      <c r="A35" s="12" t="s">
        <v>199</v>
      </c>
      <c r="B35" s="13">
        <v>142900</v>
      </c>
      <c r="C35" t="str">
        <f t="shared" si="0"/>
        <v>C</v>
      </c>
      <c r="I35" s="12" t="s">
        <v>85</v>
      </c>
      <c r="J35" s="29">
        <v>1.9543195511926657E-2</v>
      </c>
      <c r="K35" t="s">
        <v>13</v>
      </c>
      <c r="L35" t="s">
        <v>21</v>
      </c>
      <c r="M35">
        <v>530337</v>
      </c>
    </row>
    <row r="36" spans="1:13">
      <c r="A36" s="12" t="s">
        <v>206</v>
      </c>
      <c r="B36" s="13">
        <v>112479</v>
      </c>
      <c r="C36" t="str">
        <f t="shared" si="0"/>
        <v>C</v>
      </c>
      <c r="I36" s="12" t="s">
        <v>155</v>
      </c>
      <c r="J36" s="29">
        <v>1.9026154314837347E-2</v>
      </c>
      <c r="K36" t="s">
        <v>13</v>
      </c>
      <c r="L36" t="s">
        <v>21</v>
      </c>
      <c r="M36">
        <v>1380135</v>
      </c>
    </row>
    <row r="37" spans="1:13">
      <c r="A37" s="12" t="s">
        <v>179</v>
      </c>
      <c r="B37" s="13">
        <v>432598</v>
      </c>
      <c r="C37" t="str">
        <f t="shared" si="0"/>
        <v>C</v>
      </c>
      <c r="I37" s="12" t="s">
        <v>175</v>
      </c>
      <c r="J37" s="29">
        <v>1.8434835149526121E-2</v>
      </c>
      <c r="K37" t="s">
        <v>13</v>
      </c>
      <c r="L37" t="s">
        <v>21</v>
      </c>
      <c r="M37">
        <v>254128</v>
      </c>
    </row>
    <row r="38" spans="1:13">
      <c r="A38" s="12" t="s">
        <v>59</v>
      </c>
      <c r="B38" s="13">
        <v>679389</v>
      </c>
      <c r="C38" t="str">
        <f t="shared" si="0"/>
        <v>C</v>
      </c>
      <c r="I38" s="12" t="s">
        <v>180</v>
      </c>
      <c r="J38" s="29">
        <v>1.828685199998949E-2</v>
      </c>
      <c r="K38" t="s">
        <v>13</v>
      </c>
      <c r="L38" t="s">
        <v>21</v>
      </c>
      <c r="M38">
        <v>388750</v>
      </c>
    </row>
    <row r="39" spans="1:13">
      <c r="A39" s="12" t="s">
        <v>273</v>
      </c>
      <c r="B39" s="13">
        <v>97921</v>
      </c>
      <c r="C39" t="str">
        <f t="shared" si="0"/>
        <v>C</v>
      </c>
      <c r="I39" s="12" t="s">
        <v>248</v>
      </c>
      <c r="J39" s="29">
        <v>1.8062178909077225E-2</v>
      </c>
      <c r="K39" t="s">
        <v>13</v>
      </c>
      <c r="L39" t="s">
        <v>21</v>
      </c>
      <c r="M39">
        <v>325533</v>
      </c>
    </row>
    <row r="40" spans="1:13">
      <c r="A40" s="12" t="s">
        <v>83</v>
      </c>
      <c r="B40" s="13">
        <v>145803</v>
      </c>
      <c r="C40" t="str">
        <f t="shared" si="0"/>
        <v>C</v>
      </c>
      <c r="I40" s="12" t="s">
        <v>114</v>
      </c>
      <c r="J40" s="29">
        <v>1.7831960187280307E-2</v>
      </c>
      <c r="K40" t="s">
        <v>13</v>
      </c>
      <c r="L40" t="s">
        <v>21</v>
      </c>
      <c r="M40">
        <v>863708</v>
      </c>
    </row>
    <row r="41" spans="1:13">
      <c r="A41" s="12" t="s">
        <v>92</v>
      </c>
      <c r="B41" s="13">
        <v>162148</v>
      </c>
      <c r="C41" t="str">
        <f t="shared" si="0"/>
        <v>C</v>
      </c>
      <c r="I41" s="12" t="s">
        <v>116</v>
      </c>
      <c r="J41" s="29">
        <v>1.7567676767844546E-2</v>
      </c>
      <c r="K41" t="s">
        <v>13</v>
      </c>
      <c r="L41" t="s">
        <v>21</v>
      </c>
      <c r="M41">
        <v>268994</v>
      </c>
    </row>
    <row r="42" spans="1:13">
      <c r="A42" s="41" t="s">
        <v>72</v>
      </c>
      <c r="B42" s="42">
        <v>1778344</v>
      </c>
      <c r="C42" t="str">
        <f t="shared" si="0"/>
        <v>C</v>
      </c>
      <c r="I42" s="12" t="s">
        <v>203</v>
      </c>
      <c r="J42" s="29">
        <v>1.7165982775324336E-2</v>
      </c>
      <c r="K42" t="s">
        <v>13</v>
      </c>
      <c r="L42" t="s">
        <v>21</v>
      </c>
      <c r="M42">
        <v>1230571</v>
      </c>
    </row>
    <row r="43" spans="1:13">
      <c r="A43" s="12" t="s">
        <v>249</v>
      </c>
      <c r="B43" s="13">
        <v>122211</v>
      </c>
      <c r="C43" t="str">
        <f t="shared" si="0"/>
        <v>C</v>
      </c>
      <c r="I43" s="12" t="s">
        <v>234</v>
      </c>
      <c r="J43" s="29">
        <v>1.5799515948055655E-2</v>
      </c>
      <c r="K43" t="s">
        <v>13</v>
      </c>
      <c r="L43" t="s">
        <v>21</v>
      </c>
      <c r="M43">
        <v>370932</v>
      </c>
    </row>
    <row r="44" spans="1:13">
      <c r="A44" s="12" t="s">
        <v>164</v>
      </c>
      <c r="B44" s="13">
        <v>185350</v>
      </c>
      <c r="C44" t="str">
        <f t="shared" si="0"/>
        <v>C</v>
      </c>
      <c r="I44" s="12" t="s">
        <v>204</v>
      </c>
      <c r="J44" s="29">
        <v>1.4629886437305076E-2</v>
      </c>
      <c r="K44" t="s">
        <v>13</v>
      </c>
      <c r="L44" t="s">
        <v>21</v>
      </c>
      <c r="M44">
        <v>300255</v>
      </c>
    </row>
    <row r="45" spans="1:13">
      <c r="A45" s="12" t="s">
        <v>196</v>
      </c>
      <c r="B45" s="13">
        <v>122291</v>
      </c>
      <c r="C45" t="str">
        <f t="shared" si="0"/>
        <v>C</v>
      </c>
      <c r="I45" s="12" t="s">
        <v>100</v>
      </c>
      <c r="J45" s="29">
        <v>1.296693056893824E-2</v>
      </c>
      <c r="K45" t="s">
        <v>13</v>
      </c>
      <c r="L45" t="s">
        <v>21</v>
      </c>
      <c r="M45">
        <v>353785</v>
      </c>
    </row>
    <row r="46" spans="1:13">
      <c r="A46" s="12" t="s">
        <v>274</v>
      </c>
      <c r="B46" s="13">
        <v>358793</v>
      </c>
      <c r="C46" t="str">
        <f t="shared" si="0"/>
        <v>C</v>
      </c>
      <c r="I46" s="12" t="s">
        <v>157</v>
      </c>
      <c r="J46" s="29">
        <v>0.22869076465392188</v>
      </c>
      <c r="K46" t="s">
        <v>13</v>
      </c>
      <c r="L46" t="s">
        <v>20</v>
      </c>
      <c r="M46">
        <v>356962</v>
      </c>
    </row>
    <row r="47" spans="1:13">
      <c r="A47" s="12" t="s">
        <v>224</v>
      </c>
      <c r="B47" s="13">
        <v>576725</v>
      </c>
      <c r="C47" t="str">
        <f t="shared" si="0"/>
        <v>C</v>
      </c>
      <c r="I47" s="12" t="s">
        <v>89</v>
      </c>
      <c r="J47" s="29">
        <v>0.21064828165749888</v>
      </c>
      <c r="K47" t="s">
        <v>13</v>
      </c>
      <c r="L47" t="s">
        <v>20</v>
      </c>
      <c r="M47">
        <v>256607</v>
      </c>
    </row>
    <row r="48" spans="1:13">
      <c r="A48" s="12" t="s">
        <v>163</v>
      </c>
      <c r="B48" s="13">
        <v>191809</v>
      </c>
      <c r="C48" t="str">
        <f t="shared" si="0"/>
        <v>C</v>
      </c>
      <c r="I48" s="12" t="s">
        <v>128</v>
      </c>
      <c r="J48" s="29">
        <v>0.20402731635304905</v>
      </c>
      <c r="K48" t="s">
        <v>13</v>
      </c>
      <c r="L48" t="s">
        <v>20</v>
      </c>
      <c r="M48">
        <v>766076</v>
      </c>
    </row>
    <row r="49" spans="1:13">
      <c r="A49" s="12" t="s">
        <v>201</v>
      </c>
      <c r="B49" s="13">
        <v>569899</v>
      </c>
      <c r="C49" t="str">
        <f t="shared" si="0"/>
        <v>C</v>
      </c>
      <c r="I49" s="12" t="s">
        <v>154</v>
      </c>
      <c r="J49" s="29">
        <v>0.20092633807979068</v>
      </c>
      <c r="K49" t="s">
        <v>13</v>
      </c>
      <c r="L49" t="s">
        <v>20</v>
      </c>
      <c r="M49">
        <v>567949</v>
      </c>
    </row>
    <row r="50" spans="1:13">
      <c r="A50" s="12" t="s">
        <v>252</v>
      </c>
      <c r="B50" s="13">
        <v>286679</v>
      </c>
      <c r="C50" t="str">
        <f t="shared" si="0"/>
        <v>C</v>
      </c>
      <c r="I50" s="12" t="s">
        <v>210</v>
      </c>
      <c r="J50" s="29">
        <v>0.19806314931335067</v>
      </c>
      <c r="K50" t="s">
        <v>13</v>
      </c>
      <c r="L50" t="s">
        <v>20</v>
      </c>
      <c r="M50">
        <v>1325732</v>
      </c>
    </row>
    <row r="51" spans="1:13">
      <c r="A51" s="12" t="s">
        <v>167</v>
      </c>
      <c r="B51" s="13">
        <v>831294</v>
      </c>
      <c r="C51" t="str">
        <f t="shared" si="0"/>
        <v>C</v>
      </c>
      <c r="I51" s="12" t="s">
        <v>80</v>
      </c>
      <c r="J51" s="29">
        <v>0.18579134058904695</v>
      </c>
      <c r="K51" t="s">
        <v>13</v>
      </c>
      <c r="L51" t="s">
        <v>20</v>
      </c>
      <c r="M51">
        <v>904263</v>
      </c>
    </row>
    <row r="52" spans="1:13">
      <c r="A52" s="12" t="s">
        <v>218</v>
      </c>
      <c r="B52" s="13">
        <v>125508</v>
      </c>
      <c r="C52" t="str">
        <f t="shared" si="0"/>
        <v>C</v>
      </c>
      <c r="I52" s="12" t="s">
        <v>202</v>
      </c>
      <c r="J52" s="29">
        <v>0.17957971755658711</v>
      </c>
      <c r="K52" t="s">
        <v>13</v>
      </c>
      <c r="L52" t="s">
        <v>20</v>
      </c>
      <c r="M52">
        <v>544672</v>
      </c>
    </row>
    <row r="53" spans="1:13">
      <c r="A53" s="12" t="s">
        <v>63</v>
      </c>
      <c r="B53" s="13">
        <v>98234</v>
      </c>
      <c r="C53" t="str">
        <f t="shared" si="0"/>
        <v>C</v>
      </c>
      <c r="I53" s="12" t="s">
        <v>103</v>
      </c>
      <c r="J53" s="29">
        <v>0.17766982253135941</v>
      </c>
      <c r="K53" t="s">
        <v>13</v>
      </c>
      <c r="L53" t="s">
        <v>20</v>
      </c>
      <c r="M53">
        <v>714634</v>
      </c>
    </row>
    <row r="54" spans="1:13">
      <c r="A54" s="12" t="s">
        <v>134</v>
      </c>
      <c r="B54" s="13">
        <v>379393</v>
      </c>
      <c r="C54" t="str">
        <f t="shared" si="0"/>
        <v>C</v>
      </c>
      <c r="I54" s="12" t="s">
        <v>247</v>
      </c>
      <c r="J54" s="29">
        <v>0.17542314488724819</v>
      </c>
      <c r="K54" t="s">
        <v>13</v>
      </c>
      <c r="L54" t="s">
        <v>20</v>
      </c>
      <c r="M54">
        <v>268944</v>
      </c>
    </row>
    <row r="55" spans="1:13">
      <c r="A55" s="12" t="s">
        <v>117</v>
      </c>
      <c r="B55" s="13">
        <v>118358</v>
      </c>
      <c r="C55" t="str">
        <f t="shared" si="0"/>
        <v>C</v>
      </c>
      <c r="I55" s="12" t="s">
        <v>82</v>
      </c>
      <c r="J55" s="29">
        <v>0.17530906290632736</v>
      </c>
      <c r="K55" t="s">
        <v>13</v>
      </c>
      <c r="L55" t="s">
        <v>20</v>
      </c>
      <c r="M55">
        <v>922892</v>
      </c>
    </row>
    <row r="56" spans="1:13">
      <c r="A56" s="12" t="s">
        <v>275</v>
      </c>
      <c r="B56" s="13">
        <v>481905</v>
      </c>
      <c r="C56" t="str">
        <f t="shared" si="0"/>
        <v>C</v>
      </c>
      <c r="I56" s="12" t="s">
        <v>102</v>
      </c>
      <c r="J56" s="29">
        <v>0.17508815575131237</v>
      </c>
      <c r="K56" t="s">
        <v>13</v>
      </c>
      <c r="L56" t="s">
        <v>20</v>
      </c>
      <c r="M56">
        <v>1191703</v>
      </c>
    </row>
    <row r="57" spans="1:13">
      <c r="A57" s="12" t="s">
        <v>97</v>
      </c>
      <c r="B57" s="13">
        <v>196881</v>
      </c>
      <c r="C57" t="str">
        <f t="shared" si="0"/>
        <v>C</v>
      </c>
      <c r="I57" s="12" t="s">
        <v>201</v>
      </c>
      <c r="J57" s="29">
        <v>0.17372078844952624</v>
      </c>
      <c r="K57" t="s">
        <v>13</v>
      </c>
      <c r="L57" t="s">
        <v>20</v>
      </c>
      <c r="M57">
        <v>569899</v>
      </c>
    </row>
    <row r="58" spans="1:13">
      <c r="A58" s="12" t="s">
        <v>91</v>
      </c>
      <c r="B58" s="13">
        <v>104402</v>
      </c>
      <c r="C58" t="str">
        <f t="shared" si="0"/>
        <v>C</v>
      </c>
      <c r="I58" s="12" t="s">
        <v>139</v>
      </c>
      <c r="J58" s="29">
        <v>0.17121466065960905</v>
      </c>
      <c r="K58" t="s">
        <v>13</v>
      </c>
      <c r="L58" t="s">
        <v>20</v>
      </c>
      <c r="M58">
        <v>670657</v>
      </c>
    </row>
    <row r="59" spans="1:13">
      <c r="A59" s="12" t="s">
        <v>154</v>
      </c>
      <c r="B59" s="13">
        <v>567949</v>
      </c>
      <c r="C59" t="str">
        <f t="shared" si="0"/>
        <v>C</v>
      </c>
      <c r="I59" s="12" t="s">
        <v>257</v>
      </c>
      <c r="J59" s="29">
        <v>0.1708996917311395</v>
      </c>
      <c r="K59" t="s">
        <v>13</v>
      </c>
      <c r="L59" t="s">
        <v>20</v>
      </c>
      <c r="M59">
        <v>233705</v>
      </c>
    </row>
    <row r="60" spans="1:13">
      <c r="A60" s="12" t="s">
        <v>227</v>
      </c>
      <c r="B60" s="13">
        <v>101671</v>
      </c>
      <c r="C60" t="str">
        <f t="shared" si="0"/>
        <v>C</v>
      </c>
      <c r="I60" s="12" t="s">
        <v>147</v>
      </c>
      <c r="J60" s="29">
        <v>0.16540355868787693</v>
      </c>
      <c r="K60" t="s">
        <v>13</v>
      </c>
      <c r="L60" t="s">
        <v>20</v>
      </c>
      <c r="M60">
        <v>840962</v>
      </c>
    </row>
    <row r="61" spans="1:13">
      <c r="A61" s="12" t="s">
        <v>69</v>
      </c>
      <c r="B61" s="13">
        <v>1011973</v>
      </c>
      <c r="C61" t="str">
        <f t="shared" si="0"/>
        <v>C</v>
      </c>
      <c r="I61" s="12" t="s">
        <v>112</v>
      </c>
      <c r="J61" s="29">
        <v>0.16425357418332984</v>
      </c>
      <c r="K61" t="s">
        <v>13</v>
      </c>
      <c r="L61" t="s">
        <v>20</v>
      </c>
      <c r="M61">
        <v>394626</v>
      </c>
    </row>
    <row r="62" spans="1:13">
      <c r="A62" s="12" t="s">
        <v>118</v>
      </c>
      <c r="B62" s="13">
        <v>119245</v>
      </c>
      <c r="C62" t="str">
        <f t="shared" si="0"/>
        <v>C</v>
      </c>
      <c r="I62" s="12" t="s">
        <v>106</v>
      </c>
      <c r="J62" s="29">
        <v>0.15932388882721557</v>
      </c>
      <c r="K62" t="s">
        <v>13</v>
      </c>
      <c r="L62" t="s">
        <v>20</v>
      </c>
      <c r="M62">
        <v>572272</v>
      </c>
    </row>
    <row r="63" spans="1:13">
      <c r="A63" s="12" t="s">
        <v>116</v>
      </c>
      <c r="B63" s="13">
        <v>268994</v>
      </c>
      <c r="C63" t="str">
        <f t="shared" si="0"/>
        <v>C</v>
      </c>
      <c r="I63" s="12" t="s">
        <v>240</v>
      </c>
      <c r="J63" s="29">
        <v>0.15790039156628219</v>
      </c>
      <c r="K63" t="s">
        <v>13</v>
      </c>
      <c r="L63" t="s">
        <v>20</v>
      </c>
      <c r="M63">
        <v>464259</v>
      </c>
    </row>
    <row r="64" spans="1:13">
      <c r="A64" s="12" t="s">
        <v>258</v>
      </c>
      <c r="B64" s="13">
        <v>606145</v>
      </c>
      <c r="C64" t="str">
        <f t="shared" si="0"/>
        <v>C</v>
      </c>
      <c r="I64" s="12" t="s">
        <v>192</v>
      </c>
      <c r="J64" s="29">
        <v>0.15766137597977437</v>
      </c>
      <c r="K64" t="s">
        <v>13</v>
      </c>
      <c r="L64" t="s">
        <v>20</v>
      </c>
      <c r="M64">
        <v>432509</v>
      </c>
    </row>
    <row r="65" spans="1:13">
      <c r="A65" s="12" t="s">
        <v>213</v>
      </c>
      <c r="B65" s="13">
        <v>284206</v>
      </c>
      <c r="C65" t="str">
        <f t="shared" si="0"/>
        <v>C</v>
      </c>
      <c r="I65" s="12" t="s">
        <v>194</v>
      </c>
      <c r="J65" s="29">
        <v>0.15600438450378826</v>
      </c>
      <c r="K65" t="s">
        <v>13</v>
      </c>
      <c r="L65" t="s">
        <v>20</v>
      </c>
      <c r="M65">
        <v>271503</v>
      </c>
    </row>
    <row r="66" spans="1:13">
      <c r="A66" s="12" t="s">
        <v>111</v>
      </c>
      <c r="B66" s="13">
        <v>406294</v>
      </c>
      <c r="C66" t="str">
        <f t="shared" si="0"/>
        <v>C</v>
      </c>
      <c r="I66" s="12" t="s">
        <v>127</v>
      </c>
      <c r="J66" s="29">
        <v>0.15425701303563472</v>
      </c>
      <c r="K66" t="s">
        <v>13</v>
      </c>
      <c r="L66" t="s">
        <v>20</v>
      </c>
      <c r="M66">
        <v>638468</v>
      </c>
    </row>
    <row r="67" spans="1:13">
      <c r="A67" s="12" t="s">
        <v>70</v>
      </c>
      <c r="B67" s="13">
        <v>1062071</v>
      </c>
      <c r="C67" t="str">
        <f t="shared" ref="C67:C130" si="1">VLOOKUP(B67,$N$7:$O$9,2,1)</f>
        <v>C</v>
      </c>
      <c r="I67" s="12" t="s">
        <v>283</v>
      </c>
      <c r="J67" s="29">
        <v>0.14718175272476117</v>
      </c>
      <c r="K67" t="s">
        <v>13</v>
      </c>
      <c r="L67" t="s">
        <v>20</v>
      </c>
      <c r="M67">
        <v>270573</v>
      </c>
    </row>
    <row r="68" spans="1:13">
      <c r="A68" s="12" t="s">
        <v>64</v>
      </c>
      <c r="B68" s="13">
        <v>100275</v>
      </c>
      <c r="C68" t="str">
        <f t="shared" si="1"/>
        <v>C</v>
      </c>
      <c r="I68" s="12" t="s">
        <v>120</v>
      </c>
      <c r="J68" s="29">
        <v>0.1456945404235018</v>
      </c>
      <c r="K68" t="s">
        <v>13</v>
      </c>
      <c r="L68" t="s">
        <v>20</v>
      </c>
      <c r="M68">
        <v>332913</v>
      </c>
    </row>
    <row r="69" spans="1:13">
      <c r="A69" s="12" t="s">
        <v>188</v>
      </c>
      <c r="B69" s="13">
        <v>627717</v>
      </c>
      <c r="C69" t="str">
        <f t="shared" si="1"/>
        <v>C</v>
      </c>
      <c r="I69" s="12" t="s">
        <v>228</v>
      </c>
      <c r="J69" s="29">
        <v>0.14519098471040376</v>
      </c>
      <c r="K69" t="s">
        <v>13</v>
      </c>
      <c r="L69" t="s">
        <v>20</v>
      </c>
      <c r="M69">
        <v>409283</v>
      </c>
    </row>
    <row r="70" spans="1:13">
      <c r="A70" s="12" t="s">
        <v>147</v>
      </c>
      <c r="B70" s="13">
        <v>840962</v>
      </c>
      <c r="C70" t="str">
        <f t="shared" si="1"/>
        <v>C</v>
      </c>
      <c r="I70" s="12" t="s">
        <v>242</v>
      </c>
      <c r="J70" s="29">
        <v>0.1423003466177688</v>
      </c>
      <c r="K70" t="s">
        <v>13</v>
      </c>
      <c r="L70" t="s">
        <v>20</v>
      </c>
      <c r="M70">
        <v>260659</v>
      </c>
    </row>
    <row r="71" spans="1:13">
      <c r="A71" s="12" t="s">
        <v>139</v>
      </c>
      <c r="B71" s="13">
        <v>670657</v>
      </c>
      <c r="C71" t="str">
        <f t="shared" si="1"/>
        <v>C</v>
      </c>
      <c r="I71" s="12" t="s">
        <v>235</v>
      </c>
      <c r="J71" s="29">
        <v>0.13911552382247769</v>
      </c>
      <c r="K71" t="s">
        <v>13</v>
      </c>
      <c r="L71" t="s">
        <v>20</v>
      </c>
      <c r="M71">
        <v>260050</v>
      </c>
    </row>
    <row r="72" spans="1:13">
      <c r="A72" s="12" t="s">
        <v>94</v>
      </c>
      <c r="B72" s="13">
        <v>176236</v>
      </c>
      <c r="C72" t="str">
        <f t="shared" si="1"/>
        <v>C</v>
      </c>
      <c r="I72" s="12" t="s">
        <v>185</v>
      </c>
      <c r="J72" s="29">
        <v>0.13867675513957717</v>
      </c>
      <c r="K72" t="s">
        <v>13</v>
      </c>
      <c r="L72" t="s">
        <v>20</v>
      </c>
      <c r="M72">
        <v>409520</v>
      </c>
    </row>
    <row r="73" spans="1:13">
      <c r="A73" s="12" t="s">
        <v>146</v>
      </c>
      <c r="B73" s="13">
        <v>637566</v>
      </c>
      <c r="C73" t="str">
        <f t="shared" si="1"/>
        <v>C</v>
      </c>
      <c r="I73" s="12" t="s">
        <v>81</v>
      </c>
      <c r="J73" s="29">
        <v>0.13786515193679108</v>
      </c>
      <c r="K73" t="s">
        <v>13</v>
      </c>
      <c r="L73" t="s">
        <v>20</v>
      </c>
      <c r="M73">
        <v>1179152</v>
      </c>
    </row>
    <row r="74" spans="1:13">
      <c r="A74" s="12" t="s">
        <v>162</v>
      </c>
      <c r="B74" s="13">
        <v>143926</v>
      </c>
      <c r="C74" t="str">
        <f t="shared" si="1"/>
        <v>C</v>
      </c>
      <c r="I74" s="12" t="s">
        <v>149</v>
      </c>
      <c r="J74" s="29">
        <v>0.13134174421031883</v>
      </c>
      <c r="K74" t="s">
        <v>13</v>
      </c>
      <c r="L74" t="s">
        <v>20</v>
      </c>
      <c r="M74">
        <v>931472</v>
      </c>
    </row>
    <row r="75" spans="1:13">
      <c r="A75" s="12" t="s">
        <v>170</v>
      </c>
      <c r="B75" s="13">
        <v>137690</v>
      </c>
      <c r="C75" t="str">
        <f t="shared" si="1"/>
        <v>C</v>
      </c>
      <c r="I75" s="12" t="s">
        <v>159</v>
      </c>
      <c r="J75" s="29">
        <v>0.12491537828870253</v>
      </c>
      <c r="K75" t="s">
        <v>13</v>
      </c>
      <c r="L75" t="s">
        <v>20</v>
      </c>
      <c r="M75">
        <v>1566332</v>
      </c>
    </row>
    <row r="76" spans="1:13">
      <c r="A76" s="12" t="s">
        <v>282</v>
      </c>
      <c r="B76" s="13">
        <v>167571</v>
      </c>
      <c r="C76" t="str">
        <f t="shared" si="1"/>
        <v>C</v>
      </c>
      <c r="I76" s="12" t="s">
        <v>110</v>
      </c>
      <c r="J76" s="29">
        <v>0.11967764161023908</v>
      </c>
      <c r="K76" t="s">
        <v>13</v>
      </c>
      <c r="L76" t="s">
        <v>20</v>
      </c>
      <c r="M76">
        <v>321384</v>
      </c>
    </row>
    <row r="77" spans="1:13">
      <c r="A77" s="12" t="s">
        <v>237</v>
      </c>
      <c r="B77" s="13">
        <v>141261</v>
      </c>
      <c r="C77" t="str">
        <f t="shared" si="1"/>
        <v>C</v>
      </c>
      <c r="I77" s="12" t="s">
        <v>140</v>
      </c>
      <c r="J77" s="29">
        <v>0.11822775076766948</v>
      </c>
      <c r="K77" t="s">
        <v>13</v>
      </c>
      <c r="L77" t="s">
        <v>20</v>
      </c>
      <c r="M77">
        <v>1309109</v>
      </c>
    </row>
    <row r="78" spans="1:13">
      <c r="A78" s="12" t="s">
        <v>256</v>
      </c>
      <c r="B78" s="13">
        <v>153217</v>
      </c>
      <c r="C78" t="str">
        <f t="shared" si="1"/>
        <v>C</v>
      </c>
      <c r="I78" s="12" t="s">
        <v>176</v>
      </c>
      <c r="J78" s="29">
        <v>0.10353878178400515</v>
      </c>
      <c r="K78" t="s">
        <v>13</v>
      </c>
      <c r="L78" t="s">
        <v>20</v>
      </c>
      <c r="M78">
        <v>372090</v>
      </c>
    </row>
    <row r="79" spans="1:13">
      <c r="A79" s="12" t="s">
        <v>145</v>
      </c>
      <c r="B79" s="13">
        <v>105613</v>
      </c>
      <c r="C79" t="str">
        <f t="shared" si="1"/>
        <v>C</v>
      </c>
      <c r="I79" s="12" t="s">
        <v>156</v>
      </c>
      <c r="J79" s="29">
        <v>0.86823384495592304</v>
      </c>
      <c r="K79" t="s">
        <v>13</v>
      </c>
      <c r="L79" t="s">
        <v>19</v>
      </c>
      <c r="M79">
        <v>629083</v>
      </c>
    </row>
    <row r="80" spans="1:13">
      <c r="A80" s="12" t="s">
        <v>61</v>
      </c>
      <c r="B80" s="13">
        <v>143276</v>
      </c>
      <c r="C80" t="str">
        <f t="shared" si="1"/>
        <v>C</v>
      </c>
      <c r="I80" s="12" t="s">
        <v>209</v>
      </c>
      <c r="J80" s="29">
        <v>0.78987819164778028</v>
      </c>
      <c r="K80" t="s">
        <v>13</v>
      </c>
      <c r="L80" t="s">
        <v>19</v>
      </c>
      <c r="M80">
        <v>783599</v>
      </c>
    </row>
    <row r="81" spans="1:13">
      <c r="A81" s="12" t="s">
        <v>230</v>
      </c>
      <c r="B81" s="13">
        <v>270015</v>
      </c>
      <c r="C81" t="str">
        <f t="shared" si="1"/>
        <v>C</v>
      </c>
      <c r="I81" s="12" t="s">
        <v>67</v>
      </c>
      <c r="J81" s="29">
        <v>0.77262390627716371</v>
      </c>
      <c r="K81" t="s">
        <v>13</v>
      </c>
      <c r="L81" t="s">
        <v>19</v>
      </c>
      <c r="M81">
        <v>430723</v>
      </c>
    </row>
    <row r="82" spans="1:13">
      <c r="A82" s="12" t="s">
        <v>240</v>
      </c>
      <c r="B82" s="13">
        <v>464259</v>
      </c>
      <c r="C82" t="str">
        <f t="shared" si="1"/>
        <v>C</v>
      </c>
      <c r="I82" s="12" t="s">
        <v>276</v>
      </c>
      <c r="J82" s="29">
        <v>0.72645162861028623</v>
      </c>
      <c r="K82" t="s">
        <v>13</v>
      </c>
      <c r="L82" t="s">
        <v>19</v>
      </c>
      <c r="M82">
        <v>374308</v>
      </c>
    </row>
    <row r="83" spans="1:13">
      <c r="A83" s="12" t="s">
        <v>250</v>
      </c>
      <c r="B83" s="13">
        <v>140825</v>
      </c>
      <c r="C83" t="str">
        <f t="shared" si="1"/>
        <v>C</v>
      </c>
      <c r="I83" s="12" t="s">
        <v>188</v>
      </c>
      <c r="J83" s="29">
        <v>0.70583706889110343</v>
      </c>
      <c r="K83" t="s">
        <v>13</v>
      </c>
      <c r="L83" t="s">
        <v>19</v>
      </c>
      <c r="M83">
        <v>627717</v>
      </c>
    </row>
    <row r="84" spans="1:13">
      <c r="A84" s="12" t="s">
        <v>133</v>
      </c>
      <c r="B84" s="13">
        <v>123117</v>
      </c>
      <c r="C84" t="str">
        <f t="shared" si="1"/>
        <v>C</v>
      </c>
      <c r="I84" s="12" t="s">
        <v>68</v>
      </c>
      <c r="J84" s="29">
        <v>0.70300772350864138</v>
      </c>
      <c r="K84" t="s">
        <v>13</v>
      </c>
      <c r="L84" t="s">
        <v>19</v>
      </c>
      <c r="M84">
        <v>385559</v>
      </c>
    </row>
    <row r="85" spans="1:13">
      <c r="A85" s="12" t="s">
        <v>228</v>
      </c>
      <c r="B85" s="13">
        <v>409283</v>
      </c>
      <c r="C85" t="str">
        <f t="shared" si="1"/>
        <v>C</v>
      </c>
      <c r="I85" s="12" t="s">
        <v>123</v>
      </c>
      <c r="J85" s="29">
        <v>0.69795028916454127</v>
      </c>
      <c r="K85" t="s">
        <v>13</v>
      </c>
      <c r="L85" t="s">
        <v>19</v>
      </c>
      <c r="M85">
        <v>1200563</v>
      </c>
    </row>
    <row r="86" spans="1:13">
      <c r="A86" s="12" t="s">
        <v>148</v>
      </c>
      <c r="B86" s="13">
        <v>1000062</v>
      </c>
      <c r="C86" t="str">
        <f t="shared" si="1"/>
        <v>C</v>
      </c>
      <c r="I86" s="12" t="s">
        <v>195</v>
      </c>
      <c r="J86" s="29">
        <v>0.69226410233518509</v>
      </c>
      <c r="K86" t="s">
        <v>13</v>
      </c>
      <c r="L86" t="s">
        <v>19</v>
      </c>
      <c r="M86">
        <v>301915</v>
      </c>
    </row>
    <row r="87" spans="1:13">
      <c r="A87" s="12" t="s">
        <v>192</v>
      </c>
      <c r="B87" s="13">
        <v>432509</v>
      </c>
      <c r="C87" t="str">
        <f t="shared" si="1"/>
        <v>C</v>
      </c>
      <c r="I87" s="12" t="s">
        <v>142</v>
      </c>
      <c r="J87" s="29">
        <v>0.68524968094855032</v>
      </c>
      <c r="K87" t="s">
        <v>13</v>
      </c>
      <c r="L87" t="s">
        <v>19</v>
      </c>
      <c r="M87">
        <v>257387</v>
      </c>
    </row>
    <row r="88" spans="1:13">
      <c r="A88" s="12" t="s">
        <v>102</v>
      </c>
      <c r="B88" s="13">
        <v>1191703</v>
      </c>
      <c r="C88" t="str">
        <f t="shared" si="1"/>
        <v>C</v>
      </c>
      <c r="I88" s="12" t="s">
        <v>124</v>
      </c>
      <c r="J88" s="29">
        <v>0.67533665961639</v>
      </c>
      <c r="K88" t="s">
        <v>13</v>
      </c>
      <c r="L88" t="s">
        <v>19</v>
      </c>
      <c r="M88">
        <v>1233236</v>
      </c>
    </row>
    <row r="89" spans="1:13">
      <c r="A89" s="12" t="s">
        <v>141</v>
      </c>
      <c r="B89" s="13">
        <v>100218</v>
      </c>
      <c r="C89" t="str">
        <f t="shared" si="1"/>
        <v>C</v>
      </c>
      <c r="I89" s="12" t="s">
        <v>138</v>
      </c>
      <c r="J89" s="29">
        <v>0.67116816099580223</v>
      </c>
      <c r="K89" t="s">
        <v>13</v>
      </c>
      <c r="L89" t="s">
        <v>19</v>
      </c>
      <c r="M89">
        <v>456385</v>
      </c>
    </row>
    <row r="90" spans="1:13">
      <c r="A90" s="12" t="s">
        <v>149</v>
      </c>
      <c r="B90" s="13">
        <v>931472</v>
      </c>
      <c r="C90" t="str">
        <f t="shared" si="1"/>
        <v>C</v>
      </c>
      <c r="I90" s="12" t="s">
        <v>121</v>
      </c>
      <c r="J90" s="29">
        <v>0.66777072092601764</v>
      </c>
      <c r="K90" t="s">
        <v>13</v>
      </c>
      <c r="L90" t="s">
        <v>19</v>
      </c>
      <c r="M90">
        <v>373078</v>
      </c>
    </row>
    <row r="91" spans="1:13">
      <c r="A91" s="12" t="s">
        <v>60</v>
      </c>
      <c r="B91" s="13">
        <v>121584</v>
      </c>
      <c r="C91" t="str">
        <f t="shared" si="1"/>
        <v>C</v>
      </c>
      <c r="I91" s="12" t="s">
        <v>230</v>
      </c>
      <c r="J91" s="29">
        <v>0.66630164616314813</v>
      </c>
      <c r="K91" t="s">
        <v>13</v>
      </c>
      <c r="L91" t="s">
        <v>19</v>
      </c>
      <c r="M91">
        <v>270015</v>
      </c>
    </row>
    <row r="92" spans="1:13">
      <c r="A92" s="12" t="s">
        <v>58</v>
      </c>
      <c r="B92" s="13">
        <v>177921</v>
      </c>
      <c r="C92" t="str">
        <f t="shared" si="1"/>
        <v>C</v>
      </c>
      <c r="I92" s="12" t="s">
        <v>62</v>
      </c>
      <c r="J92" s="29">
        <v>0.65858815866386688</v>
      </c>
      <c r="K92" t="s">
        <v>13</v>
      </c>
      <c r="L92" t="s">
        <v>19</v>
      </c>
      <c r="M92">
        <v>962420</v>
      </c>
    </row>
    <row r="93" spans="1:13">
      <c r="A93" s="12" t="s">
        <v>259</v>
      </c>
      <c r="B93" s="13">
        <v>82508</v>
      </c>
      <c r="C93" t="str">
        <f t="shared" si="1"/>
        <v>C</v>
      </c>
      <c r="I93" s="12" t="s">
        <v>262</v>
      </c>
      <c r="J93" s="29">
        <v>0.65732800686968085</v>
      </c>
      <c r="K93" t="s">
        <v>13</v>
      </c>
      <c r="L93" t="s">
        <v>19</v>
      </c>
      <c r="M93">
        <v>330562</v>
      </c>
    </row>
    <row r="94" spans="1:13">
      <c r="A94" s="12" t="s">
        <v>168</v>
      </c>
      <c r="B94" s="13">
        <v>960502</v>
      </c>
      <c r="C94" t="str">
        <f t="shared" si="1"/>
        <v>C</v>
      </c>
      <c r="I94" s="12" t="s">
        <v>214</v>
      </c>
      <c r="J94" s="29">
        <v>0.63950802779692251</v>
      </c>
      <c r="K94" t="s">
        <v>13</v>
      </c>
      <c r="L94" t="s">
        <v>19</v>
      </c>
      <c r="M94">
        <v>365857</v>
      </c>
    </row>
    <row r="95" spans="1:13">
      <c r="A95" s="12" t="s">
        <v>119</v>
      </c>
      <c r="B95" s="13">
        <v>183738</v>
      </c>
      <c r="C95" t="str">
        <f t="shared" si="1"/>
        <v>C</v>
      </c>
      <c r="I95" s="12" t="s">
        <v>292</v>
      </c>
      <c r="J95" s="29">
        <v>0.63742731191830204</v>
      </c>
      <c r="K95" t="s">
        <v>13</v>
      </c>
      <c r="L95" t="s">
        <v>19</v>
      </c>
      <c r="M95">
        <v>385498</v>
      </c>
    </row>
    <row r="96" spans="1:13">
      <c r="A96" s="12" t="s">
        <v>142</v>
      </c>
      <c r="B96" s="13">
        <v>257387</v>
      </c>
      <c r="C96" t="str">
        <f t="shared" si="1"/>
        <v>C</v>
      </c>
      <c r="I96" s="12" t="s">
        <v>122</v>
      </c>
      <c r="J96" s="29">
        <v>0.61761356434589088</v>
      </c>
      <c r="K96" t="s">
        <v>13</v>
      </c>
      <c r="L96" t="s">
        <v>19</v>
      </c>
      <c r="M96">
        <v>558985</v>
      </c>
    </row>
    <row r="97" spans="1:13">
      <c r="A97" s="12" t="s">
        <v>120</v>
      </c>
      <c r="B97" s="13">
        <v>332913</v>
      </c>
      <c r="C97" t="str">
        <f t="shared" si="1"/>
        <v>C</v>
      </c>
      <c r="I97" s="12" t="s">
        <v>252</v>
      </c>
      <c r="J97" s="29">
        <v>0.61506389600693556</v>
      </c>
      <c r="K97" t="s">
        <v>13</v>
      </c>
      <c r="L97" t="s">
        <v>19</v>
      </c>
      <c r="M97">
        <v>286679</v>
      </c>
    </row>
    <row r="98" spans="1:13">
      <c r="A98" s="12" t="s">
        <v>98</v>
      </c>
      <c r="B98" s="13">
        <v>221424</v>
      </c>
      <c r="C98" t="str">
        <f t="shared" si="1"/>
        <v>C</v>
      </c>
      <c r="I98" s="12" t="s">
        <v>293</v>
      </c>
      <c r="J98" s="29">
        <v>0.60802777519213036</v>
      </c>
      <c r="K98" t="s">
        <v>13</v>
      </c>
      <c r="L98" t="s">
        <v>19</v>
      </c>
      <c r="M98">
        <v>682194</v>
      </c>
    </row>
    <row r="99" spans="1:13">
      <c r="A99" s="12" t="s">
        <v>194</v>
      </c>
      <c r="B99" s="13">
        <v>271503</v>
      </c>
      <c r="C99" t="str">
        <f t="shared" si="1"/>
        <v>C</v>
      </c>
      <c r="I99" s="12" t="s">
        <v>137</v>
      </c>
      <c r="J99" s="29">
        <v>0.60711966553205565</v>
      </c>
      <c r="K99" t="s">
        <v>13</v>
      </c>
      <c r="L99" t="s">
        <v>19</v>
      </c>
      <c r="M99">
        <v>437400</v>
      </c>
    </row>
    <row r="100" spans="1:13">
      <c r="A100" s="12" t="s">
        <v>254</v>
      </c>
      <c r="B100" s="13">
        <v>123156</v>
      </c>
      <c r="C100" t="str">
        <f t="shared" si="1"/>
        <v>C</v>
      </c>
      <c r="I100" s="12" t="s">
        <v>226</v>
      </c>
      <c r="J100" s="29">
        <v>0.60210135608751347</v>
      </c>
      <c r="K100" t="s">
        <v>13</v>
      </c>
      <c r="L100" t="s">
        <v>19</v>
      </c>
      <c r="M100">
        <v>280949</v>
      </c>
    </row>
    <row r="101" spans="1:13">
      <c r="A101" s="12" t="s">
        <v>186</v>
      </c>
      <c r="B101" s="13">
        <v>107537</v>
      </c>
      <c r="C101" t="str">
        <f t="shared" si="1"/>
        <v>C</v>
      </c>
      <c r="I101" s="12" t="s">
        <v>261</v>
      </c>
      <c r="J101" s="29">
        <v>0.56318442211993081</v>
      </c>
      <c r="K101" t="s">
        <v>13</v>
      </c>
      <c r="L101" t="s">
        <v>19</v>
      </c>
      <c r="M101">
        <v>241021</v>
      </c>
    </row>
    <row r="102" spans="1:13">
      <c r="A102" s="12" t="s">
        <v>144</v>
      </c>
      <c r="B102" s="13">
        <v>165708</v>
      </c>
      <c r="C102" t="str">
        <f t="shared" si="1"/>
        <v>C</v>
      </c>
      <c r="I102" s="12" t="s">
        <v>111</v>
      </c>
      <c r="J102" s="29">
        <v>0.53779923128583151</v>
      </c>
      <c r="K102" t="s">
        <v>13</v>
      </c>
      <c r="L102" t="s">
        <v>19</v>
      </c>
      <c r="M102">
        <v>406294</v>
      </c>
    </row>
    <row r="103" spans="1:13">
      <c r="A103" s="12" t="s">
        <v>137</v>
      </c>
      <c r="B103" s="13">
        <v>437400</v>
      </c>
      <c r="C103" t="str">
        <f t="shared" si="1"/>
        <v>C</v>
      </c>
      <c r="I103" s="12" t="s">
        <v>181</v>
      </c>
      <c r="J103" s="29">
        <v>0.53689550804370201</v>
      </c>
      <c r="K103" t="s">
        <v>13</v>
      </c>
      <c r="L103" t="s">
        <v>19</v>
      </c>
      <c r="M103">
        <v>408355</v>
      </c>
    </row>
    <row r="104" spans="1:13">
      <c r="A104" s="12" t="s">
        <v>241</v>
      </c>
      <c r="B104" s="13">
        <v>651801</v>
      </c>
      <c r="C104" t="str">
        <f t="shared" si="1"/>
        <v>C</v>
      </c>
      <c r="I104" s="12" t="s">
        <v>76</v>
      </c>
      <c r="J104" s="29">
        <v>0.51394135682762665</v>
      </c>
      <c r="K104" t="s">
        <v>13</v>
      </c>
      <c r="L104" t="s">
        <v>19</v>
      </c>
      <c r="M104">
        <v>222394</v>
      </c>
    </row>
    <row r="105" spans="1:13">
      <c r="A105" s="12" t="s">
        <v>121</v>
      </c>
      <c r="B105" s="13">
        <v>373078</v>
      </c>
      <c r="C105" t="str">
        <f t="shared" si="1"/>
        <v>C</v>
      </c>
      <c r="I105" s="12" t="s">
        <v>275</v>
      </c>
      <c r="J105" s="29">
        <v>0.4887001543715348</v>
      </c>
      <c r="K105" t="s">
        <v>13</v>
      </c>
      <c r="L105" t="s">
        <v>19</v>
      </c>
      <c r="M105">
        <v>481905</v>
      </c>
    </row>
    <row r="106" spans="1:13">
      <c r="A106" s="12" t="s">
        <v>122</v>
      </c>
      <c r="B106" s="13">
        <v>558985</v>
      </c>
      <c r="C106" t="str">
        <f t="shared" si="1"/>
        <v>C</v>
      </c>
      <c r="I106" s="12" t="s">
        <v>224</v>
      </c>
      <c r="J106" s="29">
        <v>0.48320415125933447</v>
      </c>
      <c r="K106" t="s">
        <v>13</v>
      </c>
      <c r="L106" t="s">
        <v>19</v>
      </c>
      <c r="M106">
        <v>576725</v>
      </c>
    </row>
    <row r="107" spans="1:13">
      <c r="A107" s="12" t="s">
        <v>248</v>
      </c>
      <c r="B107" s="13">
        <v>325533</v>
      </c>
      <c r="C107" t="str">
        <f t="shared" si="1"/>
        <v>C</v>
      </c>
      <c r="I107" s="12" t="s">
        <v>136</v>
      </c>
      <c r="J107" s="29">
        <v>0.47698270106815904</v>
      </c>
      <c r="K107" t="s">
        <v>13</v>
      </c>
      <c r="L107" t="s">
        <v>19</v>
      </c>
      <c r="M107">
        <v>226111</v>
      </c>
    </row>
    <row r="108" spans="1:13">
      <c r="A108" s="12" t="s">
        <v>280</v>
      </c>
      <c r="B108" s="13">
        <v>91438</v>
      </c>
      <c r="C108" t="str">
        <f t="shared" si="1"/>
        <v>C</v>
      </c>
      <c r="I108" s="12" t="s">
        <v>246</v>
      </c>
      <c r="J108" s="29">
        <v>0.45741046319027234</v>
      </c>
      <c r="K108" t="s">
        <v>13</v>
      </c>
      <c r="L108" t="s">
        <v>19</v>
      </c>
      <c r="M108">
        <v>546775</v>
      </c>
    </row>
    <row r="109" spans="1:13">
      <c r="A109" s="12" t="s">
        <v>177</v>
      </c>
      <c r="B109" s="13">
        <v>164770</v>
      </c>
      <c r="C109" t="str">
        <f t="shared" si="1"/>
        <v>C</v>
      </c>
      <c r="I109" s="12" t="s">
        <v>211</v>
      </c>
      <c r="J109" s="29">
        <v>0.45641485579783714</v>
      </c>
      <c r="K109" t="s">
        <v>13</v>
      </c>
      <c r="L109" t="s">
        <v>19</v>
      </c>
      <c r="M109">
        <v>906913</v>
      </c>
    </row>
    <row r="110" spans="1:13">
      <c r="A110" s="12" t="s">
        <v>123</v>
      </c>
      <c r="B110" s="13">
        <v>1200563</v>
      </c>
      <c r="C110" t="str">
        <f t="shared" si="1"/>
        <v>C</v>
      </c>
      <c r="I110" s="12" t="s">
        <v>104</v>
      </c>
      <c r="J110" s="29">
        <v>0.44079332164249124</v>
      </c>
      <c r="K110" t="s">
        <v>13</v>
      </c>
      <c r="L110" t="s">
        <v>19</v>
      </c>
      <c r="M110">
        <v>1584020</v>
      </c>
    </row>
    <row r="111" spans="1:13">
      <c r="A111" s="12" t="s">
        <v>205</v>
      </c>
      <c r="B111" s="13">
        <v>106019</v>
      </c>
      <c r="C111" t="str">
        <f t="shared" si="1"/>
        <v>C</v>
      </c>
      <c r="I111" s="41" t="s">
        <v>72</v>
      </c>
      <c r="J111" s="43">
        <v>0.43059958190675601</v>
      </c>
      <c r="K111" t="s">
        <v>13</v>
      </c>
      <c r="L111" s="44" t="s">
        <v>19</v>
      </c>
      <c r="M111">
        <v>1778344</v>
      </c>
    </row>
    <row r="112" spans="1:13">
      <c r="A112" s="12" t="s">
        <v>216</v>
      </c>
      <c r="B112" s="13">
        <v>339574</v>
      </c>
      <c r="C112" t="str">
        <f t="shared" si="1"/>
        <v>C</v>
      </c>
      <c r="I112" s="12" t="s">
        <v>87</v>
      </c>
      <c r="J112" s="29">
        <v>0.38723759939725327</v>
      </c>
      <c r="K112" t="s">
        <v>13</v>
      </c>
      <c r="L112" t="s">
        <v>19</v>
      </c>
      <c r="M112">
        <v>2225738</v>
      </c>
    </row>
    <row r="113" spans="1:13">
      <c r="A113" s="12" t="s">
        <v>223</v>
      </c>
      <c r="B113" s="13">
        <v>464546</v>
      </c>
      <c r="C113" t="str">
        <f t="shared" si="1"/>
        <v>C</v>
      </c>
      <c r="I113" s="12" t="s">
        <v>96</v>
      </c>
      <c r="J113" s="29">
        <v>0.34289052687317501</v>
      </c>
      <c r="K113" t="s">
        <v>13</v>
      </c>
      <c r="L113" t="s">
        <v>19</v>
      </c>
      <c r="M113">
        <v>324464</v>
      </c>
    </row>
    <row r="114" spans="1:13">
      <c r="A114" s="12" t="s">
        <v>171</v>
      </c>
      <c r="B114" s="13">
        <v>173730</v>
      </c>
      <c r="C114" t="str">
        <f t="shared" si="1"/>
        <v>C</v>
      </c>
      <c r="I114" s="12" t="s">
        <v>61</v>
      </c>
      <c r="J114" s="29">
        <v>9.1242414624192913E-2</v>
      </c>
      <c r="K114" t="s">
        <v>14</v>
      </c>
      <c r="L114" t="s">
        <v>21</v>
      </c>
      <c r="M114">
        <v>143276</v>
      </c>
    </row>
    <row r="115" spans="1:13">
      <c r="A115" s="12" t="s">
        <v>112</v>
      </c>
      <c r="B115" s="13">
        <v>394626</v>
      </c>
      <c r="C115" t="str">
        <f t="shared" si="1"/>
        <v>C</v>
      </c>
      <c r="I115" s="12" t="s">
        <v>65</v>
      </c>
      <c r="J115" s="29">
        <v>8.4624540060317943E-2</v>
      </c>
      <c r="K115" t="s">
        <v>14</v>
      </c>
      <c r="L115" t="s">
        <v>21</v>
      </c>
      <c r="M115">
        <v>150630</v>
      </c>
    </row>
    <row r="116" spans="1:13">
      <c r="A116" s="12" t="s">
        <v>242</v>
      </c>
      <c r="B116" s="13">
        <v>260659</v>
      </c>
      <c r="C116" t="str">
        <f t="shared" si="1"/>
        <v>C</v>
      </c>
      <c r="I116" s="12" t="s">
        <v>165</v>
      </c>
      <c r="J116" s="29">
        <v>5.1040106903224094E-2</v>
      </c>
      <c r="K116" t="s">
        <v>14</v>
      </c>
      <c r="L116" t="s">
        <v>21</v>
      </c>
      <c r="M116">
        <v>216919</v>
      </c>
    </row>
    <row r="117" spans="1:13">
      <c r="A117" s="12" t="s">
        <v>269</v>
      </c>
      <c r="B117" s="13">
        <v>103005</v>
      </c>
      <c r="C117" t="str">
        <f t="shared" si="1"/>
        <v>C</v>
      </c>
      <c r="I117" s="12" t="s">
        <v>160</v>
      </c>
      <c r="J117" s="29">
        <v>3.2567054502262056E-2</v>
      </c>
      <c r="K117" t="s">
        <v>14</v>
      </c>
      <c r="L117" t="s">
        <v>21</v>
      </c>
      <c r="M117">
        <v>126446</v>
      </c>
    </row>
    <row r="118" spans="1:13">
      <c r="A118" s="12" t="s">
        <v>80</v>
      </c>
      <c r="B118" s="13">
        <v>904263</v>
      </c>
      <c r="C118" t="str">
        <f t="shared" si="1"/>
        <v>C</v>
      </c>
      <c r="I118" s="12" t="s">
        <v>184</v>
      </c>
      <c r="J118" s="29">
        <v>3.1391184066269104E-2</v>
      </c>
      <c r="K118" t="s">
        <v>14</v>
      </c>
      <c r="L118" t="s">
        <v>21</v>
      </c>
      <c r="M118">
        <v>148362</v>
      </c>
    </row>
    <row r="119" spans="1:13">
      <c r="A119" s="12" t="s">
        <v>138</v>
      </c>
      <c r="B119" s="13">
        <v>456385</v>
      </c>
      <c r="C119" t="str">
        <f t="shared" si="1"/>
        <v>C</v>
      </c>
      <c r="I119" s="12" t="s">
        <v>73</v>
      </c>
      <c r="J119" s="29">
        <v>3.0591346688826342E-2</v>
      </c>
      <c r="K119" t="s">
        <v>14</v>
      </c>
      <c r="L119" t="s">
        <v>21</v>
      </c>
      <c r="M119">
        <v>125691</v>
      </c>
    </row>
    <row r="120" spans="1:13">
      <c r="A120" s="12" t="s">
        <v>293</v>
      </c>
      <c r="B120" s="13">
        <v>682194</v>
      </c>
      <c r="C120" t="str">
        <f t="shared" si="1"/>
        <v>C</v>
      </c>
      <c r="I120" s="12" t="s">
        <v>97</v>
      </c>
      <c r="J120" s="29">
        <v>3.0359339786779099E-2</v>
      </c>
      <c r="K120" t="s">
        <v>14</v>
      </c>
      <c r="L120" t="s">
        <v>21</v>
      </c>
      <c r="M120">
        <v>196881</v>
      </c>
    </row>
    <row r="121" spans="1:13">
      <c r="A121" s="12" t="s">
        <v>184</v>
      </c>
      <c r="B121" s="13">
        <v>148362</v>
      </c>
      <c r="C121" t="str">
        <f t="shared" si="1"/>
        <v>C</v>
      </c>
      <c r="I121" s="12" t="s">
        <v>222</v>
      </c>
      <c r="J121" s="29">
        <v>2.8703881514993344E-2</v>
      </c>
      <c r="K121" t="s">
        <v>14</v>
      </c>
      <c r="L121" t="s">
        <v>21</v>
      </c>
      <c r="M121">
        <v>187957</v>
      </c>
    </row>
    <row r="122" spans="1:13">
      <c r="A122" s="12" t="s">
        <v>76</v>
      </c>
      <c r="B122" s="13">
        <v>222394</v>
      </c>
      <c r="C122" t="str">
        <f t="shared" si="1"/>
        <v>C</v>
      </c>
      <c r="I122" s="12" t="s">
        <v>84</v>
      </c>
      <c r="J122" s="29">
        <v>2.8247265865807374E-2</v>
      </c>
      <c r="K122" t="s">
        <v>14</v>
      </c>
      <c r="L122" t="s">
        <v>21</v>
      </c>
      <c r="M122">
        <v>120794</v>
      </c>
    </row>
    <row r="123" spans="1:13">
      <c r="A123" s="12" t="s">
        <v>81</v>
      </c>
      <c r="B123" s="13">
        <v>1179152</v>
      </c>
      <c r="C123" t="str">
        <f t="shared" si="1"/>
        <v>C</v>
      </c>
      <c r="I123" s="12" t="s">
        <v>177</v>
      </c>
      <c r="J123" s="29">
        <v>2.8145496122511177E-2</v>
      </c>
      <c r="K123" t="s">
        <v>14</v>
      </c>
      <c r="L123" t="s">
        <v>21</v>
      </c>
      <c r="M123">
        <v>164770</v>
      </c>
    </row>
    <row r="124" spans="1:13">
      <c r="A124" s="12" t="s">
        <v>86</v>
      </c>
      <c r="B124" s="13">
        <v>753833</v>
      </c>
      <c r="C124" t="str">
        <f t="shared" si="1"/>
        <v>C</v>
      </c>
      <c r="I124" s="12" t="s">
        <v>119</v>
      </c>
      <c r="J124" s="29">
        <v>2.8075109668207417E-2</v>
      </c>
      <c r="K124" t="s">
        <v>14</v>
      </c>
      <c r="L124" t="s">
        <v>21</v>
      </c>
      <c r="M124">
        <v>183738</v>
      </c>
    </row>
    <row r="125" spans="1:13">
      <c r="A125" s="12" t="s">
        <v>195</v>
      </c>
      <c r="B125" s="13">
        <v>301915</v>
      </c>
      <c r="C125" t="str">
        <f t="shared" si="1"/>
        <v>C</v>
      </c>
      <c r="I125" s="12" t="s">
        <v>221</v>
      </c>
      <c r="J125" s="29">
        <v>2.8005613393033264E-2</v>
      </c>
      <c r="K125" t="s">
        <v>14</v>
      </c>
      <c r="L125" t="s">
        <v>21</v>
      </c>
      <c r="M125">
        <v>117581</v>
      </c>
    </row>
    <row r="126" spans="1:13">
      <c r="A126" s="12" t="s">
        <v>234</v>
      </c>
      <c r="B126" s="13">
        <v>370932</v>
      </c>
      <c r="C126" t="str">
        <f t="shared" si="1"/>
        <v>C</v>
      </c>
      <c r="I126" s="12" t="s">
        <v>249</v>
      </c>
      <c r="J126" s="29">
        <v>2.6724786806410203E-2</v>
      </c>
      <c r="K126" t="s">
        <v>14</v>
      </c>
      <c r="L126" t="s">
        <v>21</v>
      </c>
      <c r="M126">
        <v>122211</v>
      </c>
    </row>
    <row r="127" spans="1:13">
      <c r="A127" s="12" t="s">
        <v>261</v>
      </c>
      <c r="B127" s="13">
        <v>241021</v>
      </c>
      <c r="C127" t="str">
        <f t="shared" si="1"/>
        <v>C</v>
      </c>
      <c r="I127" s="12" t="s">
        <v>229</v>
      </c>
      <c r="J127" s="29">
        <v>2.553050171615235E-2</v>
      </c>
      <c r="K127" t="s">
        <v>14</v>
      </c>
      <c r="L127" t="s">
        <v>21</v>
      </c>
      <c r="M127">
        <v>121089</v>
      </c>
    </row>
    <row r="128" spans="1:13">
      <c r="A128" s="12" t="s">
        <v>100</v>
      </c>
      <c r="B128" s="13">
        <v>353785</v>
      </c>
      <c r="C128" t="str">
        <f t="shared" si="1"/>
        <v>C</v>
      </c>
      <c r="I128" s="12" t="s">
        <v>237</v>
      </c>
      <c r="J128" s="29">
        <v>2.5454754218359729E-2</v>
      </c>
      <c r="K128" t="s">
        <v>14</v>
      </c>
      <c r="L128" t="s">
        <v>21</v>
      </c>
      <c r="M128">
        <v>141261</v>
      </c>
    </row>
    <row r="129" spans="1:13">
      <c r="A129" s="12" t="s">
        <v>189</v>
      </c>
      <c r="B129" s="13">
        <v>1282910</v>
      </c>
      <c r="C129" t="str">
        <f t="shared" si="1"/>
        <v>C</v>
      </c>
      <c r="I129" s="12" t="s">
        <v>66</v>
      </c>
      <c r="J129" s="29">
        <v>2.5148818006177361E-2</v>
      </c>
      <c r="K129" t="s">
        <v>14</v>
      </c>
      <c r="L129" t="s">
        <v>21</v>
      </c>
      <c r="M129">
        <v>126645</v>
      </c>
    </row>
    <row r="130" spans="1:13">
      <c r="A130" s="12" t="s">
        <v>210</v>
      </c>
      <c r="B130" s="13">
        <v>1325732</v>
      </c>
      <c r="C130" t="str">
        <f t="shared" si="1"/>
        <v>C</v>
      </c>
      <c r="I130" s="12" t="s">
        <v>215</v>
      </c>
      <c r="J130" s="29">
        <v>2.4908186126486407E-2</v>
      </c>
      <c r="K130" t="s">
        <v>14</v>
      </c>
      <c r="L130" t="s">
        <v>21</v>
      </c>
      <c r="M130">
        <v>161867</v>
      </c>
    </row>
    <row r="131" spans="1:13">
      <c r="A131" s="12" t="s">
        <v>158</v>
      </c>
      <c r="B131" s="13">
        <v>226831</v>
      </c>
      <c r="C131" t="str">
        <f t="shared" ref="C131:C194" si="2">VLOOKUP(B131,$N$7:$O$9,2,1)</f>
        <v>C</v>
      </c>
      <c r="I131" s="12" t="s">
        <v>78</v>
      </c>
      <c r="J131" s="29">
        <v>2.3877826903301615E-2</v>
      </c>
      <c r="K131" t="s">
        <v>14</v>
      </c>
      <c r="L131" t="s">
        <v>21</v>
      </c>
      <c r="M131">
        <v>189068</v>
      </c>
    </row>
    <row r="132" spans="1:13">
      <c r="A132" s="12" t="s">
        <v>286</v>
      </c>
      <c r="B132" s="13">
        <v>200589</v>
      </c>
      <c r="C132" t="str">
        <f t="shared" si="2"/>
        <v>C</v>
      </c>
      <c r="I132" s="12" t="s">
        <v>105</v>
      </c>
      <c r="J132" s="29">
        <v>2.3863959860150035E-2</v>
      </c>
      <c r="K132" t="s">
        <v>14</v>
      </c>
      <c r="L132" t="s">
        <v>21</v>
      </c>
      <c r="M132">
        <v>218487</v>
      </c>
    </row>
    <row r="133" spans="1:13">
      <c r="A133" s="12" t="s">
        <v>200</v>
      </c>
      <c r="B133" s="13">
        <v>168078</v>
      </c>
      <c r="C133" t="str">
        <f t="shared" si="2"/>
        <v>C</v>
      </c>
      <c r="I133" s="12" t="s">
        <v>198</v>
      </c>
      <c r="J133" s="29">
        <v>2.3362384273315752E-2</v>
      </c>
      <c r="K133" t="s">
        <v>14</v>
      </c>
      <c r="L133" t="s">
        <v>21</v>
      </c>
      <c r="M133">
        <v>116284</v>
      </c>
    </row>
    <row r="134" spans="1:13">
      <c r="A134" s="12" t="s">
        <v>291</v>
      </c>
      <c r="B134" s="13">
        <v>123342</v>
      </c>
      <c r="C134" t="str">
        <f t="shared" si="2"/>
        <v>C</v>
      </c>
      <c r="I134" s="12" t="s">
        <v>272</v>
      </c>
      <c r="J134" s="29">
        <v>2.3330136149961791E-2</v>
      </c>
      <c r="K134" t="s">
        <v>14</v>
      </c>
      <c r="L134" t="s">
        <v>21</v>
      </c>
      <c r="M134">
        <v>146994</v>
      </c>
    </row>
    <row r="135" spans="1:13">
      <c r="A135" s="12" t="s">
        <v>276</v>
      </c>
      <c r="B135" s="13">
        <v>374308</v>
      </c>
      <c r="C135" t="str">
        <f t="shared" si="2"/>
        <v>C</v>
      </c>
      <c r="I135" s="12" t="s">
        <v>172</v>
      </c>
      <c r="J135" s="29">
        <v>2.2662060668874613E-2</v>
      </c>
      <c r="K135" t="s">
        <v>14</v>
      </c>
      <c r="L135" t="s">
        <v>21</v>
      </c>
      <c r="M135">
        <v>152134</v>
      </c>
    </row>
    <row r="136" spans="1:13">
      <c r="A136" s="12" t="s">
        <v>277</v>
      </c>
      <c r="B136" s="13">
        <v>117121</v>
      </c>
      <c r="C136" t="str">
        <f t="shared" si="2"/>
        <v>C</v>
      </c>
      <c r="I136" s="12" t="s">
        <v>288</v>
      </c>
      <c r="J136" s="29">
        <v>2.249945788747006E-2</v>
      </c>
      <c r="K136" t="s">
        <v>14</v>
      </c>
      <c r="L136" t="s">
        <v>21</v>
      </c>
      <c r="M136">
        <v>190143</v>
      </c>
    </row>
    <row r="137" spans="1:13">
      <c r="A137" s="12" t="s">
        <v>136</v>
      </c>
      <c r="B137" s="13">
        <v>226111</v>
      </c>
      <c r="C137" t="str">
        <f t="shared" si="2"/>
        <v>C</v>
      </c>
      <c r="I137" s="12" t="s">
        <v>279</v>
      </c>
      <c r="J137" s="29">
        <v>2.2435108114221516E-2</v>
      </c>
      <c r="K137" t="s">
        <v>14</v>
      </c>
      <c r="L137" t="s">
        <v>21</v>
      </c>
      <c r="M137">
        <v>135548</v>
      </c>
    </row>
    <row r="138" spans="1:13">
      <c r="A138" s="12" t="s">
        <v>175</v>
      </c>
      <c r="B138" s="13">
        <v>254128</v>
      </c>
      <c r="C138" t="str">
        <f t="shared" si="2"/>
        <v>C</v>
      </c>
      <c r="I138" s="12" t="s">
        <v>117</v>
      </c>
      <c r="J138" s="29">
        <v>2.1499603526379536E-2</v>
      </c>
      <c r="K138" t="s">
        <v>14</v>
      </c>
      <c r="L138" t="s">
        <v>21</v>
      </c>
      <c r="M138">
        <v>118358</v>
      </c>
    </row>
    <row r="139" spans="1:13">
      <c r="A139" s="12" t="s">
        <v>204</v>
      </c>
      <c r="B139" s="13">
        <v>300255</v>
      </c>
      <c r="C139" t="str">
        <f t="shared" si="2"/>
        <v>C</v>
      </c>
      <c r="I139" s="12" t="s">
        <v>207</v>
      </c>
      <c r="J139" s="29">
        <v>2.1231815461394039E-2</v>
      </c>
      <c r="K139" t="s">
        <v>14</v>
      </c>
      <c r="L139" t="s">
        <v>21</v>
      </c>
      <c r="M139">
        <v>156719</v>
      </c>
    </row>
    <row r="140" spans="1:13">
      <c r="A140" s="12" t="s">
        <v>284</v>
      </c>
      <c r="B140" s="13">
        <v>86108</v>
      </c>
      <c r="C140" t="str">
        <f t="shared" si="2"/>
        <v>C</v>
      </c>
      <c r="I140" s="12" t="s">
        <v>291</v>
      </c>
      <c r="J140" s="29">
        <v>2.0237968405442789E-2</v>
      </c>
      <c r="K140" t="s">
        <v>14</v>
      </c>
      <c r="L140" t="s">
        <v>21</v>
      </c>
      <c r="M140">
        <v>123342</v>
      </c>
    </row>
    <row r="141" spans="1:13">
      <c r="A141" s="12" t="s">
        <v>262</v>
      </c>
      <c r="B141" s="13">
        <v>330562</v>
      </c>
      <c r="C141" t="str">
        <f t="shared" si="2"/>
        <v>C</v>
      </c>
      <c r="I141" s="12" t="s">
        <v>255</v>
      </c>
      <c r="J141" s="29">
        <v>2.0079693995852084E-2</v>
      </c>
      <c r="K141" t="s">
        <v>14</v>
      </c>
      <c r="L141" t="s">
        <v>21</v>
      </c>
      <c r="M141">
        <v>199235</v>
      </c>
    </row>
    <row r="142" spans="1:13">
      <c r="A142" s="12" t="s">
        <v>190</v>
      </c>
      <c r="B142" s="13">
        <v>115364</v>
      </c>
      <c r="C142" t="str">
        <f t="shared" si="2"/>
        <v>C</v>
      </c>
      <c r="I142" s="12" t="s">
        <v>171</v>
      </c>
      <c r="J142" s="29">
        <v>1.9990945270621844E-2</v>
      </c>
      <c r="K142" t="s">
        <v>14</v>
      </c>
      <c r="L142" t="s">
        <v>21</v>
      </c>
      <c r="M142">
        <v>173730</v>
      </c>
    </row>
    <row r="143" spans="1:13">
      <c r="A143" s="12" t="s">
        <v>287</v>
      </c>
      <c r="B143" s="13">
        <v>153146</v>
      </c>
      <c r="C143" t="str">
        <f t="shared" si="2"/>
        <v>C</v>
      </c>
      <c r="I143" s="12" t="s">
        <v>83</v>
      </c>
      <c r="J143" s="29">
        <v>1.9791981213503583E-2</v>
      </c>
      <c r="K143" t="s">
        <v>14</v>
      </c>
      <c r="L143" t="s">
        <v>21</v>
      </c>
      <c r="M143">
        <v>145803</v>
      </c>
    </row>
    <row r="144" spans="1:13">
      <c r="A144" s="12" t="s">
        <v>73</v>
      </c>
      <c r="B144" s="13">
        <v>125691</v>
      </c>
      <c r="C144" t="str">
        <f t="shared" si="2"/>
        <v>C</v>
      </c>
      <c r="I144" s="12" t="s">
        <v>161</v>
      </c>
      <c r="J144" s="29">
        <v>1.9621104345427576E-2</v>
      </c>
      <c r="K144" t="s">
        <v>14</v>
      </c>
      <c r="L144" t="s">
        <v>21</v>
      </c>
      <c r="M144">
        <v>121056</v>
      </c>
    </row>
    <row r="145" spans="1:13">
      <c r="A145" s="12" t="s">
        <v>243</v>
      </c>
      <c r="B145" s="13">
        <v>106403</v>
      </c>
      <c r="C145" t="str">
        <f t="shared" si="2"/>
        <v>C</v>
      </c>
      <c r="I145" s="12" t="s">
        <v>153</v>
      </c>
      <c r="J145" s="29">
        <v>1.8321712154927009E-2</v>
      </c>
      <c r="K145" t="s">
        <v>14</v>
      </c>
      <c r="L145" t="s">
        <v>21</v>
      </c>
      <c r="M145">
        <v>212382</v>
      </c>
    </row>
    <row r="146" spans="1:13">
      <c r="A146" s="12" t="s">
        <v>260</v>
      </c>
      <c r="B146" s="13">
        <v>120736</v>
      </c>
      <c r="C146" t="str">
        <f t="shared" si="2"/>
        <v>C</v>
      </c>
      <c r="I146" s="12" t="s">
        <v>93</v>
      </c>
      <c r="J146" s="29">
        <v>1.8175873107276568E-2</v>
      </c>
      <c r="K146" t="s">
        <v>14</v>
      </c>
      <c r="L146" t="s">
        <v>21</v>
      </c>
      <c r="M146">
        <v>146383</v>
      </c>
    </row>
    <row r="147" spans="1:13">
      <c r="A147" s="12" t="s">
        <v>229</v>
      </c>
      <c r="B147" s="13">
        <v>121089</v>
      </c>
      <c r="C147" t="str">
        <f t="shared" si="2"/>
        <v>C</v>
      </c>
      <c r="I147" s="12" t="s">
        <v>220</v>
      </c>
      <c r="J147" s="29">
        <v>1.7872004735161422E-2</v>
      </c>
      <c r="K147" t="s">
        <v>14</v>
      </c>
      <c r="L147" t="s">
        <v>21</v>
      </c>
      <c r="M147">
        <v>125625</v>
      </c>
    </row>
    <row r="148" spans="1:13">
      <c r="A148" s="12" t="s">
        <v>113</v>
      </c>
      <c r="B148" s="13">
        <v>381469</v>
      </c>
      <c r="C148" t="str">
        <f t="shared" si="2"/>
        <v>C</v>
      </c>
      <c r="I148" s="12" t="s">
        <v>238</v>
      </c>
      <c r="J148" s="29">
        <v>1.7629114238556173E-2</v>
      </c>
      <c r="K148" t="s">
        <v>14</v>
      </c>
      <c r="L148" t="s">
        <v>21</v>
      </c>
      <c r="M148">
        <v>129464</v>
      </c>
    </row>
    <row r="149" spans="1:13">
      <c r="A149" s="12" t="s">
        <v>152</v>
      </c>
      <c r="B149" s="13">
        <v>109979</v>
      </c>
      <c r="C149" t="str">
        <f t="shared" si="2"/>
        <v>C</v>
      </c>
      <c r="I149" s="12" t="s">
        <v>143</v>
      </c>
      <c r="J149" s="29">
        <v>1.7218222548158867E-2</v>
      </c>
      <c r="K149" t="s">
        <v>14</v>
      </c>
      <c r="L149" t="s">
        <v>21</v>
      </c>
      <c r="M149">
        <v>132097</v>
      </c>
    </row>
    <row r="150" spans="1:13">
      <c r="A150" s="12" t="s">
        <v>271</v>
      </c>
      <c r="B150" s="13">
        <v>105226</v>
      </c>
      <c r="C150" t="str">
        <f t="shared" si="2"/>
        <v>C</v>
      </c>
      <c r="I150" s="12" t="s">
        <v>74</v>
      </c>
      <c r="J150" s="29">
        <v>1.6676452579742606E-2</v>
      </c>
      <c r="K150" t="s">
        <v>14</v>
      </c>
      <c r="L150" t="s">
        <v>21</v>
      </c>
      <c r="M150">
        <v>118280</v>
      </c>
    </row>
    <row r="151" spans="1:13">
      <c r="A151" s="12" t="s">
        <v>150</v>
      </c>
      <c r="B151" s="13">
        <v>649387</v>
      </c>
      <c r="C151" t="str">
        <f t="shared" si="2"/>
        <v>C</v>
      </c>
      <c r="I151" s="12" t="s">
        <v>287</v>
      </c>
      <c r="J151" s="29">
        <v>1.4070089632092086E-2</v>
      </c>
      <c r="K151" t="s">
        <v>14</v>
      </c>
      <c r="L151" t="s">
        <v>21</v>
      </c>
      <c r="M151">
        <v>153146</v>
      </c>
    </row>
    <row r="152" spans="1:13">
      <c r="A152" s="12" t="s">
        <v>257</v>
      </c>
      <c r="B152" s="13">
        <v>233705</v>
      </c>
      <c r="C152" t="str">
        <f t="shared" si="2"/>
        <v>C</v>
      </c>
      <c r="I152" s="12" t="s">
        <v>231</v>
      </c>
      <c r="J152" s="29">
        <v>0.22254485628351275</v>
      </c>
      <c r="K152" t="s">
        <v>14</v>
      </c>
      <c r="L152" t="s">
        <v>20</v>
      </c>
      <c r="M152">
        <v>198792</v>
      </c>
    </row>
    <row r="153" spans="1:13">
      <c r="A153" s="12" t="s">
        <v>67</v>
      </c>
      <c r="B153" s="13">
        <v>430723</v>
      </c>
      <c r="C153" t="str">
        <f t="shared" si="2"/>
        <v>C</v>
      </c>
      <c r="I153" s="12" t="s">
        <v>277</v>
      </c>
      <c r="J153" s="29">
        <v>0.21578346913427593</v>
      </c>
      <c r="K153" t="s">
        <v>14</v>
      </c>
      <c r="L153" t="s">
        <v>20</v>
      </c>
      <c r="M153">
        <v>117121</v>
      </c>
    </row>
    <row r="154" spans="1:13">
      <c r="A154" s="12" t="s">
        <v>288</v>
      </c>
      <c r="B154" s="13">
        <v>190143</v>
      </c>
      <c r="C154" t="str">
        <f t="shared" si="2"/>
        <v>C</v>
      </c>
      <c r="I154" s="12" t="s">
        <v>196</v>
      </c>
      <c r="J154" s="29">
        <v>0.21001557051507452</v>
      </c>
      <c r="K154" t="s">
        <v>14</v>
      </c>
      <c r="L154" t="s">
        <v>20</v>
      </c>
      <c r="M154">
        <v>122291</v>
      </c>
    </row>
    <row r="155" spans="1:13">
      <c r="A155" s="12" t="s">
        <v>71</v>
      </c>
      <c r="B155" s="13">
        <v>906937</v>
      </c>
      <c r="C155" t="str">
        <f t="shared" si="2"/>
        <v>C</v>
      </c>
      <c r="I155" s="12" t="s">
        <v>94</v>
      </c>
      <c r="J155" s="29">
        <v>0.20865171381090666</v>
      </c>
      <c r="K155" t="s">
        <v>14</v>
      </c>
      <c r="L155" t="s">
        <v>20</v>
      </c>
      <c r="M155">
        <v>176236</v>
      </c>
    </row>
    <row r="156" spans="1:13">
      <c r="A156" s="12" t="s">
        <v>155</v>
      </c>
      <c r="B156" s="13">
        <v>1380135</v>
      </c>
      <c r="C156" t="str">
        <f t="shared" si="2"/>
        <v>C</v>
      </c>
      <c r="I156" s="12" t="s">
        <v>151</v>
      </c>
      <c r="J156" s="29">
        <v>0.19483533688748994</v>
      </c>
      <c r="K156" t="s">
        <v>14</v>
      </c>
      <c r="L156" t="s">
        <v>20</v>
      </c>
      <c r="M156">
        <v>125368</v>
      </c>
    </row>
    <row r="157" spans="1:13">
      <c r="A157" s="12" t="s">
        <v>180</v>
      </c>
      <c r="B157" s="13">
        <v>388750</v>
      </c>
      <c r="C157" t="str">
        <f t="shared" si="2"/>
        <v>C</v>
      </c>
      <c r="I157" s="12" t="s">
        <v>170</v>
      </c>
      <c r="J157" s="29">
        <v>0.19170734839189837</v>
      </c>
      <c r="K157" t="s">
        <v>14</v>
      </c>
      <c r="L157" t="s">
        <v>20</v>
      </c>
      <c r="M157">
        <v>137690</v>
      </c>
    </row>
    <row r="158" spans="1:13">
      <c r="A158" s="12" t="s">
        <v>135</v>
      </c>
      <c r="B158" s="13">
        <v>104868</v>
      </c>
      <c r="C158" t="str">
        <f t="shared" si="2"/>
        <v>C</v>
      </c>
      <c r="I158" s="12" t="s">
        <v>164</v>
      </c>
      <c r="J158" s="29">
        <v>0.18836678861210621</v>
      </c>
      <c r="K158" t="s">
        <v>14</v>
      </c>
      <c r="L158" t="s">
        <v>20</v>
      </c>
      <c r="M158">
        <v>185350</v>
      </c>
    </row>
    <row r="159" spans="1:13">
      <c r="A159" s="12" t="s">
        <v>181</v>
      </c>
      <c r="B159" s="13">
        <v>408355</v>
      </c>
      <c r="C159" t="str">
        <f t="shared" si="2"/>
        <v>C</v>
      </c>
      <c r="I159" s="12" t="s">
        <v>75</v>
      </c>
      <c r="J159" s="29">
        <v>0.17845392574673924</v>
      </c>
      <c r="K159" t="s">
        <v>14</v>
      </c>
      <c r="L159" t="s">
        <v>20</v>
      </c>
      <c r="M159">
        <v>182720</v>
      </c>
    </row>
    <row r="160" spans="1:13">
      <c r="A160" s="12" t="s">
        <v>172</v>
      </c>
      <c r="B160" s="13">
        <v>152134</v>
      </c>
      <c r="C160" t="str">
        <f t="shared" si="2"/>
        <v>C</v>
      </c>
      <c r="I160" s="12" t="s">
        <v>239</v>
      </c>
      <c r="J160" s="29">
        <v>0.1720371480682692</v>
      </c>
      <c r="K160" t="s">
        <v>14</v>
      </c>
      <c r="L160" t="s">
        <v>20</v>
      </c>
      <c r="M160">
        <v>197632</v>
      </c>
    </row>
    <row r="161" spans="1:13">
      <c r="A161" s="12" t="s">
        <v>285</v>
      </c>
      <c r="B161" s="13">
        <v>127970</v>
      </c>
      <c r="C161" t="str">
        <f t="shared" si="2"/>
        <v>C</v>
      </c>
      <c r="I161" s="12" t="s">
        <v>282</v>
      </c>
      <c r="J161" s="29">
        <v>0.16832698309078398</v>
      </c>
      <c r="K161" t="s">
        <v>14</v>
      </c>
      <c r="L161" t="s">
        <v>20</v>
      </c>
      <c r="M161">
        <v>167571</v>
      </c>
    </row>
    <row r="162" spans="1:13">
      <c r="A162" s="12" t="s">
        <v>109</v>
      </c>
      <c r="B162" s="13">
        <v>130871</v>
      </c>
      <c r="C162" t="str">
        <f t="shared" si="2"/>
        <v>C</v>
      </c>
      <c r="I162" s="12" t="s">
        <v>254</v>
      </c>
      <c r="J162" s="29">
        <v>0.16544890642927576</v>
      </c>
      <c r="K162" t="s">
        <v>14</v>
      </c>
      <c r="L162" t="s">
        <v>20</v>
      </c>
      <c r="M162">
        <v>123156</v>
      </c>
    </row>
    <row r="163" spans="1:13">
      <c r="A163" s="12" t="s">
        <v>211</v>
      </c>
      <c r="B163" s="13">
        <v>906913</v>
      </c>
      <c r="C163" t="str">
        <f t="shared" si="2"/>
        <v>C</v>
      </c>
      <c r="I163" s="12" t="s">
        <v>99</v>
      </c>
      <c r="J163" s="29">
        <v>0.16317857973340574</v>
      </c>
      <c r="K163" t="s">
        <v>14</v>
      </c>
      <c r="L163" t="s">
        <v>20</v>
      </c>
      <c r="M163">
        <v>202428</v>
      </c>
    </row>
    <row r="164" spans="1:13">
      <c r="A164" s="12" t="s">
        <v>239</v>
      </c>
      <c r="B164" s="13">
        <v>197632</v>
      </c>
      <c r="C164" t="str">
        <f t="shared" si="2"/>
        <v>C</v>
      </c>
      <c r="I164" s="12" t="s">
        <v>225</v>
      </c>
      <c r="J164" s="29">
        <v>0.15625781122029453</v>
      </c>
      <c r="K164" t="s">
        <v>14</v>
      </c>
      <c r="L164" t="s">
        <v>20</v>
      </c>
      <c r="M164">
        <v>118237</v>
      </c>
    </row>
    <row r="165" spans="1:13">
      <c r="A165" s="12" t="s">
        <v>281</v>
      </c>
      <c r="B165" s="13">
        <v>98997</v>
      </c>
      <c r="C165" t="str">
        <f t="shared" si="2"/>
        <v>C</v>
      </c>
      <c r="I165" s="12" t="s">
        <v>132</v>
      </c>
      <c r="J165" s="29">
        <v>0.15420082965083104</v>
      </c>
      <c r="K165" t="s">
        <v>14</v>
      </c>
      <c r="L165" t="s">
        <v>20</v>
      </c>
      <c r="M165">
        <v>140080</v>
      </c>
    </row>
    <row r="166" spans="1:13">
      <c r="A166" s="12" t="s">
        <v>82</v>
      </c>
      <c r="B166" s="13">
        <v>922892</v>
      </c>
      <c r="C166" t="str">
        <f t="shared" si="2"/>
        <v>C</v>
      </c>
      <c r="I166" s="12" t="s">
        <v>133</v>
      </c>
      <c r="J166" s="29">
        <v>0.15120761684045894</v>
      </c>
      <c r="K166" t="s">
        <v>14</v>
      </c>
      <c r="L166" t="s">
        <v>20</v>
      </c>
      <c r="M166">
        <v>123117</v>
      </c>
    </row>
    <row r="167" spans="1:13">
      <c r="A167" s="12" t="s">
        <v>202</v>
      </c>
      <c r="B167" s="13">
        <v>544672</v>
      </c>
      <c r="C167" t="str">
        <f t="shared" si="2"/>
        <v>C</v>
      </c>
      <c r="I167" s="12" t="s">
        <v>256</v>
      </c>
      <c r="J167" s="29">
        <v>0.14656706886150206</v>
      </c>
      <c r="K167" t="s">
        <v>14</v>
      </c>
      <c r="L167" t="s">
        <v>20</v>
      </c>
      <c r="M167">
        <v>153217</v>
      </c>
    </row>
    <row r="168" spans="1:13">
      <c r="A168" s="12" t="s">
        <v>173</v>
      </c>
      <c r="B168" s="13">
        <v>153215</v>
      </c>
      <c r="C168" t="str">
        <f t="shared" si="2"/>
        <v>C</v>
      </c>
      <c r="I168" s="12" t="s">
        <v>251</v>
      </c>
      <c r="J168" s="29">
        <v>0.13989877763398023</v>
      </c>
      <c r="K168" t="s">
        <v>14</v>
      </c>
      <c r="L168" t="s">
        <v>20</v>
      </c>
      <c r="M168">
        <v>140108</v>
      </c>
    </row>
    <row r="169" spans="1:13">
      <c r="A169" s="12" t="s">
        <v>203</v>
      </c>
      <c r="B169" s="13">
        <v>1230571</v>
      </c>
      <c r="C169" t="str">
        <f t="shared" si="2"/>
        <v>C</v>
      </c>
      <c r="I169" s="12" t="s">
        <v>125</v>
      </c>
      <c r="J169" s="29">
        <v>0.13073682679501786</v>
      </c>
      <c r="K169" t="s">
        <v>14</v>
      </c>
      <c r="L169" t="s">
        <v>20</v>
      </c>
      <c r="M169">
        <v>155931</v>
      </c>
    </row>
    <row r="170" spans="1:13">
      <c r="A170" s="12" t="s">
        <v>214</v>
      </c>
      <c r="B170" s="13">
        <v>365857</v>
      </c>
      <c r="C170" t="str">
        <f t="shared" si="2"/>
        <v>C</v>
      </c>
      <c r="I170" s="12" t="s">
        <v>173</v>
      </c>
      <c r="J170" s="29">
        <v>0.12763223306705462</v>
      </c>
      <c r="K170" t="s">
        <v>14</v>
      </c>
      <c r="L170" t="s">
        <v>20</v>
      </c>
      <c r="M170">
        <v>153215</v>
      </c>
    </row>
    <row r="171" spans="1:13">
      <c r="A171" s="12" t="s">
        <v>268</v>
      </c>
      <c r="B171" s="13">
        <v>263116</v>
      </c>
      <c r="C171" t="str">
        <f t="shared" si="2"/>
        <v>C</v>
      </c>
      <c r="I171" s="12" t="s">
        <v>107</v>
      </c>
      <c r="J171" s="29">
        <v>0.11008939447520109</v>
      </c>
      <c r="K171" t="s">
        <v>14</v>
      </c>
      <c r="L171" t="s">
        <v>20</v>
      </c>
      <c r="M171">
        <v>116460</v>
      </c>
    </row>
    <row r="172" spans="1:13">
      <c r="A172" s="12" t="s">
        <v>220</v>
      </c>
      <c r="B172" s="13">
        <v>125625</v>
      </c>
      <c r="C172" t="str">
        <f t="shared" si="2"/>
        <v>C</v>
      </c>
      <c r="I172" s="12" t="s">
        <v>162</v>
      </c>
      <c r="J172" s="29">
        <v>0.10509789552283992</v>
      </c>
      <c r="K172" t="s">
        <v>14</v>
      </c>
      <c r="L172" t="s">
        <v>20</v>
      </c>
      <c r="M172">
        <v>143926</v>
      </c>
    </row>
    <row r="173" spans="1:13">
      <c r="A173" s="12" t="s">
        <v>212</v>
      </c>
      <c r="B173" s="13">
        <v>110983</v>
      </c>
      <c r="C173" t="str">
        <f t="shared" si="2"/>
        <v>C</v>
      </c>
      <c r="I173" s="12" t="s">
        <v>232</v>
      </c>
      <c r="J173" s="29">
        <v>0.80798811492620437</v>
      </c>
      <c r="K173" t="s">
        <v>14</v>
      </c>
      <c r="L173" t="s">
        <v>19</v>
      </c>
      <c r="M173">
        <v>117061</v>
      </c>
    </row>
    <row r="174" spans="1:13">
      <c r="A174" s="12" t="s">
        <v>159</v>
      </c>
      <c r="B174" s="13">
        <v>1566332</v>
      </c>
      <c r="C174" t="str">
        <f t="shared" si="2"/>
        <v>C</v>
      </c>
      <c r="I174" s="12" t="s">
        <v>200</v>
      </c>
      <c r="J174" s="29">
        <v>0.70035854229432992</v>
      </c>
      <c r="K174" t="s">
        <v>14</v>
      </c>
      <c r="L174" t="s">
        <v>19</v>
      </c>
      <c r="M174">
        <v>168078</v>
      </c>
    </row>
    <row r="175" spans="1:13">
      <c r="A175" s="12" t="s">
        <v>125</v>
      </c>
      <c r="B175" s="13">
        <v>155931</v>
      </c>
      <c r="C175" t="str">
        <f t="shared" si="2"/>
        <v>C</v>
      </c>
      <c r="I175" s="12" t="s">
        <v>285</v>
      </c>
      <c r="J175" s="29">
        <v>0.67634807546368303</v>
      </c>
      <c r="K175" t="s">
        <v>14</v>
      </c>
      <c r="L175" t="s">
        <v>19</v>
      </c>
      <c r="M175">
        <v>127970</v>
      </c>
    </row>
    <row r="176" spans="1:13">
      <c r="A176" s="12" t="s">
        <v>105</v>
      </c>
      <c r="B176" s="13">
        <v>218487</v>
      </c>
      <c r="C176" t="str">
        <f t="shared" si="2"/>
        <v>C</v>
      </c>
      <c r="I176" s="12" t="s">
        <v>92</v>
      </c>
      <c r="J176" s="29">
        <v>0.66690624756841799</v>
      </c>
      <c r="K176" t="s">
        <v>14</v>
      </c>
      <c r="L176" t="s">
        <v>19</v>
      </c>
      <c r="M176">
        <v>162148</v>
      </c>
    </row>
    <row r="177" spans="1:13">
      <c r="A177" s="12" t="s">
        <v>238</v>
      </c>
      <c r="B177" s="13">
        <v>129464</v>
      </c>
      <c r="C177" t="str">
        <f t="shared" si="2"/>
        <v>C</v>
      </c>
      <c r="I177" s="12" t="s">
        <v>60</v>
      </c>
      <c r="J177" s="29">
        <v>0.66346631688273794</v>
      </c>
      <c r="K177" t="s">
        <v>14</v>
      </c>
      <c r="L177" t="s">
        <v>19</v>
      </c>
      <c r="M177">
        <v>121584</v>
      </c>
    </row>
    <row r="178" spans="1:13">
      <c r="A178" s="12" t="s">
        <v>222</v>
      </c>
      <c r="B178" s="13">
        <v>187957</v>
      </c>
      <c r="C178" t="str">
        <f t="shared" si="2"/>
        <v>C</v>
      </c>
      <c r="I178" s="12" t="s">
        <v>244</v>
      </c>
      <c r="J178" s="29">
        <v>0.65589566131689614</v>
      </c>
      <c r="K178" t="s">
        <v>14</v>
      </c>
      <c r="L178" t="s">
        <v>19</v>
      </c>
      <c r="M178">
        <v>148430</v>
      </c>
    </row>
    <row r="179" spans="1:13">
      <c r="A179" s="12" t="s">
        <v>126</v>
      </c>
      <c r="B179" s="13">
        <v>101734</v>
      </c>
      <c r="C179" t="str">
        <f t="shared" si="2"/>
        <v>C</v>
      </c>
      <c r="I179" s="12" t="s">
        <v>233</v>
      </c>
      <c r="J179" s="29">
        <v>0.65551893611688949</v>
      </c>
      <c r="K179" t="s">
        <v>14</v>
      </c>
      <c r="L179" t="s">
        <v>19</v>
      </c>
      <c r="M179">
        <v>143051</v>
      </c>
    </row>
    <row r="180" spans="1:13">
      <c r="A180" s="12" t="s">
        <v>278</v>
      </c>
      <c r="B180" s="13">
        <v>183389</v>
      </c>
      <c r="C180" t="str">
        <f t="shared" si="2"/>
        <v>C</v>
      </c>
      <c r="I180" s="12" t="s">
        <v>178</v>
      </c>
      <c r="J180" s="29">
        <v>0.65276931777981506</v>
      </c>
      <c r="K180" t="s">
        <v>14</v>
      </c>
      <c r="L180" t="s">
        <v>19</v>
      </c>
      <c r="M180">
        <v>158133</v>
      </c>
    </row>
    <row r="181" spans="1:13">
      <c r="A181" s="12" t="s">
        <v>219</v>
      </c>
      <c r="B181" s="13">
        <v>529368</v>
      </c>
      <c r="C181" t="str">
        <f t="shared" si="2"/>
        <v>C</v>
      </c>
      <c r="I181" s="12" t="s">
        <v>218</v>
      </c>
      <c r="J181" s="29">
        <v>0.65224430637911934</v>
      </c>
      <c r="K181" t="s">
        <v>14</v>
      </c>
      <c r="L181" t="s">
        <v>19</v>
      </c>
      <c r="M181">
        <v>125508</v>
      </c>
    </row>
    <row r="182" spans="1:13">
      <c r="A182" s="12" t="s">
        <v>77</v>
      </c>
      <c r="B182" s="13">
        <v>182019</v>
      </c>
      <c r="C182" t="str">
        <f t="shared" si="2"/>
        <v>C</v>
      </c>
      <c r="I182" s="12" t="s">
        <v>144</v>
      </c>
      <c r="J182" s="29">
        <v>0.65157367458974924</v>
      </c>
      <c r="K182" t="s">
        <v>14</v>
      </c>
      <c r="L182" t="s">
        <v>19</v>
      </c>
      <c r="M182">
        <v>165708</v>
      </c>
    </row>
    <row r="183" spans="1:13">
      <c r="A183" s="12" t="s">
        <v>87</v>
      </c>
      <c r="B183" s="13">
        <v>2225738</v>
      </c>
      <c r="C183" t="str">
        <f t="shared" si="2"/>
        <v>C</v>
      </c>
      <c r="I183" s="12" t="s">
        <v>250</v>
      </c>
      <c r="J183" s="29">
        <v>0.64568713044553083</v>
      </c>
      <c r="K183" t="s">
        <v>14</v>
      </c>
      <c r="L183" t="s">
        <v>19</v>
      </c>
      <c r="M183">
        <v>140825</v>
      </c>
    </row>
    <row r="184" spans="1:13">
      <c r="A184" s="12" t="s">
        <v>208</v>
      </c>
      <c r="B184" s="13">
        <v>233427</v>
      </c>
      <c r="C184" t="str">
        <f t="shared" si="2"/>
        <v>C</v>
      </c>
      <c r="I184" s="12" t="s">
        <v>289</v>
      </c>
      <c r="J184" s="29">
        <v>0.64086344707396437</v>
      </c>
      <c r="K184" t="s">
        <v>14</v>
      </c>
      <c r="L184" t="s">
        <v>19</v>
      </c>
      <c r="M184">
        <v>174413</v>
      </c>
    </row>
    <row r="185" spans="1:13">
      <c r="A185" s="12" t="s">
        <v>221</v>
      </c>
      <c r="B185" s="13">
        <v>117581</v>
      </c>
      <c r="C185" t="str">
        <f t="shared" si="2"/>
        <v>C</v>
      </c>
      <c r="I185" s="12" t="s">
        <v>278</v>
      </c>
      <c r="J185" s="29">
        <v>0.63344094889558278</v>
      </c>
      <c r="K185" t="s">
        <v>14</v>
      </c>
      <c r="L185" t="s">
        <v>19</v>
      </c>
      <c r="M185">
        <v>183389</v>
      </c>
    </row>
    <row r="186" spans="1:13">
      <c r="A186" s="12" t="s">
        <v>251</v>
      </c>
      <c r="B186" s="13">
        <v>140108</v>
      </c>
      <c r="C186" t="str">
        <f t="shared" si="2"/>
        <v>C</v>
      </c>
      <c r="I186" s="12" t="s">
        <v>77</v>
      </c>
      <c r="J186" s="29">
        <v>0.62179493863186164</v>
      </c>
      <c r="K186" t="s">
        <v>14</v>
      </c>
      <c r="L186" t="s">
        <v>19</v>
      </c>
      <c r="M186">
        <v>182019</v>
      </c>
    </row>
    <row r="187" spans="1:13">
      <c r="A187" s="12" t="s">
        <v>215</v>
      </c>
      <c r="B187" s="13">
        <v>161867</v>
      </c>
      <c r="C187" t="str">
        <f t="shared" si="2"/>
        <v>C</v>
      </c>
      <c r="I187" s="12" t="s">
        <v>109</v>
      </c>
      <c r="J187" s="29">
        <v>0.6018850069268562</v>
      </c>
      <c r="K187" t="s">
        <v>14</v>
      </c>
      <c r="L187" t="s">
        <v>19</v>
      </c>
      <c r="M187">
        <v>130871</v>
      </c>
    </row>
    <row r="188" spans="1:13">
      <c r="A188" s="12" t="s">
        <v>235</v>
      </c>
      <c r="B188" s="13">
        <v>260050</v>
      </c>
      <c r="C188" t="str">
        <f t="shared" si="2"/>
        <v>C</v>
      </c>
      <c r="I188" s="12" t="s">
        <v>199</v>
      </c>
      <c r="J188" s="29">
        <v>0.58323786438566516</v>
      </c>
      <c r="K188" t="s">
        <v>14</v>
      </c>
      <c r="L188" t="s">
        <v>19</v>
      </c>
      <c r="M188">
        <v>142900</v>
      </c>
    </row>
    <row r="189" spans="1:13">
      <c r="A189" s="12" t="s">
        <v>165</v>
      </c>
      <c r="B189" s="13">
        <v>216919</v>
      </c>
      <c r="C189" t="str">
        <f t="shared" si="2"/>
        <v>C</v>
      </c>
      <c r="I189" s="12" t="s">
        <v>118</v>
      </c>
      <c r="J189" s="29">
        <v>0.57595059549248995</v>
      </c>
      <c r="K189" t="s">
        <v>14</v>
      </c>
      <c r="L189" t="s">
        <v>19</v>
      </c>
      <c r="M189">
        <v>119245</v>
      </c>
    </row>
    <row r="190" spans="1:13">
      <c r="A190" s="12" t="s">
        <v>246</v>
      </c>
      <c r="B190" s="13">
        <v>546775</v>
      </c>
      <c r="C190" t="str">
        <f t="shared" si="2"/>
        <v>C</v>
      </c>
      <c r="I190" s="12" t="s">
        <v>98</v>
      </c>
      <c r="J190" s="29">
        <v>0.54548511404564937</v>
      </c>
      <c r="K190" t="s">
        <v>14</v>
      </c>
      <c r="L190" t="s">
        <v>19</v>
      </c>
      <c r="M190">
        <v>221424</v>
      </c>
    </row>
    <row r="191" spans="1:13">
      <c r="A191" s="12" t="s">
        <v>263</v>
      </c>
      <c r="B191" s="13">
        <v>251685</v>
      </c>
      <c r="C191" t="str">
        <f t="shared" si="2"/>
        <v>C</v>
      </c>
      <c r="I191" s="12" t="s">
        <v>163</v>
      </c>
      <c r="J191" s="29">
        <v>0.51653151051229795</v>
      </c>
      <c r="K191" t="s">
        <v>14</v>
      </c>
      <c r="L191" t="s">
        <v>19</v>
      </c>
      <c r="M191">
        <v>191809</v>
      </c>
    </row>
    <row r="192" spans="1:13">
      <c r="A192" s="12" t="s">
        <v>68</v>
      </c>
      <c r="B192" s="13">
        <v>385559</v>
      </c>
      <c r="C192" t="str">
        <f t="shared" si="2"/>
        <v>C</v>
      </c>
      <c r="I192" s="12" t="s">
        <v>108</v>
      </c>
      <c r="J192" s="29">
        <v>0.50351159740307982</v>
      </c>
      <c r="K192" t="s">
        <v>14</v>
      </c>
      <c r="L192" t="s">
        <v>19</v>
      </c>
      <c r="M192">
        <v>118709</v>
      </c>
    </row>
    <row r="193" spans="1:13">
      <c r="A193" s="12" t="s">
        <v>78</v>
      </c>
      <c r="B193" s="13">
        <v>189068</v>
      </c>
      <c r="C193" t="str">
        <f t="shared" si="2"/>
        <v>C</v>
      </c>
      <c r="I193" s="12" t="s">
        <v>260</v>
      </c>
      <c r="J193" s="29">
        <v>0.47436753501106549</v>
      </c>
      <c r="K193" t="s">
        <v>14</v>
      </c>
      <c r="L193" t="s">
        <v>19</v>
      </c>
      <c r="M193">
        <v>120736</v>
      </c>
    </row>
    <row r="194" spans="1:13">
      <c r="A194" s="12" t="s">
        <v>127</v>
      </c>
      <c r="B194" s="13">
        <v>638468</v>
      </c>
      <c r="C194" t="str">
        <f t="shared" si="2"/>
        <v>C</v>
      </c>
      <c r="I194" s="12" t="s">
        <v>286</v>
      </c>
      <c r="J194" s="29">
        <v>0.45902550293166905</v>
      </c>
      <c r="K194" t="s">
        <v>14</v>
      </c>
      <c r="L194" t="s">
        <v>19</v>
      </c>
      <c r="M194">
        <v>200589</v>
      </c>
    </row>
    <row r="195" spans="1:13">
      <c r="A195" s="12" t="s">
        <v>132</v>
      </c>
      <c r="B195" s="13">
        <v>140080</v>
      </c>
      <c r="C195" t="str">
        <f t="shared" ref="C195:C238" si="3">VLOOKUP(B195,$N$7:$O$9,2,1)</f>
        <v>C</v>
      </c>
      <c r="I195" s="12" t="s">
        <v>130</v>
      </c>
      <c r="J195" s="29">
        <v>0.38975499739401037</v>
      </c>
      <c r="K195" t="s">
        <v>14</v>
      </c>
      <c r="L195" t="s">
        <v>19</v>
      </c>
      <c r="M195">
        <v>155643</v>
      </c>
    </row>
    <row r="196" spans="1:13">
      <c r="A196" s="12" t="s">
        <v>244</v>
      </c>
      <c r="B196" s="13">
        <v>148430</v>
      </c>
      <c r="C196" t="str">
        <f t="shared" si="3"/>
        <v>C</v>
      </c>
      <c r="I196" s="12" t="s">
        <v>58</v>
      </c>
      <c r="J196" s="29">
        <v>0.34918146881547629</v>
      </c>
      <c r="K196" t="s">
        <v>14</v>
      </c>
      <c r="L196" t="s">
        <v>19</v>
      </c>
      <c r="M196">
        <v>177921</v>
      </c>
    </row>
    <row r="197" spans="1:13">
      <c r="A197" s="12" t="s">
        <v>191</v>
      </c>
      <c r="B197" s="13">
        <v>106567</v>
      </c>
      <c r="C197" t="str">
        <f t="shared" si="3"/>
        <v>C</v>
      </c>
      <c r="I197" s="12" t="s">
        <v>90</v>
      </c>
      <c r="J197" s="29">
        <v>9.6111122112925398E-2</v>
      </c>
      <c r="K197" t="s">
        <v>15</v>
      </c>
      <c r="L197" t="s">
        <v>21</v>
      </c>
      <c r="M197">
        <v>104913</v>
      </c>
    </row>
    <row r="198" spans="1:13">
      <c r="A198" s="12" t="s">
        <v>265</v>
      </c>
      <c r="B198" s="13">
        <v>110455</v>
      </c>
      <c r="C198" t="str">
        <f t="shared" si="3"/>
        <v>C</v>
      </c>
      <c r="I198" s="12" t="s">
        <v>243</v>
      </c>
      <c r="J198" s="29">
        <v>3.436523755063562E-2</v>
      </c>
      <c r="K198" t="s">
        <v>15</v>
      </c>
      <c r="L198" t="s">
        <v>21</v>
      </c>
      <c r="M198">
        <v>106403</v>
      </c>
    </row>
    <row r="199" spans="1:13">
      <c r="A199" s="12" t="s">
        <v>182</v>
      </c>
      <c r="B199" s="13">
        <v>95990</v>
      </c>
      <c r="C199" t="str">
        <f t="shared" si="3"/>
        <v>C</v>
      </c>
      <c r="I199" s="45" t="s">
        <v>217</v>
      </c>
      <c r="J199" s="30">
        <v>3.0429831537543778E-2</v>
      </c>
      <c r="K199" t="s">
        <v>15</v>
      </c>
      <c r="L199" s="47" t="s">
        <v>21</v>
      </c>
      <c r="M199">
        <v>112219</v>
      </c>
    </row>
    <row r="200" spans="1:13">
      <c r="A200" s="12" t="s">
        <v>153</v>
      </c>
      <c r="B200" s="13">
        <v>212382</v>
      </c>
      <c r="C200" t="str">
        <f t="shared" si="3"/>
        <v>C</v>
      </c>
      <c r="I200" s="12" t="s">
        <v>64</v>
      </c>
      <c r="J200" s="29">
        <v>2.9705098318978492E-2</v>
      </c>
      <c r="K200" t="s">
        <v>15</v>
      </c>
      <c r="L200" t="s">
        <v>21</v>
      </c>
      <c r="M200">
        <v>100275</v>
      </c>
    </row>
    <row r="201" spans="1:13">
      <c r="A201" s="12" t="s">
        <v>106</v>
      </c>
      <c r="B201" s="13">
        <v>572272</v>
      </c>
      <c r="C201" t="str">
        <f t="shared" si="3"/>
        <v>C</v>
      </c>
      <c r="I201" s="12" t="s">
        <v>253</v>
      </c>
      <c r="J201" s="29">
        <v>2.9171726039697081E-2</v>
      </c>
      <c r="K201" t="s">
        <v>15</v>
      </c>
      <c r="L201" t="s">
        <v>21</v>
      </c>
      <c r="M201">
        <v>111082</v>
      </c>
    </row>
    <row r="202" spans="1:13">
      <c r="A202" s="12" t="s">
        <v>267</v>
      </c>
      <c r="B202" s="13">
        <v>88186</v>
      </c>
      <c r="C202" t="str">
        <f t="shared" si="3"/>
        <v>C</v>
      </c>
      <c r="I202" s="12" t="s">
        <v>245</v>
      </c>
      <c r="J202" s="29">
        <v>2.7700169725873847E-2</v>
      </c>
      <c r="K202" t="s">
        <v>15</v>
      </c>
      <c r="L202" t="s">
        <v>21</v>
      </c>
      <c r="M202">
        <v>98666</v>
      </c>
    </row>
    <row r="203" spans="1:13">
      <c r="A203" s="12" t="s">
        <v>183</v>
      </c>
      <c r="B203" s="13">
        <v>108043</v>
      </c>
      <c r="C203" t="str">
        <f t="shared" si="3"/>
        <v>C</v>
      </c>
      <c r="I203" s="12" t="s">
        <v>197</v>
      </c>
      <c r="J203" s="29">
        <v>2.5788363805792792E-2</v>
      </c>
      <c r="K203" t="s">
        <v>15</v>
      </c>
      <c r="L203" t="s">
        <v>21</v>
      </c>
      <c r="M203">
        <v>114642</v>
      </c>
    </row>
    <row r="204" spans="1:13">
      <c r="A204" s="12" t="s">
        <v>103</v>
      </c>
      <c r="B204" s="13">
        <v>714634</v>
      </c>
      <c r="C204" t="str">
        <f t="shared" si="3"/>
        <v>C</v>
      </c>
      <c r="I204" s="12" t="s">
        <v>129</v>
      </c>
      <c r="J204" s="29">
        <v>2.5452023233169078E-2</v>
      </c>
      <c r="K204" t="s">
        <v>15</v>
      </c>
      <c r="L204" t="s">
        <v>21</v>
      </c>
      <c r="M204">
        <v>104601</v>
      </c>
    </row>
    <row r="205" spans="1:13">
      <c r="A205" s="12" t="s">
        <v>176</v>
      </c>
      <c r="B205" s="13">
        <v>372090</v>
      </c>
      <c r="C205" t="str">
        <f t="shared" si="3"/>
        <v>C</v>
      </c>
      <c r="I205" s="12" t="s">
        <v>169</v>
      </c>
      <c r="J205" s="29">
        <v>2.5435447290728067E-2</v>
      </c>
      <c r="K205" t="s">
        <v>15</v>
      </c>
      <c r="L205" t="s">
        <v>21</v>
      </c>
      <c r="M205">
        <v>110356</v>
      </c>
    </row>
    <row r="206" spans="1:13">
      <c r="A206" s="12" t="s">
        <v>57</v>
      </c>
      <c r="B206" s="13">
        <v>320569</v>
      </c>
      <c r="C206" t="str">
        <f t="shared" si="3"/>
        <v>C</v>
      </c>
      <c r="I206" s="12" t="s">
        <v>236</v>
      </c>
      <c r="J206" s="29">
        <v>2.5395726314062877E-2</v>
      </c>
      <c r="K206" t="s">
        <v>15</v>
      </c>
      <c r="L206" t="s">
        <v>21</v>
      </c>
      <c r="M206">
        <v>99682</v>
      </c>
    </row>
    <row r="207" spans="1:13">
      <c r="A207" s="12" t="s">
        <v>79</v>
      </c>
      <c r="B207" s="13">
        <v>538234</v>
      </c>
      <c r="C207" t="str">
        <f t="shared" si="3"/>
        <v>C</v>
      </c>
      <c r="I207" s="12" t="s">
        <v>190</v>
      </c>
      <c r="J207" s="29">
        <v>2.4973873187390853E-2</v>
      </c>
      <c r="K207" t="s">
        <v>15</v>
      </c>
      <c r="L207" t="s">
        <v>21</v>
      </c>
      <c r="M207">
        <v>115364</v>
      </c>
    </row>
    <row r="208" spans="1:13">
      <c r="A208" s="12" t="s">
        <v>130</v>
      </c>
      <c r="B208" s="13">
        <v>155643</v>
      </c>
      <c r="C208" t="str">
        <f t="shared" si="3"/>
        <v>C</v>
      </c>
      <c r="I208" s="12" t="s">
        <v>212</v>
      </c>
      <c r="J208" s="29">
        <v>2.4620589046966262E-2</v>
      </c>
      <c r="K208" t="s">
        <v>15</v>
      </c>
      <c r="L208" t="s">
        <v>21</v>
      </c>
      <c r="M208">
        <v>110983</v>
      </c>
    </row>
    <row r="209" spans="1:13">
      <c r="A209" s="12" t="s">
        <v>90</v>
      </c>
      <c r="B209" s="13">
        <v>104913</v>
      </c>
      <c r="C209" t="str">
        <f t="shared" si="3"/>
        <v>C</v>
      </c>
      <c r="I209" s="12" t="s">
        <v>227</v>
      </c>
      <c r="J209" s="29">
        <v>2.273458326054028E-2</v>
      </c>
      <c r="K209" t="s">
        <v>15</v>
      </c>
      <c r="L209" t="s">
        <v>21</v>
      </c>
      <c r="M209">
        <v>101671</v>
      </c>
    </row>
    <row r="210" spans="1:13">
      <c r="A210" s="12" t="s">
        <v>101</v>
      </c>
      <c r="B210" s="13">
        <v>473153</v>
      </c>
      <c r="C210" t="str">
        <f t="shared" si="3"/>
        <v>C</v>
      </c>
      <c r="I210" s="12" t="s">
        <v>186</v>
      </c>
      <c r="J210" s="29">
        <v>2.1100071069105168E-2</v>
      </c>
      <c r="K210" t="s">
        <v>15</v>
      </c>
      <c r="L210" t="s">
        <v>21</v>
      </c>
      <c r="M210">
        <v>107537</v>
      </c>
    </row>
    <row r="211" spans="1:13">
      <c r="A211" s="12" t="s">
        <v>115</v>
      </c>
      <c r="B211" s="13">
        <v>101145</v>
      </c>
      <c r="C211" t="str">
        <f t="shared" si="3"/>
        <v>C</v>
      </c>
      <c r="I211" s="12" t="s">
        <v>266</v>
      </c>
      <c r="J211" s="29">
        <v>1.9502170943277986E-2</v>
      </c>
      <c r="K211" t="s">
        <v>15</v>
      </c>
      <c r="L211" t="s">
        <v>21</v>
      </c>
      <c r="M211">
        <v>98661</v>
      </c>
    </row>
    <row r="212" spans="1:13">
      <c r="A212" s="12" t="s">
        <v>245</v>
      </c>
      <c r="B212" s="13">
        <v>98666</v>
      </c>
      <c r="C212" t="str">
        <f t="shared" si="3"/>
        <v>C</v>
      </c>
      <c r="I212" s="12" t="s">
        <v>206</v>
      </c>
      <c r="J212" s="29">
        <v>1.9328189344935624E-2</v>
      </c>
      <c r="K212" t="s">
        <v>15</v>
      </c>
      <c r="L212" t="s">
        <v>21</v>
      </c>
      <c r="M212">
        <v>112479</v>
      </c>
    </row>
    <row r="213" spans="1:13">
      <c r="A213" s="12" t="s">
        <v>253</v>
      </c>
      <c r="B213" s="13">
        <v>111082</v>
      </c>
      <c r="C213" t="str">
        <f t="shared" si="3"/>
        <v>C</v>
      </c>
      <c r="I213" s="12" t="s">
        <v>131</v>
      </c>
      <c r="J213" s="29">
        <v>1.6866548288562069E-2</v>
      </c>
      <c r="K213" t="s">
        <v>15</v>
      </c>
      <c r="L213" t="s">
        <v>21</v>
      </c>
      <c r="M213">
        <v>96997</v>
      </c>
    </row>
    <row r="214" spans="1:13">
      <c r="A214" s="12" t="s">
        <v>107</v>
      </c>
      <c r="B214" s="13">
        <v>116460</v>
      </c>
      <c r="C214" t="str">
        <f t="shared" si="3"/>
        <v>C</v>
      </c>
      <c r="I214" s="12" t="s">
        <v>259</v>
      </c>
      <c r="J214" s="29">
        <v>0.20240574167199726</v>
      </c>
      <c r="K214" t="s">
        <v>15</v>
      </c>
      <c r="L214" t="s">
        <v>20</v>
      </c>
      <c r="M214">
        <v>82508</v>
      </c>
    </row>
    <row r="215" spans="1:13">
      <c r="A215" s="12" t="s">
        <v>104</v>
      </c>
      <c r="B215" s="13">
        <v>1584020</v>
      </c>
      <c r="C215" t="str">
        <f t="shared" si="3"/>
        <v>C</v>
      </c>
      <c r="I215" s="12" t="s">
        <v>269</v>
      </c>
      <c r="J215" s="29">
        <v>0.18698906538326937</v>
      </c>
      <c r="K215" t="s">
        <v>15</v>
      </c>
      <c r="L215" t="s">
        <v>20</v>
      </c>
      <c r="M215">
        <v>103005</v>
      </c>
    </row>
    <row r="216" spans="1:13">
      <c r="A216" s="12" t="s">
        <v>88</v>
      </c>
      <c r="B216" s="13">
        <v>1216269</v>
      </c>
      <c r="C216" t="str">
        <f t="shared" si="3"/>
        <v>C</v>
      </c>
      <c r="I216" s="12" t="s">
        <v>267</v>
      </c>
      <c r="J216" s="29">
        <v>0.18428656834209881</v>
      </c>
      <c r="K216" t="s">
        <v>15</v>
      </c>
      <c r="L216" t="s">
        <v>20</v>
      </c>
      <c r="M216">
        <v>88186</v>
      </c>
    </row>
    <row r="217" spans="1:13">
      <c r="A217" s="12" t="s">
        <v>198</v>
      </c>
      <c r="B217" s="13">
        <v>116284</v>
      </c>
      <c r="C217" t="str">
        <f t="shared" si="3"/>
        <v>C</v>
      </c>
      <c r="I217" s="12" t="s">
        <v>95</v>
      </c>
      <c r="J217" s="29">
        <v>0.18321202616394353</v>
      </c>
      <c r="K217" t="s">
        <v>15</v>
      </c>
      <c r="L217" t="s">
        <v>20</v>
      </c>
      <c r="M217">
        <v>115286</v>
      </c>
    </row>
    <row r="218" spans="1:13">
      <c r="A218" s="12" t="s">
        <v>174</v>
      </c>
      <c r="B218" s="13">
        <v>237013</v>
      </c>
      <c r="C218" t="str">
        <f t="shared" si="3"/>
        <v>C</v>
      </c>
      <c r="I218" s="12" t="s">
        <v>63</v>
      </c>
      <c r="J218" s="29">
        <v>0.18296992926193303</v>
      </c>
      <c r="K218" t="s">
        <v>15</v>
      </c>
      <c r="L218" t="s">
        <v>20</v>
      </c>
      <c r="M218">
        <v>98234</v>
      </c>
    </row>
    <row r="219" spans="1:13">
      <c r="A219" s="12" t="s">
        <v>185</v>
      </c>
      <c r="B219" s="13">
        <v>409520</v>
      </c>
      <c r="C219" t="str">
        <f t="shared" si="3"/>
        <v>C</v>
      </c>
      <c r="I219" s="12" t="s">
        <v>205</v>
      </c>
      <c r="J219" s="29">
        <v>0.17714523592316919</v>
      </c>
      <c r="K219" t="s">
        <v>15</v>
      </c>
      <c r="L219" t="s">
        <v>20</v>
      </c>
      <c r="M219">
        <v>106019</v>
      </c>
    </row>
    <row r="220" spans="1:13">
      <c r="A220" s="12" t="s">
        <v>178</v>
      </c>
      <c r="B220" s="13">
        <v>158133</v>
      </c>
      <c r="C220" t="str">
        <f t="shared" si="3"/>
        <v>C</v>
      </c>
      <c r="I220" s="12" t="s">
        <v>183</v>
      </c>
      <c r="J220" s="29">
        <v>0.17626513715137468</v>
      </c>
      <c r="K220" t="s">
        <v>15</v>
      </c>
      <c r="L220" t="s">
        <v>20</v>
      </c>
      <c r="M220">
        <v>108043</v>
      </c>
    </row>
    <row r="221" spans="1:13">
      <c r="A221" s="12" t="s">
        <v>128</v>
      </c>
      <c r="B221" s="13">
        <v>766076</v>
      </c>
      <c r="C221" t="str">
        <f t="shared" si="3"/>
        <v>C</v>
      </c>
      <c r="I221" s="12" t="s">
        <v>141</v>
      </c>
      <c r="J221" s="29">
        <v>0.1680975340317131</v>
      </c>
      <c r="K221" t="s">
        <v>15</v>
      </c>
      <c r="L221" t="s">
        <v>20</v>
      </c>
      <c r="M221">
        <v>100218</v>
      </c>
    </row>
    <row r="222" spans="1:13">
      <c r="A222" s="12" t="s">
        <v>124</v>
      </c>
      <c r="B222" s="13">
        <v>1233236</v>
      </c>
      <c r="C222" t="str">
        <f t="shared" si="3"/>
        <v>C</v>
      </c>
      <c r="I222" s="12" t="s">
        <v>290</v>
      </c>
      <c r="J222" s="29">
        <v>0.16434575606320392</v>
      </c>
      <c r="K222" t="s">
        <v>15</v>
      </c>
      <c r="L222" t="s">
        <v>20</v>
      </c>
      <c r="M222">
        <v>106517</v>
      </c>
    </row>
    <row r="223" spans="1:13">
      <c r="A223" s="12" t="s">
        <v>169</v>
      </c>
      <c r="B223" s="13">
        <v>110356</v>
      </c>
      <c r="C223" t="str">
        <f t="shared" si="3"/>
        <v>C</v>
      </c>
      <c r="I223" s="12" t="s">
        <v>115</v>
      </c>
      <c r="J223" s="29">
        <v>0.1589361966104188</v>
      </c>
      <c r="K223" t="s">
        <v>15</v>
      </c>
      <c r="L223" t="s">
        <v>20</v>
      </c>
      <c r="M223">
        <v>101145</v>
      </c>
    </row>
    <row r="224" spans="1:13">
      <c r="A224" s="12" t="s">
        <v>156</v>
      </c>
      <c r="B224" s="13">
        <v>629083</v>
      </c>
      <c r="C224" t="str">
        <f t="shared" si="3"/>
        <v>C</v>
      </c>
      <c r="I224" s="12" t="s">
        <v>270</v>
      </c>
      <c r="J224" s="29">
        <v>0.15337885922223626</v>
      </c>
      <c r="K224" t="s">
        <v>15</v>
      </c>
      <c r="L224" t="s">
        <v>20</v>
      </c>
      <c r="M224">
        <v>106579</v>
      </c>
    </row>
    <row r="225" spans="1:13">
      <c r="A225" s="12" t="s">
        <v>292</v>
      </c>
      <c r="B225" s="13">
        <v>385498</v>
      </c>
      <c r="C225" t="str">
        <f t="shared" si="3"/>
        <v>C</v>
      </c>
      <c r="I225" s="12" t="s">
        <v>91</v>
      </c>
      <c r="J225" s="29">
        <v>0.10193131105623116</v>
      </c>
      <c r="K225" t="s">
        <v>15</v>
      </c>
      <c r="L225" t="s">
        <v>20</v>
      </c>
      <c r="M225">
        <v>104402</v>
      </c>
    </row>
    <row r="226" spans="1:13">
      <c r="A226" s="12" t="s">
        <v>270</v>
      </c>
      <c r="B226" s="13">
        <v>106579</v>
      </c>
      <c r="C226" t="str">
        <f t="shared" si="3"/>
        <v>C</v>
      </c>
      <c r="I226" s="12" t="s">
        <v>281</v>
      </c>
      <c r="J226" s="29">
        <v>0.82178279580874225</v>
      </c>
      <c r="K226" t="s">
        <v>15</v>
      </c>
      <c r="L226" t="s">
        <v>19</v>
      </c>
      <c r="M226">
        <v>98997</v>
      </c>
    </row>
    <row r="227" spans="1:13">
      <c r="A227" s="12" t="s">
        <v>84</v>
      </c>
      <c r="B227" s="13">
        <v>120794</v>
      </c>
      <c r="C227" t="str">
        <f t="shared" si="3"/>
        <v>C</v>
      </c>
      <c r="I227" s="12" t="s">
        <v>126</v>
      </c>
      <c r="J227" s="29">
        <v>0.75220104766332541</v>
      </c>
      <c r="K227" t="s">
        <v>15</v>
      </c>
      <c r="L227" t="s">
        <v>19</v>
      </c>
      <c r="M227">
        <v>101734</v>
      </c>
    </row>
    <row r="228" spans="1:13">
      <c r="A228" s="12" t="s">
        <v>161</v>
      </c>
      <c r="B228" s="13">
        <v>121056</v>
      </c>
      <c r="C228" t="str">
        <f t="shared" si="3"/>
        <v>C</v>
      </c>
      <c r="I228" s="12" t="s">
        <v>182</v>
      </c>
      <c r="J228" s="29">
        <v>0.67482887901111477</v>
      </c>
      <c r="K228" t="s">
        <v>15</v>
      </c>
      <c r="L228" t="s">
        <v>19</v>
      </c>
      <c r="M228">
        <v>95990</v>
      </c>
    </row>
    <row r="229" spans="1:13">
      <c r="A229" s="12" t="s">
        <v>99</v>
      </c>
      <c r="B229" s="13">
        <v>202428</v>
      </c>
      <c r="C229" t="str">
        <f t="shared" si="3"/>
        <v>C</v>
      </c>
      <c r="I229" s="12" t="s">
        <v>145</v>
      </c>
      <c r="J229" s="29">
        <v>0.62656003248829828</v>
      </c>
      <c r="K229" t="s">
        <v>15</v>
      </c>
      <c r="L229" t="s">
        <v>19</v>
      </c>
      <c r="M229">
        <v>105613</v>
      </c>
    </row>
    <row r="230" spans="1:13">
      <c r="A230" s="12" t="s">
        <v>75</v>
      </c>
      <c r="B230" s="13">
        <v>182720</v>
      </c>
      <c r="C230" t="str">
        <f t="shared" si="3"/>
        <v>C</v>
      </c>
      <c r="I230" s="12" t="s">
        <v>135</v>
      </c>
      <c r="J230" s="29">
        <v>0.62533619160086773</v>
      </c>
      <c r="K230" t="s">
        <v>15</v>
      </c>
      <c r="L230" t="s">
        <v>19</v>
      </c>
      <c r="M230">
        <v>104868</v>
      </c>
    </row>
    <row r="231" spans="1:13">
      <c r="A231" s="12" t="s">
        <v>151</v>
      </c>
      <c r="B231" s="13">
        <v>125368</v>
      </c>
      <c r="C231" t="str">
        <f t="shared" si="3"/>
        <v>C</v>
      </c>
      <c r="I231" s="12" t="s">
        <v>264</v>
      </c>
      <c r="J231" s="29">
        <v>0.621077833011492</v>
      </c>
      <c r="K231" t="s">
        <v>15</v>
      </c>
      <c r="L231" t="s">
        <v>19</v>
      </c>
      <c r="M231">
        <v>108319</v>
      </c>
    </row>
    <row r="232" spans="1:13">
      <c r="A232" s="12" t="s">
        <v>231</v>
      </c>
      <c r="B232" s="13">
        <v>198792</v>
      </c>
      <c r="C232" t="str">
        <f t="shared" si="3"/>
        <v>C</v>
      </c>
      <c r="I232" s="12" t="s">
        <v>271</v>
      </c>
      <c r="J232" s="29">
        <v>0.60722408987978749</v>
      </c>
      <c r="K232" t="s">
        <v>15</v>
      </c>
      <c r="L232" t="s">
        <v>19</v>
      </c>
      <c r="M232">
        <v>105226</v>
      </c>
    </row>
    <row r="233" spans="1:13">
      <c r="A233" s="12" t="s">
        <v>289</v>
      </c>
      <c r="B233" s="13">
        <v>174413</v>
      </c>
      <c r="C233" t="str">
        <f t="shared" si="3"/>
        <v>C</v>
      </c>
      <c r="I233" s="12" t="s">
        <v>265</v>
      </c>
      <c r="J233" s="29">
        <v>0.59740991324476056</v>
      </c>
      <c r="K233" t="s">
        <v>15</v>
      </c>
      <c r="L233" t="s">
        <v>19</v>
      </c>
      <c r="M233">
        <v>110455</v>
      </c>
    </row>
    <row r="234" spans="1:13">
      <c r="A234" s="12" t="s">
        <v>140</v>
      </c>
      <c r="B234" s="13">
        <v>1309109</v>
      </c>
      <c r="C234" t="str">
        <f t="shared" si="3"/>
        <v>C</v>
      </c>
      <c r="I234" s="12" t="s">
        <v>191</v>
      </c>
      <c r="J234" s="29">
        <v>0.57934564750573214</v>
      </c>
      <c r="K234" t="s">
        <v>15</v>
      </c>
      <c r="L234" t="s">
        <v>19</v>
      </c>
      <c r="M234">
        <v>106567</v>
      </c>
    </row>
    <row r="235" spans="1:13">
      <c r="A235" s="12" t="s">
        <v>74</v>
      </c>
      <c r="B235" s="13">
        <v>118280</v>
      </c>
      <c r="C235" t="str">
        <f t="shared" si="3"/>
        <v>C</v>
      </c>
      <c r="I235" s="12" t="s">
        <v>284</v>
      </c>
      <c r="J235" s="29">
        <v>0.57497454381122148</v>
      </c>
      <c r="K235" t="s">
        <v>15</v>
      </c>
      <c r="L235" t="s">
        <v>19</v>
      </c>
      <c r="M235">
        <v>86108</v>
      </c>
    </row>
    <row r="236" spans="1:13">
      <c r="A236" s="12" t="s">
        <v>93</v>
      </c>
      <c r="B236" s="13">
        <v>146383</v>
      </c>
      <c r="C236" t="str">
        <f t="shared" si="3"/>
        <v>C</v>
      </c>
      <c r="I236" s="12" t="s">
        <v>152</v>
      </c>
      <c r="J236" s="29">
        <v>0.55428297814752681</v>
      </c>
      <c r="K236" t="s">
        <v>15</v>
      </c>
      <c r="L236" t="s">
        <v>19</v>
      </c>
      <c r="M236">
        <v>109979</v>
      </c>
    </row>
    <row r="237" spans="1:13">
      <c r="A237" s="12" t="s">
        <v>166</v>
      </c>
      <c r="B237" s="13">
        <v>485054</v>
      </c>
      <c r="C237" t="str">
        <f t="shared" si="3"/>
        <v>C</v>
      </c>
      <c r="I237" s="12" t="s">
        <v>280</v>
      </c>
      <c r="J237" s="29">
        <v>0.54807100090164007</v>
      </c>
      <c r="K237" t="s">
        <v>15</v>
      </c>
      <c r="L237" t="s">
        <v>19</v>
      </c>
      <c r="M237">
        <v>91438</v>
      </c>
    </row>
    <row r="238" spans="1:13">
      <c r="A238" s="12" t="s">
        <v>197</v>
      </c>
      <c r="B238" s="13">
        <v>114642</v>
      </c>
      <c r="C238" t="str">
        <f t="shared" si="3"/>
        <v>C</v>
      </c>
      <c r="I238" s="12" t="s">
        <v>273</v>
      </c>
      <c r="J238" s="29">
        <v>0.44783867030006025</v>
      </c>
      <c r="K238" t="s">
        <v>15</v>
      </c>
      <c r="L238" t="s">
        <v>19</v>
      </c>
      <c r="M238">
        <v>97921</v>
      </c>
    </row>
  </sheetData>
  <autoFilter ref="I1:K238" xr:uid="{40E576E5-807C-4BC4-9794-0BEE66ABC2F5}">
    <sortState xmlns:xlrd2="http://schemas.microsoft.com/office/spreadsheetml/2017/richdata2" ref="I2:K238">
      <sortCondition descending="1" ref="J1:J238"/>
    </sortState>
  </autoFilter>
  <sortState xmlns:xlrd2="http://schemas.microsoft.com/office/spreadsheetml/2017/richdata2" ref="I2:L238">
    <sortCondition ref="K2:K238"/>
    <sortCondition ref="L2:L2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1A6C-D906-4A04-8992-75542D849C3A}">
  <dimension ref="A1:M42"/>
  <sheetViews>
    <sheetView topLeftCell="A10" zoomScale="89" zoomScaleNormal="85" workbookViewId="0">
      <selection activeCell="C24" sqref="C24"/>
    </sheetView>
  </sheetViews>
  <sheetFormatPr defaultRowHeight="15"/>
  <cols>
    <col min="1" max="1" width="29.85546875" bestFit="1" customWidth="1"/>
    <col min="2" max="2" width="12" customWidth="1"/>
  </cols>
  <sheetData>
    <row r="1" spans="7:13" ht="18">
      <c r="G1" t="s">
        <v>21</v>
      </c>
      <c r="H1" t="s">
        <v>300</v>
      </c>
      <c r="J1" t="s">
        <v>302</v>
      </c>
      <c r="K1" t="s">
        <v>303</v>
      </c>
      <c r="M1" t="s">
        <v>308</v>
      </c>
    </row>
    <row r="2" spans="7:13">
      <c r="G2" s="19">
        <v>0</v>
      </c>
      <c r="H2" s="19">
        <v>0</v>
      </c>
      <c r="J2" s="15">
        <v>0.2</v>
      </c>
      <c r="K2" s="15">
        <v>0.83995771256044982</v>
      </c>
    </row>
    <row r="3" spans="7:13">
      <c r="G3" s="19">
        <v>1</v>
      </c>
      <c r="H3" s="19">
        <v>1</v>
      </c>
      <c r="J3" s="15">
        <v>0.2</v>
      </c>
      <c r="K3" s="19">
        <v>0</v>
      </c>
    </row>
    <row r="5" spans="7:13" ht="18">
      <c r="G5" t="s">
        <v>21</v>
      </c>
      <c r="H5" t="s">
        <v>304</v>
      </c>
      <c r="J5" t="s">
        <v>306</v>
      </c>
      <c r="K5" t="s">
        <v>307</v>
      </c>
    </row>
    <row r="6" spans="7:13">
      <c r="G6" s="15">
        <v>0.2</v>
      </c>
      <c r="H6" s="15">
        <v>0.83995771256044982</v>
      </c>
      <c r="J6" s="26">
        <v>0.5</v>
      </c>
      <c r="K6" s="27">
        <v>0.95906138111108141</v>
      </c>
    </row>
    <row r="7" spans="7:13">
      <c r="G7" s="19">
        <v>1</v>
      </c>
      <c r="H7" s="19">
        <v>1</v>
      </c>
      <c r="J7" s="20">
        <f>J6</f>
        <v>0.5</v>
      </c>
      <c r="K7" s="19">
        <v>0</v>
      </c>
    </row>
    <row r="21" spans="1:10">
      <c r="D21" t="s">
        <v>297</v>
      </c>
      <c r="E21" t="s">
        <v>299</v>
      </c>
    </row>
    <row r="22" spans="1:10" ht="18">
      <c r="A22" s="11" t="s">
        <v>294</v>
      </c>
      <c r="B22" t="s">
        <v>295</v>
      </c>
      <c r="C22" t="s">
        <v>296</v>
      </c>
      <c r="D22" t="s">
        <v>21</v>
      </c>
      <c r="E22" t="s">
        <v>298</v>
      </c>
      <c r="F22" t="s">
        <v>300</v>
      </c>
      <c r="G22" t="s">
        <v>301</v>
      </c>
      <c r="H22" t="s">
        <v>304</v>
      </c>
      <c r="I22" t="s">
        <v>305</v>
      </c>
      <c r="J22" t="s">
        <v>17</v>
      </c>
    </row>
    <row r="23" spans="1:10">
      <c r="A23" s="12" t="s">
        <v>5</v>
      </c>
      <c r="B23" s="14">
        <v>0.48062360541166022</v>
      </c>
      <c r="C23" s="13">
        <v>1</v>
      </c>
      <c r="D23" s="16">
        <f>C23/MAX(C:C)</f>
        <v>0.05</v>
      </c>
      <c r="E23" s="22">
        <f>B23</f>
        <v>0.48062360541166022</v>
      </c>
      <c r="F23" s="21">
        <f>D23</f>
        <v>0.05</v>
      </c>
      <c r="G23" s="14">
        <f>E23-F23</f>
        <v>0.43062360541166023</v>
      </c>
      <c r="H23" s="25">
        <f>0.2001*D23+0.7999</f>
        <v>0.8099050000000001</v>
      </c>
      <c r="I23" s="14">
        <f>E23-H23</f>
        <v>-0.32928139458833988</v>
      </c>
      <c r="J23" t="s">
        <v>309</v>
      </c>
    </row>
    <row r="24" spans="1:10">
      <c r="A24" s="12" t="s">
        <v>9</v>
      </c>
      <c r="B24" s="14">
        <v>0.67193894076657645</v>
      </c>
      <c r="C24" s="13">
        <v>2</v>
      </c>
      <c r="D24" s="16">
        <f t="shared" ref="D24:D42" si="0">C24/MAX(C:C)</f>
        <v>0.1</v>
      </c>
      <c r="E24" s="22">
        <f t="shared" ref="E24:E42" si="1">B24</f>
        <v>0.67193894076657645</v>
      </c>
      <c r="F24" s="21">
        <f t="shared" ref="F24:F42" si="2">D24</f>
        <v>0.1</v>
      </c>
      <c r="G24" s="14">
        <f t="shared" ref="G24:G42" si="3">E24-F24</f>
        <v>0.57193894076657648</v>
      </c>
      <c r="H24" s="25">
        <f t="shared" ref="H24:H42" si="4">0.2001*D24+0.7999</f>
        <v>0.81991000000000003</v>
      </c>
      <c r="I24" s="14">
        <f t="shared" ref="I24:I42" si="5">E24-H24</f>
        <v>-0.14797105923342357</v>
      </c>
      <c r="J24" t="s">
        <v>309</v>
      </c>
    </row>
    <row r="25" spans="1:10">
      <c r="A25" s="12" t="s">
        <v>4</v>
      </c>
      <c r="B25" s="14">
        <v>0.78140570384350083</v>
      </c>
      <c r="C25" s="13">
        <v>3</v>
      </c>
      <c r="D25" s="16">
        <f t="shared" si="0"/>
        <v>0.15</v>
      </c>
      <c r="E25" s="22">
        <f t="shared" si="1"/>
        <v>0.78140570384350083</v>
      </c>
      <c r="F25" s="21">
        <f t="shared" si="2"/>
        <v>0.15</v>
      </c>
      <c r="G25" s="14">
        <f t="shared" si="3"/>
        <v>0.63140570384350081</v>
      </c>
      <c r="H25" s="25">
        <f t="shared" si="4"/>
        <v>0.82991500000000007</v>
      </c>
      <c r="I25" s="14">
        <f t="shared" si="5"/>
        <v>-4.8509296156499238E-2</v>
      </c>
      <c r="J25" t="s">
        <v>309</v>
      </c>
    </row>
    <row r="26" spans="1:10">
      <c r="A26" s="12" t="s">
        <v>7</v>
      </c>
      <c r="B26" s="14">
        <v>0.83995771256044982</v>
      </c>
      <c r="C26" s="13">
        <v>4</v>
      </c>
      <c r="D26" s="16">
        <f t="shared" si="0"/>
        <v>0.2</v>
      </c>
      <c r="E26" s="23">
        <f t="shared" si="1"/>
        <v>0.83995771256044982</v>
      </c>
      <c r="F26" s="21">
        <f t="shared" si="2"/>
        <v>0.2</v>
      </c>
      <c r="G26" s="14">
        <f t="shared" si="3"/>
        <v>0.63995771256044987</v>
      </c>
      <c r="H26" s="25">
        <f t="shared" si="4"/>
        <v>0.83992</v>
      </c>
      <c r="I26" s="14">
        <f t="shared" si="5"/>
        <v>3.7712560449820742E-5</v>
      </c>
      <c r="J26" t="s">
        <v>309</v>
      </c>
    </row>
    <row r="27" spans="1:10">
      <c r="A27" s="12" t="s">
        <v>6</v>
      </c>
      <c r="B27" s="14">
        <v>0.87641004534234601</v>
      </c>
      <c r="C27" s="13">
        <v>5</v>
      </c>
      <c r="D27" s="17">
        <f>C27/MAX(C:C)</f>
        <v>0.25</v>
      </c>
      <c r="E27" s="23">
        <f t="shared" si="1"/>
        <v>0.87641004534234601</v>
      </c>
      <c r="F27" s="21">
        <f t="shared" si="2"/>
        <v>0.25</v>
      </c>
      <c r="G27" s="14">
        <f t="shared" si="3"/>
        <v>0.62641004534234601</v>
      </c>
      <c r="H27" s="25">
        <f t="shared" si="4"/>
        <v>0.84992500000000004</v>
      </c>
      <c r="I27" s="14">
        <f t="shared" si="5"/>
        <v>2.648504534234597E-2</v>
      </c>
      <c r="J27" t="s">
        <v>14</v>
      </c>
    </row>
    <row r="28" spans="1:10">
      <c r="A28" s="12" t="s">
        <v>8</v>
      </c>
      <c r="B28" s="14">
        <v>0.90259346606954838</v>
      </c>
      <c r="C28" s="13">
        <v>6</v>
      </c>
      <c r="D28" s="17">
        <f t="shared" si="0"/>
        <v>0.3</v>
      </c>
      <c r="E28" s="23">
        <f t="shared" si="1"/>
        <v>0.90259346606954838</v>
      </c>
      <c r="F28" s="21">
        <f t="shared" si="2"/>
        <v>0.3</v>
      </c>
      <c r="G28" s="14">
        <f t="shared" si="3"/>
        <v>0.60259346606954844</v>
      </c>
      <c r="H28" s="25">
        <f t="shared" si="4"/>
        <v>0.85993000000000008</v>
      </c>
      <c r="I28" s="14">
        <f t="shared" si="5"/>
        <v>4.2663466069548295E-2</v>
      </c>
      <c r="J28" t="s">
        <v>14</v>
      </c>
    </row>
    <row r="29" spans="1:10">
      <c r="A29" s="12" t="s">
        <v>25</v>
      </c>
      <c r="B29" s="14">
        <v>0.92001999450987992</v>
      </c>
      <c r="C29" s="13">
        <v>7</v>
      </c>
      <c r="D29" s="17">
        <f t="shared" si="0"/>
        <v>0.35</v>
      </c>
      <c r="E29" s="23">
        <f t="shared" si="1"/>
        <v>0.92001999450987992</v>
      </c>
      <c r="F29" s="21">
        <f t="shared" si="2"/>
        <v>0.35</v>
      </c>
      <c r="G29" s="14">
        <f t="shared" si="3"/>
        <v>0.57001999450987995</v>
      </c>
      <c r="H29" s="25">
        <f t="shared" si="4"/>
        <v>0.86993500000000001</v>
      </c>
      <c r="I29" s="14">
        <f t="shared" si="5"/>
        <v>5.008499450987991E-2</v>
      </c>
      <c r="J29" t="s">
        <v>14</v>
      </c>
    </row>
    <row r="30" spans="1:10">
      <c r="A30" s="12" t="s">
        <v>26</v>
      </c>
      <c r="B30" s="14">
        <v>0.93506240096717275</v>
      </c>
      <c r="C30" s="13">
        <v>8</v>
      </c>
      <c r="D30" s="17">
        <f t="shared" si="0"/>
        <v>0.4</v>
      </c>
      <c r="E30" s="23">
        <f t="shared" si="1"/>
        <v>0.93506240096717275</v>
      </c>
      <c r="F30" s="21">
        <f t="shared" si="2"/>
        <v>0.4</v>
      </c>
      <c r="G30" s="14">
        <f t="shared" si="3"/>
        <v>0.53506240096717272</v>
      </c>
      <c r="H30" s="25">
        <f t="shared" si="4"/>
        <v>0.87994000000000006</v>
      </c>
      <c r="I30" s="14">
        <f t="shared" si="5"/>
        <v>5.5122400967172691E-2</v>
      </c>
      <c r="J30" t="s">
        <v>14</v>
      </c>
    </row>
    <row r="31" spans="1:10">
      <c r="A31" s="12" t="s">
        <v>27</v>
      </c>
      <c r="B31" s="14">
        <v>0.94823725305260498</v>
      </c>
      <c r="C31" s="13">
        <v>9</v>
      </c>
      <c r="D31" s="17">
        <f t="shared" si="0"/>
        <v>0.45</v>
      </c>
      <c r="E31" s="23">
        <f t="shared" si="1"/>
        <v>0.94823725305260498</v>
      </c>
      <c r="F31" s="21">
        <f t="shared" si="2"/>
        <v>0.45</v>
      </c>
      <c r="G31" s="14">
        <f t="shared" si="3"/>
        <v>0.49823725305260497</v>
      </c>
      <c r="H31" s="25">
        <f t="shared" si="4"/>
        <v>0.8899450000000001</v>
      </c>
      <c r="I31" s="14">
        <f t="shared" si="5"/>
        <v>5.8292253052604881E-2</v>
      </c>
      <c r="J31" t="s">
        <v>14</v>
      </c>
    </row>
    <row r="32" spans="1:10">
      <c r="A32" s="12" t="s">
        <v>29</v>
      </c>
      <c r="B32" s="14">
        <v>0.95906138111108141</v>
      </c>
      <c r="C32" s="13">
        <v>10</v>
      </c>
      <c r="D32" s="17">
        <f t="shared" si="0"/>
        <v>0.5</v>
      </c>
      <c r="E32" s="24">
        <f t="shared" si="1"/>
        <v>0.95906138111108141</v>
      </c>
      <c r="F32" s="21">
        <f t="shared" si="2"/>
        <v>0.5</v>
      </c>
      <c r="G32" s="14">
        <f t="shared" si="3"/>
        <v>0.45906138111108141</v>
      </c>
      <c r="H32" s="25">
        <f t="shared" si="4"/>
        <v>0.89995000000000003</v>
      </c>
      <c r="I32" s="14">
        <f t="shared" si="5"/>
        <v>5.9111381111081385E-2</v>
      </c>
      <c r="J32" t="s">
        <v>14</v>
      </c>
    </row>
    <row r="33" spans="1:10">
      <c r="A33" s="12" t="s">
        <v>28</v>
      </c>
      <c r="B33" s="14">
        <v>0.96743726358173143</v>
      </c>
      <c r="C33" s="13">
        <v>11</v>
      </c>
      <c r="D33" s="18">
        <f t="shared" si="0"/>
        <v>0.55000000000000004</v>
      </c>
      <c r="E33" s="24">
        <f t="shared" si="1"/>
        <v>0.96743726358173143</v>
      </c>
      <c r="F33" s="21">
        <f t="shared" si="2"/>
        <v>0.55000000000000004</v>
      </c>
      <c r="G33" s="14">
        <f t="shared" si="3"/>
        <v>0.41743726358173139</v>
      </c>
      <c r="H33" s="25">
        <f t="shared" si="4"/>
        <v>0.90995500000000007</v>
      </c>
      <c r="I33" s="14">
        <f t="shared" si="5"/>
        <v>5.7482263581731363E-2</v>
      </c>
      <c r="J33" t="s">
        <v>15</v>
      </c>
    </row>
    <row r="34" spans="1:10">
      <c r="A34" s="12" t="s">
        <v>30</v>
      </c>
      <c r="B34" s="14">
        <v>0.97561918598032682</v>
      </c>
      <c r="C34" s="13">
        <v>12</v>
      </c>
      <c r="D34" s="18">
        <f t="shared" si="0"/>
        <v>0.6</v>
      </c>
      <c r="E34" s="24">
        <f t="shared" si="1"/>
        <v>0.97561918598032682</v>
      </c>
      <c r="F34" s="21">
        <f t="shared" si="2"/>
        <v>0.6</v>
      </c>
      <c r="G34" s="14">
        <f t="shared" si="3"/>
        <v>0.37561918598032684</v>
      </c>
      <c r="H34" s="25">
        <f t="shared" si="4"/>
        <v>0.91996000000000011</v>
      </c>
      <c r="I34" s="14">
        <f t="shared" si="5"/>
        <v>5.5659185980326709E-2</v>
      </c>
      <c r="J34" t="s">
        <v>15</v>
      </c>
    </row>
    <row r="35" spans="1:10">
      <c r="A35" s="12" t="s">
        <v>31</v>
      </c>
      <c r="B35" s="14">
        <v>0.98307572407934241</v>
      </c>
      <c r="C35" s="13">
        <v>13</v>
      </c>
      <c r="D35" s="18">
        <f t="shared" si="0"/>
        <v>0.65</v>
      </c>
      <c r="E35" s="24">
        <f t="shared" si="1"/>
        <v>0.98307572407934241</v>
      </c>
      <c r="F35" s="21">
        <f t="shared" si="2"/>
        <v>0.65</v>
      </c>
      <c r="G35" s="14">
        <f t="shared" si="3"/>
        <v>0.33307572407934238</v>
      </c>
      <c r="H35" s="25">
        <f t="shared" si="4"/>
        <v>0.92996500000000004</v>
      </c>
      <c r="I35" s="14">
        <f t="shared" si="5"/>
        <v>5.3110724079342364E-2</v>
      </c>
      <c r="J35" t="s">
        <v>15</v>
      </c>
    </row>
    <row r="36" spans="1:10">
      <c r="A36" s="12" t="s">
        <v>32</v>
      </c>
      <c r="B36" s="14">
        <v>0.98822400076246697</v>
      </c>
      <c r="C36" s="13">
        <v>14</v>
      </c>
      <c r="D36" s="18">
        <f t="shared" si="0"/>
        <v>0.7</v>
      </c>
      <c r="E36" s="24">
        <f t="shared" si="1"/>
        <v>0.98822400076246697</v>
      </c>
      <c r="F36" s="21">
        <f t="shared" si="2"/>
        <v>0.7</v>
      </c>
      <c r="G36" s="14">
        <f t="shared" si="3"/>
        <v>0.28822400076246701</v>
      </c>
      <c r="H36" s="25">
        <f t="shared" si="4"/>
        <v>0.93997000000000008</v>
      </c>
      <c r="I36" s="14">
        <f t="shared" si="5"/>
        <v>4.8254000762466887E-2</v>
      </c>
      <c r="J36" t="s">
        <v>15</v>
      </c>
    </row>
    <row r="37" spans="1:10">
      <c r="A37" s="12" t="s">
        <v>33</v>
      </c>
      <c r="B37" s="14">
        <v>0.99161572389428221</v>
      </c>
      <c r="C37" s="13">
        <v>15</v>
      </c>
      <c r="D37" s="18">
        <f t="shared" si="0"/>
        <v>0.75</v>
      </c>
      <c r="E37" s="24">
        <f t="shared" si="1"/>
        <v>0.99161572389428221</v>
      </c>
      <c r="F37" s="21">
        <f t="shared" si="2"/>
        <v>0.75</v>
      </c>
      <c r="G37" s="14">
        <f t="shared" si="3"/>
        <v>0.24161572389428221</v>
      </c>
      <c r="H37" s="25">
        <f t="shared" si="4"/>
        <v>0.94997500000000001</v>
      </c>
      <c r="I37" s="14">
        <f t="shared" si="5"/>
        <v>4.1640723894282194E-2</v>
      </c>
      <c r="J37" t="s">
        <v>15</v>
      </c>
    </row>
    <row r="38" spans="1:10">
      <c r="A38" s="12" t="s">
        <v>34</v>
      </c>
      <c r="B38" s="14">
        <v>0.99410718551904176</v>
      </c>
      <c r="C38" s="13">
        <v>16</v>
      </c>
      <c r="D38" s="18">
        <f t="shared" si="0"/>
        <v>0.8</v>
      </c>
      <c r="E38" s="24">
        <f t="shared" si="1"/>
        <v>0.99410718551904176</v>
      </c>
      <c r="F38" s="21">
        <f t="shared" si="2"/>
        <v>0.8</v>
      </c>
      <c r="G38" s="14">
        <f t="shared" si="3"/>
        <v>0.19410718551904171</v>
      </c>
      <c r="H38" s="25">
        <f t="shared" si="4"/>
        <v>0.95998000000000006</v>
      </c>
      <c r="I38" s="14">
        <f t="shared" si="5"/>
        <v>3.4127185519041703E-2</v>
      </c>
      <c r="J38" t="s">
        <v>15</v>
      </c>
    </row>
    <row r="39" spans="1:10">
      <c r="A39" s="12" t="s">
        <v>35</v>
      </c>
      <c r="B39" s="14">
        <v>0.99639357404018425</v>
      </c>
      <c r="C39" s="13">
        <v>17</v>
      </c>
      <c r="D39" s="18">
        <f t="shared" si="0"/>
        <v>0.85</v>
      </c>
      <c r="E39" s="24">
        <f t="shared" si="1"/>
        <v>0.99639357404018425</v>
      </c>
      <c r="F39" s="21">
        <f t="shared" si="2"/>
        <v>0.85</v>
      </c>
      <c r="G39" s="14">
        <f t="shared" si="3"/>
        <v>0.14639357404018427</v>
      </c>
      <c r="H39" s="25">
        <f t="shared" si="4"/>
        <v>0.9699850000000001</v>
      </c>
      <c r="I39" s="14">
        <f t="shared" si="5"/>
        <v>2.6408574040184152E-2</v>
      </c>
      <c r="J39" t="s">
        <v>15</v>
      </c>
    </row>
    <row r="40" spans="1:10">
      <c r="A40" s="12" t="s">
        <v>38</v>
      </c>
      <c r="B40" s="14">
        <v>0.99770009690233896</v>
      </c>
      <c r="C40" s="13">
        <v>18</v>
      </c>
      <c r="D40" s="18">
        <f t="shared" si="0"/>
        <v>0.9</v>
      </c>
      <c r="E40" s="24">
        <f t="shared" si="1"/>
        <v>0.99770009690233896</v>
      </c>
      <c r="F40" s="21">
        <f t="shared" si="2"/>
        <v>0.9</v>
      </c>
      <c r="G40" s="14">
        <f t="shared" si="3"/>
        <v>9.770009690233894E-2</v>
      </c>
      <c r="H40" s="25">
        <f t="shared" si="4"/>
        <v>0.97999000000000003</v>
      </c>
      <c r="I40" s="14">
        <f t="shared" si="5"/>
        <v>1.7710096902338934E-2</v>
      </c>
      <c r="J40" t="s">
        <v>15</v>
      </c>
    </row>
    <row r="41" spans="1:10">
      <c r="A41" s="12" t="s">
        <v>37</v>
      </c>
      <c r="B41" s="14">
        <v>0.99896605249037973</v>
      </c>
      <c r="C41" s="13">
        <v>19</v>
      </c>
      <c r="D41" s="18">
        <f t="shared" si="0"/>
        <v>0.95</v>
      </c>
      <c r="E41" s="24">
        <f t="shared" si="1"/>
        <v>0.99896605249037973</v>
      </c>
      <c r="F41" s="21">
        <f t="shared" si="2"/>
        <v>0.95</v>
      </c>
      <c r="G41" s="14">
        <f t="shared" si="3"/>
        <v>4.8966052490379774E-2</v>
      </c>
      <c r="H41" s="25">
        <f t="shared" si="4"/>
        <v>0.98999500000000007</v>
      </c>
      <c r="I41" s="14">
        <f t="shared" si="5"/>
        <v>8.9710524903796607E-3</v>
      </c>
      <c r="J41" t="s">
        <v>15</v>
      </c>
    </row>
    <row r="42" spans="1:10">
      <c r="A42" s="12" t="s">
        <v>36</v>
      </c>
      <c r="B42" s="14">
        <v>1</v>
      </c>
      <c r="C42" s="13">
        <v>20</v>
      </c>
      <c r="D42" s="18">
        <f t="shared" si="0"/>
        <v>1</v>
      </c>
      <c r="E42" s="24">
        <f t="shared" si="1"/>
        <v>1</v>
      </c>
      <c r="F42" s="21">
        <f t="shared" si="2"/>
        <v>1</v>
      </c>
      <c r="G42" s="14">
        <f t="shared" si="3"/>
        <v>0</v>
      </c>
      <c r="H42" s="25">
        <f t="shared" si="4"/>
        <v>1</v>
      </c>
      <c r="I42" s="14">
        <f t="shared" si="5"/>
        <v>0</v>
      </c>
      <c r="J42" t="s">
        <v>15</v>
      </c>
    </row>
  </sheetData>
  <conditionalFormatting sqref="G22:G42 H22:J22">
    <cfRule type="top10" dxfId="16" priority="2" rank="1"/>
  </conditionalFormatting>
  <conditionalFormatting sqref="I23:I42">
    <cfRule type="top10" dxfId="15" priority="1" rank="1"/>
  </conditionalFormatting>
  <pageMargins left="0.7" right="0.7" top="0.75" bottom="0.75" header="0.3" footer="0.3"/>
  <pageSetup paperSize="9" orientation="portrait" horizontalDpi="4294967293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8FD9-CC5E-49B8-A0DD-1EE4BD9E51A6}">
  <dimension ref="A1:M42"/>
  <sheetViews>
    <sheetView topLeftCell="A13" workbookViewId="0">
      <selection activeCell="B39" sqref="B39"/>
    </sheetView>
  </sheetViews>
  <sheetFormatPr defaultRowHeight="15"/>
  <cols>
    <col min="1" max="1" width="29.42578125" bestFit="1" customWidth="1"/>
  </cols>
  <sheetData>
    <row r="1" spans="7:13" ht="18">
      <c r="G1" t="s">
        <v>21</v>
      </c>
      <c r="H1" t="s">
        <v>300</v>
      </c>
      <c r="J1" t="s">
        <v>302</v>
      </c>
      <c r="K1" t="s">
        <v>303</v>
      </c>
      <c r="M1" t="s">
        <v>308</v>
      </c>
    </row>
    <row r="2" spans="7:13">
      <c r="G2" s="19">
        <v>0</v>
      </c>
      <c r="H2" s="19">
        <v>0</v>
      </c>
      <c r="J2" s="29">
        <v>0.25</v>
      </c>
      <c r="K2" s="29">
        <v>0.74757630161579891</v>
      </c>
    </row>
    <row r="3" spans="7:13">
      <c r="G3" s="19">
        <v>1</v>
      </c>
      <c r="H3" s="19">
        <v>1</v>
      </c>
      <c r="J3" s="14">
        <f>J2</f>
        <v>0.25</v>
      </c>
      <c r="K3" s="19">
        <v>0</v>
      </c>
    </row>
    <row r="5" spans="7:13" ht="18">
      <c r="G5" t="s">
        <v>21</v>
      </c>
      <c r="H5" t="s">
        <v>304</v>
      </c>
      <c r="J5" t="s">
        <v>311</v>
      </c>
      <c r="K5" t="s">
        <v>307</v>
      </c>
    </row>
    <row r="6" spans="7:13">
      <c r="G6" s="29">
        <v>0.25</v>
      </c>
      <c r="H6" s="29">
        <v>0.74757630161579891</v>
      </c>
      <c r="J6" s="15">
        <v>0.6</v>
      </c>
      <c r="K6" s="15">
        <v>0.94434470377019752</v>
      </c>
    </row>
    <row r="7" spans="7:13">
      <c r="G7" s="19">
        <v>1</v>
      </c>
      <c r="H7" s="19">
        <v>1</v>
      </c>
      <c r="J7" s="20">
        <f>J6</f>
        <v>0.6</v>
      </c>
      <c r="K7" s="19">
        <v>0</v>
      </c>
    </row>
    <row r="21" spans="1:10">
      <c r="D21" t="s">
        <v>297</v>
      </c>
      <c r="E21" t="s">
        <v>299</v>
      </c>
    </row>
    <row r="22" spans="1:10" ht="18">
      <c r="A22" s="11" t="s">
        <v>294</v>
      </c>
      <c r="B22" t="s">
        <v>310</v>
      </c>
      <c r="C22" t="s">
        <v>296</v>
      </c>
      <c r="D22" t="s">
        <v>21</v>
      </c>
      <c r="E22" t="s">
        <v>298</v>
      </c>
      <c r="F22" t="s">
        <v>300</v>
      </c>
      <c r="G22" t="s">
        <v>301</v>
      </c>
      <c r="H22" t="s">
        <v>304</v>
      </c>
      <c r="I22" t="s">
        <v>305</v>
      </c>
      <c r="J22" t="s">
        <v>17</v>
      </c>
    </row>
    <row r="23" spans="1:10">
      <c r="A23" s="12" t="s">
        <v>5</v>
      </c>
      <c r="B23" s="14">
        <v>0.35691202872531419</v>
      </c>
      <c r="C23" s="13">
        <v>1</v>
      </c>
      <c r="D23" s="16">
        <f>C23/MAX(C:C)</f>
        <v>0.05</v>
      </c>
      <c r="E23" s="32">
        <f>B23</f>
        <v>0.35691202872531419</v>
      </c>
      <c r="F23" s="31">
        <f>D23</f>
        <v>0.05</v>
      </c>
      <c r="G23" s="14">
        <f>E23-F23</f>
        <v>0.3069120287253142</v>
      </c>
      <c r="H23" s="29">
        <f>0.3366*D23+0.6634</f>
        <v>0.68023</v>
      </c>
      <c r="I23" s="14">
        <f>E23-H23</f>
        <v>-0.32331797127468581</v>
      </c>
      <c r="J23" t="s">
        <v>309</v>
      </c>
    </row>
    <row r="24" spans="1:10">
      <c r="A24" s="12" t="s">
        <v>9</v>
      </c>
      <c r="B24" s="14">
        <v>0.51705565529622977</v>
      </c>
      <c r="C24" s="13">
        <v>2</v>
      </c>
      <c r="D24" s="16">
        <f t="shared" ref="D24:F42" si="0">C24/MAX(C:C)</f>
        <v>0.1</v>
      </c>
      <c r="E24" s="32">
        <f t="shared" ref="E24:E42" si="1">B24</f>
        <v>0.51705565529622977</v>
      </c>
      <c r="F24" s="31">
        <f t="shared" ref="F24:F42" si="2">D24</f>
        <v>0.1</v>
      </c>
      <c r="G24" s="14">
        <f t="shared" ref="G24:G42" si="3">E24-F24</f>
        <v>0.41705565529622979</v>
      </c>
      <c r="H24" s="29">
        <f t="shared" ref="H24:H42" si="4">0.3366*D24+0.6634</f>
        <v>0.69706000000000001</v>
      </c>
      <c r="I24" s="14">
        <f t="shared" ref="I24:I42" si="5">E24-H24</f>
        <v>-0.18000434470377025</v>
      </c>
      <c r="J24" t="s">
        <v>309</v>
      </c>
    </row>
    <row r="25" spans="1:10">
      <c r="A25" s="12" t="s">
        <v>4</v>
      </c>
      <c r="B25" s="14">
        <v>0.62082585278276481</v>
      </c>
      <c r="C25" s="13">
        <v>3</v>
      </c>
      <c r="D25" s="16">
        <f t="shared" si="0"/>
        <v>0.15</v>
      </c>
      <c r="E25" s="32">
        <f t="shared" si="1"/>
        <v>0.62082585278276481</v>
      </c>
      <c r="F25" s="31">
        <f t="shared" si="2"/>
        <v>0.15</v>
      </c>
      <c r="G25" s="14">
        <f t="shared" si="3"/>
        <v>0.47082585278276479</v>
      </c>
      <c r="H25" s="29">
        <f t="shared" si="4"/>
        <v>0.71389000000000002</v>
      </c>
      <c r="I25" s="14">
        <f t="shared" si="5"/>
        <v>-9.3064147217235216E-2</v>
      </c>
      <c r="J25" t="s">
        <v>309</v>
      </c>
    </row>
    <row r="26" spans="1:10">
      <c r="A26" s="12" t="s">
        <v>7</v>
      </c>
      <c r="B26" s="14">
        <v>0.69407540394973066</v>
      </c>
      <c r="C26" s="13">
        <v>4</v>
      </c>
      <c r="D26" s="16">
        <f t="shared" si="0"/>
        <v>0.2</v>
      </c>
      <c r="E26" s="32">
        <f t="shared" si="1"/>
        <v>0.69407540394973066</v>
      </c>
      <c r="F26" s="31">
        <f t="shared" si="2"/>
        <v>0.2</v>
      </c>
      <c r="G26" s="14">
        <f t="shared" si="3"/>
        <v>0.49407540394973065</v>
      </c>
      <c r="H26" s="29">
        <f t="shared" si="4"/>
        <v>0.73072000000000004</v>
      </c>
      <c r="I26" s="14">
        <f t="shared" si="5"/>
        <v>-3.6644596050269373E-2</v>
      </c>
      <c r="J26" t="s">
        <v>309</v>
      </c>
    </row>
    <row r="27" spans="1:10">
      <c r="A27" s="12" t="s">
        <v>6</v>
      </c>
      <c r="B27" s="14">
        <v>0.74757630161579891</v>
      </c>
      <c r="C27" s="13">
        <v>5</v>
      </c>
      <c r="D27" s="17">
        <f t="shared" si="0"/>
        <v>0.25</v>
      </c>
      <c r="E27" s="32">
        <f t="shared" si="1"/>
        <v>0.74757630161579891</v>
      </c>
      <c r="F27" s="31">
        <f t="shared" si="2"/>
        <v>0.25</v>
      </c>
      <c r="G27" s="14">
        <f t="shared" si="3"/>
        <v>0.49757630161579891</v>
      </c>
      <c r="H27" s="29">
        <f t="shared" si="4"/>
        <v>0.74754999999999994</v>
      </c>
      <c r="I27" s="14">
        <f t="shared" si="5"/>
        <v>2.6301615798973721E-5</v>
      </c>
      <c r="J27" t="s">
        <v>309</v>
      </c>
    </row>
    <row r="28" spans="1:10">
      <c r="A28" s="12" t="s">
        <v>8</v>
      </c>
      <c r="B28" s="14">
        <v>0.7910233393177738</v>
      </c>
      <c r="C28" s="13">
        <v>6</v>
      </c>
      <c r="D28" s="17">
        <f t="shared" si="0"/>
        <v>0.3</v>
      </c>
      <c r="E28" s="32">
        <f t="shared" si="1"/>
        <v>0.7910233393177738</v>
      </c>
      <c r="F28" s="31">
        <f t="shared" si="2"/>
        <v>0.3</v>
      </c>
      <c r="G28" s="14">
        <f t="shared" si="3"/>
        <v>0.49102333931777381</v>
      </c>
      <c r="H28" s="29">
        <f t="shared" si="4"/>
        <v>0.76437999999999995</v>
      </c>
      <c r="I28" s="14">
        <f t="shared" si="5"/>
        <v>2.6643339317773851E-2</v>
      </c>
      <c r="J28" t="s">
        <v>14</v>
      </c>
    </row>
    <row r="29" spans="1:10">
      <c r="A29" s="12" t="s">
        <v>25</v>
      </c>
      <c r="B29" s="14">
        <v>0.82621184919210056</v>
      </c>
      <c r="C29" s="13">
        <v>7</v>
      </c>
      <c r="D29" s="17">
        <f t="shared" si="0"/>
        <v>0.35</v>
      </c>
      <c r="E29" s="33">
        <f t="shared" si="1"/>
        <v>0.82621184919210056</v>
      </c>
      <c r="F29" s="31">
        <f t="shared" si="2"/>
        <v>0.35</v>
      </c>
      <c r="G29" s="14">
        <f t="shared" si="3"/>
        <v>0.47621184919210058</v>
      </c>
      <c r="H29" s="29">
        <f t="shared" si="4"/>
        <v>0.78120999999999996</v>
      </c>
      <c r="I29" s="14">
        <f t="shared" si="5"/>
        <v>4.5001849192100596E-2</v>
      </c>
      <c r="J29" t="s">
        <v>14</v>
      </c>
    </row>
    <row r="30" spans="1:10">
      <c r="A30" s="12" t="s">
        <v>26</v>
      </c>
      <c r="B30" s="14">
        <v>0.85780969479353686</v>
      </c>
      <c r="C30" s="13">
        <v>8</v>
      </c>
      <c r="D30" s="17">
        <f t="shared" si="0"/>
        <v>0.4</v>
      </c>
      <c r="E30" s="33">
        <f t="shared" si="1"/>
        <v>0.85780969479353686</v>
      </c>
      <c r="F30" s="31">
        <f t="shared" si="2"/>
        <v>0.4</v>
      </c>
      <c r="G30" s="14">
        <f t="shared" si="3"/>
        <v>0.45780969479353684</v>
      </c>
      <c r="H30" s="29">
        <f t="shared" si="4"/>
        <v>0.79803999999999997</v>
      </c>
      <c r="I30" s="14">
        <f t="shared" si="5"/>
        <v>5.9769694793536887E-2</v>
      </c>
      <c r="J30" t="s">
        <v>14</v>
      </c>
    </row>
    <row r="31" spans="1:10">
      <c r="A31" s="12" t="s">
        <v>27</v>
      </c>
      <c r="B31" s="14">
        <v>0.88509874326750448</v>
      </c>
      <c r="C31" s="13">
        <v>9</v>
      </c>
      <c r="D31" s="17">
        <f t="shared" si="0"/>
        <v>0.45</v>
      </c>
      <c r="E31" s="33">
        <f t="shared" si="1"/>
        <v>0.88509874326750448</v>
      </c>
      <c r="F31" s="31">
        <f t="shared" si="2"/>
        <v>0.45</v>
      </c>
      <c r="G31" s="14">
        <f t="shared" si="3"/>
        <v>0.43509874326750447</v>
      </c>
      <c r="H31" s="29">
        <f t="shared" si="4"/>
        <v>0.81486999999999998</v>
      </c>
      <c r="I31" s="14">
        <f t="shared" si="5"/>
        <v>7.0228743267504501E-2</v>
      </c>
      <c r="J31" t="s">
        <v>14</v>
      </c>
    </row>
    <row r="32" spans="1:10">
      <c r="A32" s="12" t="s">
        <v>29</v>
      </c>
      <c r="B32" s="14">
        <v>0.90771992818671454</v>
      </c>
      <c r="C32" s="13">
        <v>10</v>
      </c>
      <c r="D32" s="17">
        <f t="shared" si="0"/>
        <v>0.5</v>
      </c>
      <c r="E32" s="33">
        <f t="shared" si="1"/>
        <v>0.90771992818671454</v>
      </c>
      <c r="F32" s="31">
        <f t="shared" si="2"/>
        <v>0.5</v>
      </c>
      <c r="G32" s="14">
        <f t="shared" si="3"/>
        <v>0.40771992818671454</v>
      </c>
      <c r="H32" s="29">
        <f t="shared" si="4"/>
        <v>0.83169999999999999</v>
      </c>
      <c r="I32" s="14">
        <f t="shared" si="5"/>
        <v>7.6019928186714547E-2</v>
      </c>
      <c r="J32" t="s">
        <v>14</v>
      </c>
    </row>
    <row r="33" spans="1:10">
      <c r="A33" s="12" t="s">
        <v>28</v>
      </c>
      <c r="B33" s="14">
        <v>0.92675044883303415</v>
      </c>
      <c r="C33" s="13">
        <v>11</v>
      </c>
      <c r="D33" s="28">
        <f t="shared" si="0"/>
        <v>0.55000000000000004</v>
      </c>
      <c r="E33" s="33">
        <f t="shared" si="1"/>
        <v>0.92675044883303415</v>
      </c>
      <c r="F33" s="31">
        <f t="shared" si="2"/>
        <v>0.55000000000000004</v>
      </c>
      <c r="G33" s="14">
        <f t="shared" si="3"/>
        <v>0.3767504488330341</v>
      </c>
      <c r="H33" s="29">
        <f t="shared" si="4"/>
        <v>0.84853000000000001</v>
      </c>
      <c r="I33" s="14">
        <f t="shared" si="5"/>
        <v>7.822044883303414E-2</v>
      </c>
      <c r="J33" t="s">
        <v>14</v>
      </c>
    </row>
    <row r="34" spans="1:10">
      <c r="A34" s="12" t="s">
        <v>30</v>
      </c>
      <c r="B34" s="14">
        <v>0.94434470377019752</v>
      </c>
      <c r="C34" s="13">
        <v>12</v>
      </c>
      <c r="D34" s="28">
        <f t="shared" si="0"/>
        <v>0.6</v>
      </c>
      <c r="E34" s="33">
        <f t="shared" si="1"/>
        <v>0.94434470377019752</v>
      </c>
      <c r="F34" s="31">
        <f t="shared" si="2"/>
        <v>0.6</v>
      </c>
      <c r="G34" s="14">
        <f t="shared" si="3"/>
        <v>0.34434470377019755</v>
      </c>
      <c r="H34" s="29">
        <f t="shared" si="4"/>
        <v>0.86536000000000002</v>
      </c>
      <c r="I34" s="14">
        <f t="shared" si="5"/>
        <v>7.8984703770197506E-2</v>
      </c>
      <c r="J34" t="s">
        <v>14</v>
      </c>
    </row>
    <row r="35" spans="1:10">
      <c r="A35" s="12" t="s">
        <v>31</v>
      </c>
      <c r="B35" s="14">
        <v>0.96050269299820468</v>
      </c>
      <c r="C35" s="13">
        <v>13</v>
      </c>
      <c r="D35" s="28">
        <f t="shared" si="0"/>
        <v>0.65</v>
      </c>
      <c r="E35" s="34">
        <f t="shared" si="1"/>
        <v>0.96050269299820468</v>
      </c>
      <c r="F35" s="31">
        <f t="shared" si="2"/>
        <v>0.65</v>
      </c>
      <c r="G35" s="14">
        <f t="shared" si="3"/>
        <v>0.31050269299820465</v>
      </c>
      <c r="H35" s="29">
        <f t="shared" si="4"/>
        <v>0.88219000000000003</v>
      </c>
      <c r="I35" s="14">
        <f t="shared" si="5"/>
        <v>7.8312692998204647E-2</v>
      </c>
      <c r="J35" t="s">
        <v>15</v>
      </c>
    </row>
    <row r="36" spans="1:10">
      <c r="A36" s="12" t="s">
        <v>32</v>
      </c>
      <c r="B36" s="14">
        <v>0.97199281867145426</v>
      </c>
      <c r="C36" s="13">
        <v>14</v>
      </c>
      <c r="D36" s="28">
        <f t="shared" si="0"/>
        <v>0.7</v>
      </c>
      <c r="E36" s="34">
        <f t="shared" si="1"/>
        <v>0.97199281867145426</v>
      </c>
      <c r="F36" s="31">
        <f t="shared" si="2"/>
        <v>0.7</v>
      </c>
      <c r="G36" s="14">
        <f t="shared" si="3"/>
        <v>0.27199281867145431</v>
      </c>
      <c r="H36" s="29">
        <f t="shared" si="4"/>
        <v>0.89901999999999993</v>
      </c>
      <c r="I36" s="14">
        <f t="shared" si="5"/>
        <v>7.2972818671454331E-2</v>
      </c>
      <c r="J36" t="s">
        <v>15</v>
      </c>
    </row>
    <row r="37" spans="1:10">
      <c r="A37" s="12" t="s">
        <v>33</v>
      </c>
      <c r="B37" s="14">
        <v>0.97989228007181328</v>
      </c>
      <c r="C37" s="13">
        <v>15</v>
      </c>
      <c r="D37" s="28">
        <f t="shared" si="0"/>
        <v>0.75</v>
      </c>
      <c r="E37" s="34">
        <f t="shared" si="1"/>
        <v>0.97989228007181328</v>
      </c>
      <c r="F37" s="31">
        <f t="shared" si="2"/>
        <v>0.75</v>
      </c>
      <c r="G37" s="14">
        <f t="shared" si="3"/>
        <v>0.22989228007181328</v>
      </c>
      <c r="H37" s="29">
        <f t="shared" si="4"/>
        <v>0.91585000000000005</v>
      </c>
      <c r="I37" s="14">
        <f t="shared" si="5"/>
        <v>6.4042280071813229E-2</v>
      </c>
      <c r="J37" t="s">
        <v>15</v>
      </c>
    </row>
    <row r="38" spans="1:10">
      <c r="A38" s="12" t="s">
        <v>35</v>
      </c>
      <c r="B38" s="14">
        <v>0.98563734290843807</v>
      </c>
      <c r="C38" s="13">
        <v>16</v>
      </c>
      <c r="D38" s="28">
        <f t="shared" si="0"/>
        <v>0.8</v>
      </c>
      <c r="E38" s="34">
        <f t="shared" si="1"/>
        <v>0.98563734290843807</v>
      </c>
      <c r="F38" s="31">
        <f t="shared" si="2"/>
        <v>0.8</v>
      </c>
      <c r="G38" s="14">
        <f t="shared" si="3"/>
        <v>0.18563734290843803</v>
      </c>
      <c r="H38" s="29">
        <f t="shared" si="4"/>
        <v>0.93267999999999995</v>
      </c>
      <c r="I38" s="14">
        <f t="shared" si="5"/>
        <v>5.2957342908438121E-2</v>
      </c>
      <c r="J38" t="s">
        <v>15</v>
      </c>
    </row>
    <row r="39" spans="1:10">
      <c r="A39" s="12" t="s">
        <v>34</v>
      </c>
      <c r="B39" s="14">
        <v>0.99138240574506287</v>
      </c>
      <c r="C39" s="13">
        <v>17</v>
      </c>
      <c r="D39" s="28">
        <f t="shared" si="0"/>
        <v>0.85</v>
      </c>
      <c r="E39" s="34">
        <f t="shared" si="1"/>
        <v>0.99138240574506287</v>
      </c>
      <c r="F39" s="31">
        <f t="shared" si="2"/>
        <v>0.85</v>
      </c>
      <c r="G39" s="14">
        <f t="shared" si="3"/>
        <v>0.14138240574506289</v>
      </c>
      <c r="H39" s="29">
        <f t="shared" si="4"/>
        <v>0.94950999999999997</v>
      </c>
      <c r="I39" s="14">
        <f t="shared" si="5"/>
        <v>4.1872405745062902E-2</v>
      </c>
      <c r="J39" t="s">
        <v>15</v>
      </c>
    </row>
    <row r="40" spans="1:10">
      <c r="A40" s="12" t="s">
        <v>36</v>
      </c>
      <c r="B40" s="14">
        <v>0.99425493716337521</v>
      </c>
      <c r="C40" s="13">
        <v>18</v>
      </c>
      <c r="D40" s="28">
        <f t="shared" si="0"/>
        <v>0.9</v>
      </c>
      <c r="E40" s="34">
        <f t="shared" si="1"/>
        <v>0.99425493716337521</v>
      </c>
      <c r="F40" s="31">
        <f t="shared" si="2"/>
        <v>0.9</v>
      </c>
      <c r="G40" s="14">
        <f t="shared" si="3"/>
        <v>9.4254937163375185E-2</v>
      </c>
      <c r="H40" s="29">
        <f t="shared" si="4"/>
        <v>0.96633999999999998</v>
      </c>
      <c r="I40" s="14">
        <f t="shared" si="5"/>
        <v>2.7914937163375231E-2</v>
      </c>
      <c r="J40" t="s">
        <v>15</v>
      </c>
    </row>
    <row r="41" spans="1:10">
      <c r="A41" s="12" t="s">
        <v>37</v>
      </c>
      <c r="B41" s="14">
        <v>0.99712746858168766</v>
      </c>
      <c r="C41" s="13">
        <v>19</v>
      </c>
      <c r="D41" s="28">
        <f t="shared" si="0"/>
        <v>0.95</v>
      </c>
      <c r="E41" s="34">
        <f t="shared" si="1"/>
        <v>0.99712746858168766</v>
      </c>
      <c r="F41" s="31">
        <f t="shared" si="2"/>
        <v>0.95</v>
      </c>
      <c r="G41" s="14">
        <f t="shared" si="3"/>
        <v>4.7127468581687704E-2</v>
      </c>
      <c r="H41" s="29">
        <f t="shared" si="4"/>
        <v>0.98316999999999999</v>
      </c>
      <c r="I41" s="14">
        <f t="shared" si="5"/>
        <v>1.3957468581687671E-2</v>
      </c>
      <c r="J41" t="s">
        <v>15</v>
      </c>
    </row>
    <row r="42" spans="1:10">
      <c r="A42" s="12" t="s">
        <v>38</v>
      </c>
      <c r="B42" s="14">
        <v>1</v>
      </c>
      <c r="C42" s="13">
        <v>20</v>
      </c>
      <c r="D42" s="28">
        <f t="shared" si="0"/>
        <v>1</v>
      </c>
      <c r="E42" s="34">
        <f t="shared" si="1"/>
        <v>1</v>
      </c>
      <c r="F42" s="31">
        <f t="shared" si="2"/>
        <v>1</v>
      </c>
      <c r="G42" s="14">
        <f t="shared" si="3"/>
        <v>0</v>
      </c>
      <c r="H42" s="29">
        <f t="shared" si="4"/>
        <v>1</v>
      </c>
      <c r="I42" s="14">
        <f t="shared" si="5"/>
        <v>0</v>
      </c>
      <c r="J42" t="s">
        <v>15</v>
      </c>
    </row>
  </sheetData>
  <conditionalFormatting sqref="G22:G42">
    <cfRule type="top10" dxfId="14" priority="2" rank="1"/>
  </conditionalFormatting>
  <conditionalFormatting sqref="I23:I42">
    <cfRule type="top10" dxfId="13" priority="1" rank="1"/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D27"/>
  <sheetViews>
    <sheetView workbookViewId="0">
      <selection activeCell="F15" sqref="F15"/>
    </sheetView>
  </sheetViews>
  <sheetFormatPr defaultRowHeight="15"/>
  <cols>
    <col min="1" max="1" width="7.42578125" customWidth="1"/>
    <col min="2" max="2" width="43.28515625" customWidth="1"/>
    <col min="3" max="4" width="12.5703125" customWidth="1"/>
  </cols>
  <sheetData>
    <row r="7" spans="1:4" ht="45">
      <c r="B7" s="2" t="s">
        <v>10</v>
      </c>
      <c r="C7" s="3" t="s">
        <v>11</v>
      </c>
      <c r="D7" s="3" t="s">
        <v>12</v>
      </c>
    </row>
    <row r="8" spans="1:4">
      <c r="A8">
        <v>1</v>
      </c>
      <c r="B8" s="36" t="s">
        <v>35</v>
      </c>
      <c r="C8" s="36" t="str">
        <f>VLOOKUP(B8,'ABC менеджеры сумма'!$A$23:$J$42,10,0)</f>
        <v>C</v>
      </c>
      <c r="D8" s="36" t="str">
        <f>VLOOKUP(B8,'ABC менеджеры сделка '!$A$23:$J$42,10,0)</f>
        <v>C</v>
      </c>
    </row>
    <row r="9" spans="1:4">
      <c r="A9">
        <v>2</v>
      </c>
      <c r="B9" s="4" t="s">
        <v>27</v>
      </c>
      <c r="C9" s="4" t="str">
        <f>VLOOKUP(B9,'ABC менеджеры сумма'!$A$23:$J$42,10,0)</f>
        <v>B</v>
      </c>
      <c r="D9" s="4" t="str">
        <f>VLOOKUP(B9,'ABC менеджеры сделка '!$A$23:$J$42,10,0)</f>
        <v>B</v>
      </c>
    </row>
    <row r="10" spans="1:4">
      <c r="A10">
        <v>3</v>
      </c>
      <c r="B10" s="36" t="s">
        <v>38</v>
      </c>
      <c r="C10" s="36" t="str">
        <f>VLOOKUP(B10,'ABC менеджеры сумма'!$A$23:$J$42,10,0)</f>
        <v>C</v>
      </c>
      <c r="D10" s="36" t="str">
        <f>VLOOKUP(B10,'ABC менеджеры сделка '!$A$23:$J$42,10,0)</f>
        <v>C</v>
      </c>
    </row>
    <row r="11" spans="1:4">
      <c r="A11">
        <v>4</v>
      </c>
      <c r="B11" s="35" t="s">
        <v>4</v>
      </c>
      <c r="C11" s="35" t="str">
        <f>VLOOKUP(B11,'ABC менеджеры сумма'!$A$23:$J$42,10,0)</f>
        <v xml:space="preserve">A </v>
      </c>
      <c r="D11" s="35" t="str">
        <f>VLOOKUP(B11,'ABC менеджеры сделка '!$A$23:$J$42,10,0)</f>
        <v xml:space="preserve">A </v>
      </c>
    </row>
    <row r="12" spans="1:4">
      <c r="A12">
        <v>5</v>
      </c>
      <c r="B12" s="36" t="s">
        <v>31</v>
      </c>
      <c r="C12" s="36" t="str">
        <f>VLOOKUP(B12,'ABC менеджеры сумма'!$A$23:$J$42,10,0)</f>
        <v>C</v>
      </c>
      <c r="D12" s="36" t="str">
        <f>VLOOKUP(B12,'ABC менеджеры сделка '!$A$23:$J$42,10,0)</f>
        <v>C</v>
      </c>
    </row>
    <row r="13" spans="1:4">
      <c r="A13">
        <v>6</v>
      </c>
      <c r="B13" s="4" t="s">
        <v>25</v>
      </c>
      <c r="C13" s="4" t="str">
        <f>VLOOKUP(B13,'ABC менеджеры сумма'!$A$23:$J$42,10,0)</f>
        <v>B</v>
      </c>
      <c r="D13" s="4" t="str">
        <f>VLOOKUP(B13,'ABC менеджеры сделка '!$A$23:$J$42,10,0)</f>
        <v>B</v>
      </c>
    </row>
    <row r="14" spans="1:4">
      <c r="A14">
        <v>7</v>
      </c>
      <c r="B14" s="4" t="s">
        <v>28</v>
      </c>
      <c r="C14" s="4" t="str">
        <f>VLOOKUP(B14,'ABC менеджеры сумма'!$A$23:$J$42,10,0)</f>
        <v>C</v>
      </c>
      <c r="D14" s="4" t="str">
        <f>VLOOKUP(B14,'ABC менеджеры сделка '!$A$23:$J$42,10,0)</f>
        <v>B</v>
      </c>
    </row>
    <row r="15" spans="1:4">
      <c r="A15">
        <v>8</v>
      </c>
      <c r="B15" s="36" t="s">
        <v>36</v>
      </c>
      <c r="C15" s="36" t="str">
        <f>VLOOKUP(B15,'ABC менеджеры сумма'!$A$23:$J$42,10,0)</f>
        <v>C</v>
      </c>
      <c r="D15" s="36" t="str">
        <f>VLOOKUP(B15,'ABC менеджеры сделка '!$A$23:$J$42,10,0)</f>
        <v>C</v>
      </c>
    </row>
    <row r="16" spans="1:4">
      <c r="A16">
        <v>9</v>
      </c>
      <c r="B16" s="4" t="s">
        <v>26</v>
      </c>
      <c r="C16" s="4" t="str">
        <f>VLOOKUP(B16,'ABC менеджеры сумма'!$A$23:$J$42,10,0)</f>
        <v>B</v>
      </c>
      <c r="D16" s="4" t="str">
        <f>VLOOKUP(B16,'ABC менеджеры сделка '!$A$23:$J$42,10,0)</f>
        <v>B</v>
      </c>
    </row>
    <row r="17" spans="1:4">
      <c r="A17">
        <v>10</v>
      </c>
      <c r="B17" s="4" t="s">
        <v>30</v>
      </c>
      <c r="C17" s="4" t="str">
        <f>VLOOKUP(B17,'ABC менеджеры сумма'!$A$23:$J$42,10,0)</f>
        <v>C</v>
      </c>
      <c r="D17" s="4" t="str">
        <f>VLOOKUP(B17,'ABC менеджеры сделка '!$A$23:$J$42,10,0)</f>
        <v>B</v>
      </c>
    </row>
    <row r="18" spans="1:4">
      <c r="A18">
        <v>11</v>
      </c>
      <c r="B18" s="4" t="s">
        <v>8</v>
      </c>
      <c r="C18" s="4" t="str">
        <f>VLOOKUP(B18,'ABC менеджеры сумма'!$A$23:$J$42,10,0)</f>
        <v>B</v>
      </c>
      <c r="D18" s="4" t="str">
        <f>VLOOKUP(B18,'ABC менеджеры сделка '!$A$23:$J$42,10,0)</f>
        <v>B</v>
      </c>
    </row>
    <row r="19" spans="1:4">
      <c r="A19">
        <v>12</v>
      </c>
      <c r="B19" s="36" t="s">
        <v>32</v>
      </c>
      <c r="C19" s="36" t="str">
        <f>VLOOKUP(B19,'ABC менеджеры сумма'!$A$23:$J$42,10,0)</f>
        <v>C</v>
      </c>
      <c r="D19" s="36" t="str">
        <f>VLOOKUP(B19,'ABC менеджеры сделка '!$A$23:$J$42,10,0)</f>
        <v>C</v>
      </c>
    </row>
    <row r="20" spans="1:4">
      <c r="A20">
        <v>13</v>
      </c>
      <c r="B20" s="36" t="s">
        <v>34</v>
      </c>
      <c r="C20" s="36" t="str">
        <f>VLOOKUP(B20,'ABC менеджеры сумма'!$A$23:$J$42,10,0)</f>
        <v>C</v>
      </c>
      <c r="D20" s="36" t="str">
        <f>VLOOKUP(B20,'ABC менеджеры сделка '!$A$23:$J$42,10,0)</f>
        <v>C</v>
      </c>
    </row>
    <row r="21" spans="1:4">
      <c r="A21">
        <v>14</v>
      </c>
      <c r="B21" s="4" t="s">
        <v>6</v>
      </c>
      <c r="C21" s="4" t="str">
        <f>VLOOKUP(B21,'ABC менеджеры сумма'!$A$23:$J$42,10,0)</f>
        <v>B</v>
      </c>
      <c r="D21" s="4" t="str">
        <f>VLOOKUP(B21,'ABC менеджеры сделка '!$A$23:$J$42,10,0)</f>
        <v xml:space="preserve">A </v>
      </c>
    </row>
    <row r="22" spans="1:4">
      <c r="A22">
        <v>15</v>
      </c>
      <c r="B22" s="36" t="s">
        <v>33</v>
      </c>
      <c r="C22" s="36" t="str">
        <f>VLOOKUP(B22,'ABC менеджеры сумма'!$A$23:$J$42,10,0)</f>
        <v>C</v>
      </c>
      <c r="D22" s="36" t="str">
        <f>VLOOKUP(B22,'ABC менеджеры сделка '!$A$23:$J$42,10,0)</f>
        <v>C</v>
      </c>
    </row>
    <row r="23" spans="1:4">
      <c r="A23">
        <v>16</v>
      </c>
      <c r="B23" s="4" t="s">
        <v>29</v>
      </c>
      <c r="C23" s="4" t="str">
        <f>VLOOKUP(B23,'ABC менеджеры сумма'!$A$23:$J$42,10,0)</f>
        <v>B</v>
      </c>
      <c r="D23" s="4" t="str">
        <f>VLOOKUP(B23,'ABC менеджеры сделка '!$A$23:$J$42,10,0)</f>
        <v>B</v>
      </c>
    </row>
    <row r="24" spans="1:4">
      <c r="A24">
        <v>17</v>
      </c>
      <c r="B24" s="35" t="s">
        <v>7</v>
      </c>
      <c r="C24" s="35" t="str">
        <f>VLOOKUP(B24,'ABC менеджеры сумма'!$A$23:$J$42,10,0)</f>
        <v xml:space="preserve">A </v>
      </c>
      <c r="D24" s="35" t="str">
        <f>VLOOKUP(B24,'ABC менеджеры сделка '!$A$23:$J$42,10,0)</f>
        <v xml:space="preserve">A </v>
      </c>
    </row>
    <row r="25" spans="1:4">
      <c r="A25">
        <v>18</v>
      </c>
      <c r="B25" s="36" t="s">
        <v>37</v>
      </c>
      <c r="C25" s="36" t="str">
        <f>VLOOKUP(B25,'ABC менеджеры сумма'!$A$23:$J$42,10,0)</f>
        <v>C</v>
      </c>
      <c r="D25" s="36" t="str">
        <f>VLOOKUP(B25,'ABC менеджеры сделка '!$A$23:$J$42,10,0)</f>
        <v>C</v>
      </c>
    </row>
    <row r="26" spans="1:4">
      <c r="A26">
        <v>19</v>
      </c>
      <c r="B26" s="35" t="s">
        <v>9</v>
      </c>
      <c r="C26" s="35" t="str">
        <f>VLOOKUP(B26,'ABC менеджеры сумма'!$A$23:$J$42,10,0)</f>
        <v xml:space="preserve">A </v>
      </c>
      <c r="D26" s="35" t="str">
        <f>VLOOKUP(B26,'ABC менеджеры сделка '!$A$23:$J$42,10,0)</f>
        <v xml:space="preserve">A </v>
      </c>
    </row>
    <row r="27" spans="1:4">
      <c r="A27">
        <v>20</v>
      </c>
      <c r="B27" s="35" t="s">
        <v>5</v>
      </c>
      <c r="C27" s="35" t="str">
        <f>VLOOKUP(B27,'ABC менеджеры сумма'!$A$23:$J$42,10,0)</f>
        <v xml:space="preserve">A </v>
      </c>
      <c r="D27" s="35" t="str">
        <f>VLOOKUP(B27,'ABC менеджеры сделка '!$A$23:$J$42,10,0)</f>
        <v xml:space="preserve">A </v>
      </c>
    </row>
  </sheetData>
  <autoFilter ref="A7:D27" xr:uid="{00000000-0001-0000-0100-000000000000}"/>
  <sortState xmlns:xlrd2="http://schemas.microsoft.com/office/spreadsheetml/2017/richdata2" ref="A8:D27">
    <sortCondition ref="B8:B27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tabSelected="1" zoomScale="81" zoomScaleNormal="100" workbookViewId="0">
      <selection activeCell="J18" sqref="J18"/>
    </sheetView>
  </sheetViews>
  <sheetFormatPr defaultRowHeight="15"/>
  <cols>
    <col min="1" max="1" width="32" customWidth="1"/>
    <col min="5" max="9" width="9.140625" customWidth="1"/>
    <col min="13" max="13" width="14.140625" customWidth="1"/>
    <col min="14" max="16" width="10.140625" bestFit="1" customWidth="1"/>
  </cols>
  <sheetData>
    <row r="1" spans="1:16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>
      <c r="M14" t="s">
        <v>22</v>
      </c>
    </row>
    <row r="15" spans="1:16">
      <c r="M15" t="s">
        <v>23</v>
      </c>
    </row>
    <row r="16" spans="1:16">
      <c r="M16" s="4"/>
      <c r="N16" s="4" t="s">
        <v>21</v>
      </c>
      <c r="O16" s="4" t="s">
        <v>20</v>
      </c>
      <c r="P16" s="4" t="s">
        <v>19</v>
      </c>
    </row>
    <row r="17" spans="13:16">
      <c r="M17" s="4" t="s">
        <v>13</v>
      </c>
      <c r="N17" s="4">
        <v>44</v>
      </c>
      <c r="O17" s="4">
        <v>33</v>
      </c>
      <c r="P17" s="4">
        <v>35</v>
      </c>
    </row>
    <row r="18" spans="13:16">
      <c r="M18" s="4" t="s">
        <v>14</v>
      </c>
      <c r="N18" s="4">
        <v>38</v>
      </c>
      <c r="O18" s="4">
        <v>21</v>
      </c>
      <c r="P18" s="4">
        <v>24</v>
      </c>
    </row>
    <row r="19" spans="13:16">
      <c r="M19" s="4" t="s">
        <v>15</v>
      </c>
      <c r="N19" s="4">
        <v>17</v>
      </c>
      <c r="O19" s="4">
        <v>12</v>
      </c>
      <c r="P19" s="4">
        <v>13</v>
      </c>
    </row>
    <row r="21" spans="13:16">
      <c r="M21" t="s">
        <v>24</v>
      </c>
    </row>
    <row r="22" spans="13:16">
      <c r="M22" s="4"/>
      <c r="N22" s="4" t="s">
        <v>21</v>
      </c>
      <c r="O22" s="4" t="s">
        <v>20</v>
      </c>
      <c r="P22" s="4" t="s">
        <v>19</v>
      </c>
    </row>
    <row r="23" spans="13:16">
      <c r="M23" s="4" t="s">
        <v>13</v>
      </c>
      <c r="N23" s="4">
        <v>25881222</v>
      </c>
      <c r="O23" s="4">
        <v>20531831</v>
      </c>
      <c r="P23" s="4">
        <v>21543171</v>
      </c>
    </row>
    <row r="24" spans="13:16">
      <c r="M24" s="4" t="s">
        <v>14</v>
      </c>
      <c r="N24" s="4">
        <v>5760396</v>
      </c>
      <c r="O24" s="4">
        <v>3180646</v>
      </c>
      <c r="P24" s="4">
        <v>3698164</v>
      </c>
    </row>
    <row r="25" spans="13:16">
      <c r="M25" s="4" t="s">
        <v>15</v>
      </c>
      <c r="N25" s="4">
        <v>1806531</v>
      </c>
      <c r="O25" s="4">
        <v>1220142</v>
      </c>
      <c r="P25" s="4">
        <v>1323215</v>
      </c>
    </row>
  </sheetData>
  <conditionalFormatting sqref="N23:P2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{C00FBA2E-DED1-4D10-B2FB-D6592B04DA83}</x14:id>
        </ext>
      </extLst>
    </cfRule>
  </conditionalFormatting>
  <conditionalFormatting sqref="N17:P1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{440B533E-13DE-4827-AE7F-F8A2BAE0CAC7}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0FBA2E-DED1-4D10-B2FB-D6592B04DA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N23:P25</xm:sqref>
        </x14:conditionalFormatting>
        <x14:conditionalFormatting xmlns:xm="http://schemas.microsoft.com/office/excel/2006/main">
          <x14:cfRule type="dataBar" id="{440B533E-13DE-4827-AE7F-F8A2BAE0CA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N17:P19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</vt:lpstr>
      <vt:lpstr>сводная таблица</vt:lpstr>
      <vt:lpstr>ABC менеджеры сумма</vt:lpstr>
      <vt:lpstr>ABC менеджеры сделка 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Ника Солнцева</cp:lastModifiedBy>
  <dcterms:created xsi:type="dcterms:W3CDTF">2025-11-13T20:18:22Z</dcterms:created>
  <dcterms:modified xsi:type="dcterms:W3CDTF">2026-10-04T20:33:41Z</dcterms:modified>
</cp:coreProperties>
</file>