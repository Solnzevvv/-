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"/>
    </mc:Choice>
  </mc:AlternateContent>
  <xr:revisionPtr revIDLastSave="0" documentId="13_ncr:1_{F0635B7C-621B-4CA8-BE71-54837B284A21}" xr6:coauthVersionLast="47" xr6:coauthVersionMax="47" xr10:uidLastSave="{00000000-0000-0000-0000-000000000000}"/>
  <bookViews>
    <workbookView xWindow="21840" yWindow="1545" windowWidth="13875" windowHeight="15435" firstSheet="6" activeTab="9" xr2:uid="{00000000-000D-0000-FFFF-FFFF00000000}"/>
  </bookViews>
  <sheets>
    <sheet name="Данные" sheetId="1" r:id="rId1"/>
    <sheet name="задача 1" sheetId="3" r:id="rId2"/>
    <sheet name="задача 1.1" sheetId="4" r:id="rId3"/>
    <sheet name="задача 2" sheetId="5" r:id="rId4"/>
    <sheet name="задача 2.1" sheetId="6" r:id="rId5"/>
    <sheet name="задача 3.1" sheetId="7" r:id="rId6"/>
    <sheet name="задача 3. данные" sheetId="8" r:id="rId7"/>
    <sheet name="задача 3.2" sheetId="9" r:id="rId8"/>
    <sheet name="задача 3.3" sheetId="10" r:id="rId9"/>
    <sheet name="результат" sheetId="2" r:id="rId10"/>
  </sheets>
  <definedNames>
    <definedName name="_xlnm._FilterDatabase" localSheetId="1" hidden="1">'задача 1'!$K$1:$L$1001</definedName>
    <definedName name="_xlnm._FilterDatabase" localSheetId="3" hidden="1">'задача 2'!$A$1:$D$196</definedName>
    <definedName name="_xlnm._FilterDatabase" localSheetId="4" hidden="1">'задача 2.1'!$K$1:$L$810</definedName>
    <definedName name="_xlnm._FilterDatabase" localSheetId="6" hidden="1">'задача 3. 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0" l="1"/>
  <c r="M13" i="10"/>
  <c r="L13" i="10"/>
  <c r="K13" i="10"/>
  <c r="J13" i="10"/>
  <c r="I13" i="10"/>
  <c r="H13" i="10"/>
  <c r="G13" i="10"/>
  <c r="F13" i="10"/>
  <c r="E13" i="10"/>
  <c r="D13" i="10"/>
  <c r="C13" i="10"/>
  <c r="B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2" i="7"/>
  <c r="B3" i="7"/>
  <c r="C3" i="7"/>
  <c r="D3" i="7"/>
  <c r="E3" i="7"/>
  <c r="F3" i="7"/>
  <c r="G3" i="7"/>
  <c r="H3" i="7"/>
  <c r="I3" i="7"/>
  <c r="J3" i="7"/>
  <c r="K3" i="7"/>
  <c r="L3" i="7"/>
  <c r="M3" i="7"/>
  <c r="N3" i="7"/>
  <c r="B4" i="7"/>
  <c r="C4" i="7"/>
  <c r="D4" i="7"/>
  <c r="E4" i="7"/>
  <c r="F4" i="7"/>
  <c r="G4" i="7"/>
  <c r="H4" i="7"/>
  <c r="I4" i="7"/>
  <c r="J4" i="7"/>
  <c r="K4" i="7"/>
  <c r="L4" i="7"/>
  <c r="M4" i="7"/>
  <c r="N4" i="7"/>
  <c r="B5" i="7"/>
  <c r="C5" i="7"/>
  <c r="D5" i="7"/>
  <c r="E5" i="7"/>
  <c r="F5" i="7"/>
  <c r="G5" i="7"/>
  <c r="H5" i="7"/>
  <c r="I5" i="7"/>
  <c r="J5" i="7"/>
  <c r="K5" i="7"/>
  <c r="L5" i="7"/>
  <c r="M5" i="7"/>
  <c r="N5" i="7"/>
  <c r="B6" i="7"/>
  <c r="C6" i="7"/>
  <c r="D6" i="7"/>
  <c r="E6" i="7"/>
  <c r="F6" i="7"/>
  <c r="G6" i="7"/>
  <c r="H6" i="7"/>
  <c r="I6" i="7"/>
  <c r="J6" i="7"/>
  <c r="K6" i="7"/>
  <c r="L6" i="7"/>
  <c r="M6" i="7"/>
  <c r="N6" i="7"/>
  <c r="B7" i="7"/>
  <c r="C7" i="7"/>
  <c r="D7" i="7"/>
  <c r="E7" i="7"/>
  <c r="F7" i="7"/>
  <c r="G7" i="7"/>
  <c r="H7" i="7"/>
  <c r="I7" i="7"/>
  <c r="J7" i="7"/>
  <c r="K7" i="7"/>
  <c r="L7" i="7"/>
  <c r="M7" i="7"/>
  <c r="N7" i="7"/>
  <c r="B8" i="7"/>
  <c r="C8" i="7"/>
  <c r="D8" i="7"/>
  <c r="E8" i="7"/>
  <c r="F8" i="7"/>
  <c r="G8" i="7"/>
  <c r="H8" i="7"/>
  <c r="I8" i="7"/>
  <c r="J8" i="7"/>
  <c r="K8" i="7"/>
  <c r="L8" i="7"/>
  <c r="M8" i="7"/>
  <c r="N8" i="7"/>
  <c r="B9" i="7"/>
  <c r="C9" i="7"/>
  <c r="D9" i="7"/>
  <c r="E9" i="7"/>
  <c r="F9" i="7"/>
  <c r="G9" i="7"/>
  <c r="H9" i="7"/>
  <c r="I9" i="7"/>
  <c r="J9" i="7"/>
  <c r="K9" i="7"/>
  <c r="L9" i="7"/>
  <c r="M9" i="7"/>
  <c r="N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M2" i="7"/>
  <c r="N2" i="7"/>
  <c r="C2" i="7"/>
  <c r="D2" i="7"/>
  <c r="E2" i="7"/>
  <c r="F2" i="7"/>
  <c r="G2" i="7"/>
  <c r="H2" i="7"/>
  <c r="I2" i="7"/>
  <c r="J2" i="7"/>
  <c r="K2" i="7"/>
  <c r="L2" i="7"/>
  <c r="F3" i="8"/>
  <c r="G3" i="8"/>
  <c r="F4" i="8"/>
  <c r="H4" i="8" s="1"/>
  <c r="G4" i="8"/>
  <c r="F5" i="8"/>
  <c r="G5" i="8"/>
  <c r="H5" i="8"/>
  <c r="F6" i="8"/>
  <c r="H6" i="8" s="1"/>
  <c r="G6" i="8"/>
  <c r="F7" i="8"/>
  <c r="G7" i="8"/>
  <c r="H7" i="8"/>
  <c r="F8" i="8"/>
  <c r="G8" i="8"/>
  <c r="F9" i="8"/>
  <c r="G9" i="8"/>
  <c r="F10" i="8"/>
  <c r="H10" i="8" s="1"/>
  <c r="G10" i="8"/>
  <c r="F11" i="8"/>
  <c r="G11" i="8"/>
  <c r="H11" i="8" s="1"/>
  <c r="F12" i="8"/>
  <c r="H12" i="8" s="1"/>
  <c r="G12" i="8"/>
  <c r="F13" i="8"/>
  <c r="G13" i="8"/>
  <c r="F14" i="8"/>
  <c r="G14" i="8"/>
  <c r="F15" i="8"/>
  <c r="H15" i="8" s="1"/>
  <c r="G15" i="8"/>
  <c r="F16" i="8"/>
  <c r="H16" i="8" s="1"/>
  <c r="G16" i="8"/>
  <c r="F17" i="8"/>
  <c r="G17" i="8"/>
  <c r="H17" i="8"/>
  <c r="F18" i="8"/>
  <c r="G18" i="8"/>
  <c r="F19" i="8"/>
  <c r="G19" i="8"/>
  <c r="H19" i="8"/>
  <c r="F20" i="8"/>
  <c r="G20" i="8"/>
  <c r="F21" i="8"/>
  <c r="G21" i="8"/>
  <c r="F22" i="8"/>
  <c r="H22" i="8" s="1"/>
  <c r="G22" i="8"/>
  <c r="F23" i="8"/>
  <c r="G23" i="8"/>
  <c r="H23" i="8"/>
  <c r="F24" i="8"/>
  <c r="G24" i="8"/>
  <c r="F25" i="8"/>
  <c r="G25" i="8"/>
  <c r="F26" i="8"/>
  <c r="G26" i="8"/>
  <c r="F27" i="8"/>
  <c r="G27" i="8"/>
  <c r="H27" i="8" s="1"/>
  <c r="F28" i="8"/>
  <c r="H28" i="8" s="1"/>
  <c r="G28" i="8"/>
  <c r="F29" i="8"/>
  <c r="G29" i="8"/>
  <c r="F30" i="8"/>
  <c r="G30" i="8"/>
  <c r="H30" i="8" s="1"/>
  <c r="F31" i="8"/>
  <c r="G31" i="8"/>
  <c r="F32" i="8"/>
  <c r="H32" i="8" s="1"/>
  <c r="G32" i="8"/>
  <c r="F33" i="8"/>
  <c r="G33" i="8"/>
  <c r="H33" i="8" s="1"/>
  <c r="F34" i="8"/>
  <c r="G34" i="8"/>
  <c r="H34" i="8"/>
  <c r="F35" i="8"/>
  <c r="G35" i="8"/>
  <c r="F36" i="8"/>
  <c r="H36" i="8" s="1"/>
  <c r="G36" i="8"/>
  <c r="F37" i="8"/>
  <c r="G37" i="8"/>
  <c r="F38" i="8"/>
  <c r="G38" i="8"/>
  <c r="F39" i="8"/>
  <c r="H39" i="8" s="1"/>
  <c r="G39" i="8"/>
  <c r="F40" i="8"/>
  <c r="G40" i="8"/>
  <c r="F41" i="8"/>
  <c r="H41" i="8" s="1"/>
  <c r="G41" i="8"/>
  <c r="F42" i="8"/>
  <c r="H42" i="8" s="1"/>
  <c r="G42" i="8"/>
  <c r="F43" i="8"/>
  <c r="H43" i="8" s="1"/>
  <c r="G43" i="8"/>
  <c r="F44" i="8"/>
  <c r="G44" i="8"/>
  <c r="F45" i="8"/>
  <c r="G45" i="8"/>
  <c r="F46" i="8"/>
  <c r="G46" i="8"/>
  <c r="F47" i="8"/>
  <c r="G47" i="8"/>
  <c r="H47" i="8" s="1"/>
  <c r="F48" i="8"/>
  <c r="G48" i="8"/>
  <c r="F49" i="8"/>
  <c r="H49" i="8" s="1"/>
  <c r="G49" i="8"/>
  <c r="F50" i="8"/>
  <c r="H50" i="8" s="1"/>
  <c r="G50" i="8"/>
  <c r="F51" i="8"/>
  <c r="H51" i="8" s="1"/>
  <c r="G51" i="8"/>
  <c r="F52" i="8"/>
  <c r="G52" i="8"/>
  <c r="H52" i="8"/>
  <c r="F53" i="8"/>
  <c r="G53" i="8"/>
  <c r="H53" i="8"/>
  <c r="F54" i="8"/>
  <c r="H54" i="8" s="1"/>
  <c r="G54" i="8"/>
  <c r="F55" i="8"/>
  <c r="G55" i="8"/>
  <c r="F56" i="8"/>
  <c r="G56" i="8"/>
  <c r="F57" i="8"/>
  <c r="G57" i="8"/>
  <c r="F58" i="8"/>
  <c r="G58" i="8"/>
  <c r="H58" i="8"/>
  <c r="F59" i="8"/>
  <c r="G59" i="8"/>
  <c r="F60" i="8"/>
  <c r="G60" i="8"/>
  <c r="F61" i="8"/>
  <c r="G61" i="8"/>
  <c r="F62" i="8"/>
  <c r="G62" i="8"/>
  <c r="H62" i="8" s="1"/>
  <c r="F63" i="8"/>
  <c r="G63" i="8"/>
  <c r="H63" i="8" s="1"/>
  <c r="F64" i="8"/>
  <c r="H64" i="8" s="1"/>
  <c r="G64" i="8"/>
  <c r="F65" i="8"/>
  <c r="G65" i="8"/>
  <c r="H65" i="8"/>
  <c r="F66" i="8"/>
  <c r="G66" i="8"/>
  <c r="F67" i="8"/>
  <c r="G67" i="8"/>
  <c r="F68" i="8"/>
  <c r="H68" i="8" s="1"/>
  <c r="G68" i="8"/>
  <c r="F69" i="8"/>
  <c r="G69" i="8"/>
  <c r="H69" i="8" s="1"/>
  <c r="F70" i="8"/>
  <c r="H70" i="8" s="1"/>
  <c r="G70" i="8"/>
  <c r="F71" i="8"/>
  <c r="G71" i="8"/>
  <c r="H71" i="8"/>
  <c r="F72" i="8"/>
  <c r="H72" i="8" s="1"/>
  <c r="G72" i="8"/>
  <c r="F73" i="8"/>
  <c r="G73" i="8"/>
  <c r="F74" i="8"/>
  <c r="G74" i="8"/>
  <c r="H74" i="8"/>
  <c r="F75" i="8"/>
  <c r="H75" i="8" s="1"/>
  <c r="G75" i="8"/>
  <c r="F76" i="8"/>
  <c r="H76" i="8" s="1"/>
  <c r="G76" i="8"/>
  <c r="F77" i="8"/>
  <c r="G77" i="8"/>
  <c r="F78" i="8"/>
  <c r="G78" i="8"/>
  <c r="F79" i="8"/>
  <c r="H79" i="8" s="1"/>
  <c r="G79" i="8"/>
  <c r="F80" i="8"/>
  <c r="G80" i="8"/>
  <c r="H80" i="8"/>
  <c r="F81" i="8"/>
  <c r="G81" i="8"/>
  <c r="H81" i="8"/>
  <c r="F82" i="8"/>
  <c r="G82" i="8"/>
  <c r="F83" i="8"/>
  <c r="H83" i="8" s="1"/>
  <c r="G83" i="8"/>
  <c r="F84" i="8"/>
  <c r="G84" i="8"/>
  <c r="F85" i="8"/>
  <c r="G85" i="8"/>
  <c r="H85" i="8" s="1"/>
  <c r="F86" i="8"/>
  <c r="G86" i="8"/>
  <c r="H86" i="8"/>
  <c r="F87" i="8"/>
  <c r="G87" i="8"/>
  <c r="H87" i="8"/>
  <c r="F88" i="8"/>
  <c r="G88" i="8"/>
  <c r="F89" i="8"/>
  <c r="G89" i="8"/>
  <c r="F90" i="8"/>
  <c r="H90" i="8" s="1"/>
  <c r="G90" i="8"/>
  <c r="F91" i="8"/>
  <c r="G91" i="8"/>
  <c r="H91" i="8" s="1"/>
  <c r="F92" i="8"/>
  <c r="G92" i="8"/>
  <c r="F93" i="8"/>
  <c r="G93" i="8"/>
  <c r="F94" i="8"/>
  <c r="G94" i="8"/>
  <c r="H94" i="8" s="1"/>
  <c r="F95" i="8"/>
  <c r="G95" i="8"/>
  <c r="F96" i="8"/>
  <c r="H96" i="8" s="1"/>
  <c r="G96" i="8"/>
  <c r="F97" i="8"/>
  <c r="G97" i="8"/>
  <c r="F98" i="8"/>
  <c r="G98" i="8"/>
  <c r="H98" i="8"/>
  <c r="F99" i="8"/>
  <c r="G99" i="8"/>
  <c r="F100" i="8"/>
  <c r="G100" i="8"/>
  <c r="H100" i="8"/>
  <c r="F101" i="8"/>
  <c r="G101" i="8"/>
  <c r="F102" i="8"/>
  <c r="H102" i="8" s="1"/>
  <c r="G102" i="8"/>
  <c r="F103" i="8"/>
  <c r="H103" i="8" s="1"/>
  <c r="G103" i="8"/>
  <c r="F104" i="8"/>
  <c r="G104" i="8"/>
  <c r="F105" i="8"/>
  <c r="G105" i="8"/>
  <c r="F106" i="8"/>
  <c r="G106" i="8"/>
  <c r="F107" i="8"/>
  <c r="G107" i="8"/>
  <c r="F108" i="8"/>
  <c r="G108" i="8"/>
  <c r="H108" i="8"/>
  <c r="F109" i="8"/>
  <c r="G109" i="8"/>
  <c r="F110" i="8"/>
  <c r="G110" i="8"/>
  <c r="F111" i="8"/>
  <c r="G111" i="8"/>
  <c r="H111" i="8"/>
  <c r="F112" i="8"/>
  <c r="G112" i="8"/>
  <c r="F113" i="8"/>
  <c r="G113" i="8"/>
  <c r="F114" i="8"/>
  <c r="G114" i="8"/>
  <c r="F115" i="8"/>
  <c r="G115" i="8"/>
  <c r="H115" i="8"/>
  <c r="F116" i="8"/>
  <c r="G116" i="8"/>
  <c r="H116" i="8" s="1"/>
  <c r="F117" i="8"/>
  <c r="H117" i="8" s="1"/>
  <c r="G117" i="8"/>
  <c r="F118" i="8"/>
  <c r="G118" i="8"/>
  <c r="F119" i="8"/>
  <c r="H119" i="8" s="1"/>
  <c r="G119" i="8"/>
  <c r="F120" i="8"/>
  <c r="G120" i="8"/>
  <c r="F121" i="8"/>
  <c r="G121" i="8"/>
  <c r="F122" i="8"/>
  <c r="G122" i="8"/>
  <c r="F123" i="8"/>
  <c r="H123" i="8" s="1"/>
  <c r="G123" i="8"/>
  <c r="F124" i="8"/>
  <c r="G124" i="8"/>
  <c r="F125" i="8"/>
  <c r="G125" i="8"/>
  <c r="F126" i="8"/>
  <c r="G126" i="8"/>
  <c r="F127" i="8"/>
  <c r="G127" i="8"/>
  <c r="H127" i="8"/>
  <c r="F128" i="8"/>
  <c r="H128" i="8" s="1"/>
  <c r="G128" i="8"/>
  <c r="F129" i="8"/>
  <c r="G129" i="8"/>
  <c r="H129" i="8" s="1"/>
  <c r="F130" i="8"/>
  <c r="G130" i="8"/>
  <c r="F131" i="8"/>
  <c r="G131" i="8"/>
  <c r="F132" i="8"/>
  <c r="G132" i="8"/>
  <c r="F133" i="8"/>
  <c r="G133" i="8"/>
  <c r="H133" i="8" s="1"/>
  <c r="F134" i="8"/>
  <c r="G134" i="8"/>
  <c r="F135" i="8"/>
  <c r="H135" i="8" s="1"/>
  <c r="G135" i="8"/>
  <c r="F136" i="8"/>
  <c r="H136" i="8" s="1"/>
  <c r="G136" i="8"/>
  <c r="F137" i="8"/>
  <c r="G137" i="8"/>
  <c r="F138" i="8"/>
  <c r="G138" i="8"/>
  <c r="H138" i="8"/>
  <c r="F139" i="8"/>
  <c r="G139" i="8"/>
  <c r="H139" i="8"/>
  <c r="F140" i="8"/>
  <c r="H140" i="8" s="1"/>
  <c r="G140" i="8"/>
  <c r="F141" i="8"/>
  <c r="G141" i="8"/>
  <c r="F142" i="8"/>
  <c r="G142" i="8"/>
  <c r="F143" i="8"/>
  <c r="H143" i="8" s="1"/>
  <c r="G143" i="8"/>
  <c r="F144" i="8"/>
  <c r="G144" i="8"/>
  <c r="H144" i="8"/>
  <c r="F145" i="8"/>
  <c r="G145" i="8"/>
  <c r="F146" i="8"/>
  <c r="G146" i="8"/>
  <c r="F147" i="8"/>
  <c r="H147" i="8" s="1"/>
  <c r="G147" i="8"/>
  <c r="F148" i="8"/>
  <c r="H148" i="8" s="1"/>
  <c r="G148" i="8"/>
  <c r="F149" i="8"/>
  <c r="G149" i="8"/>
  <c r="F150" i="8"/>
  <c r="H150" i="8" s="1"/>
  <c r="G150" i="8"/>
  <c r="F151" i="8"/>
  <c r="G151" i="8"/>
  <c r="H151" i="8"/>
  <c r="F152" i="8"/>
  <c r="G152" i="8"/>
  <c r="F153" i="8"/>
  <c r="G153" i="8"/>
  <c r="F154" i="8"/>
  <c r="G154" i="8"/>
  <c r="F155" i="8"/>
  <c r="G155" i="8"/>
  <c r="F156" i="8"/>
  <c r="H156" i="8" s="1"/>
  <c r="G156" i="8"/>
  <c r="F157" i="8"/>
  <c r="G157" i="8"/>
  <c r="F158" i="8"/>
  <c r="G158" i="8"/>
  <c r="F159" i="8"/>
  <c r="H159" i="8" s="1"/>
  <c r="G159" i="8"/>
  <c r="F160" i="8"/>
  <c r="G160" i="8"/>
  <c r="F161" i="8"/>
  <c r="G161" i="8"/>
  <c r="H161" i="8" s="1"/>
  <c r="F162" i="8"/>
  <c r="H162" i="8" s="1"/>
  <c r="G162" i="8"/>
  <c r="F163" i="8"/>
  <c r="G163" i="8"/>
  <c r="F164" i="8"/>
  <c r="G164" i="8"/>
  <c r="F165" i="8"/>
  <c r="G165" i="8"/>
  <c r="F166" i="8"/>
  <c r="H166" i="8" s="1"/>
  <c r="G166" i="8"/>
  <c r="F167" i="8"/>
  <c r="G167" i="8"/>
  <c r="H167" i="8"/>
  <c r="F168" i="8"/>
  <c r="G168" i="8"/>
  <c r="F169" i="8"/>
  <c r="G169" i="8"/>
  <c r="F170" i="8"/>
  <c r="H170" i="8" s="1"/>
  <c r="G170" i="8"/>
  <c r="F171" i="8"/>
  <c r="G171" i="8"/>
  <c r="F172" i="8"/>
  <c r="H172" i="8" s="1"/>
  <c r="G172" i="8"/>
  <c r="F173" i="8"/>
  <c r="G173" i="8"/>
  <c r="F174" i="8"/>
  <c r="G174" i="8"/>
  <c r="H174" i="8" s="1"/>
  <c r="F175" i="8"/>
  <c r="G175" i="8"/>
  <c r="H175" i="8"/>
  <c r="F176" i="8"/>
  <c r="G176" i="8"/>
  <c r="F177" i="8"/>
  <c r="H177" i="8" s="1"/>
  <c r="G177" i="8"/>
  <c r="F178" i="8"/>
  <c r="G178" i="8"/>
  <c r="H178" i="8"/>
  <c r="F179" i="8"/>
  <c r="G179" i="8"/>
  <c r="F180" i="8"/>
  <c r="G180" i="8"/>
  <c r="H180" i="8"/>
  <c r="F181" i="8"/>
  <c r="G181" i="8"/>
  <c r="H181" i="8"/>
  <c r="F182" i="8"/>
  <c r="G182" i="8"/>
  <c r="F183" i="8"/>
  <c r="H183" i="8" s="1"/>
  <c r="G183" i="8"/>
  <c r="F184" i="8"/>
  <c r="G184" i="8"/>
  <c r="F185" i="8"/>
  <c r="G185" i="8"/>
  <c r="F186" i="8"/>
  <c r="H186" i="8" s="1"/>
  <c r="G186" i="8"/>
  <c r="F187" i="8"/>
  <c r="G187" i="8"/>
  <c r="H187" i="8"/>
  <c r="F188" i="8"/>
  <c r="G188" i="8"/>
  <c r="F189" i="8"/>
  <c r="G189" i="8"/>
  <c r="F190" i="8"/>
  <c r="G190" i="8"/>
  <c r="F191" i="8"/>
  <c r="G191" i="8"/>
  <c r="H191" i="8"/>
  <c r="F192" i="8"/>
  <c r="G192" i="8"/>
  <c r="F193" i="8"/>
  <c r="G193" i="8"/>
  <c r="H193" i="8"/>
  <c r="F194" i="8"/>
  <c r="G194" i="8"/>
  <c r="F195" i="8"/>
  <c r="H195" i="8" s="1"/>
  <c r="G195" i="8"/>
  <c r="F196" i="8"/>
  <c r="H196" i="8" s="1"/>
  <c r="G196" i="8"/>
  <c r="F197" i="8"/>
  <c r="G197" i="8"/>
  <c r="H197" i="8"/>
  <c r="F198" i="8"/>
  <c r="H198" i="8" s="1"/>
  <c r="G198" i="8"/>
  <c r="F199" i="8"/>
  <c r="G199" i="8"/>
  <c r="H199" i="8"/>
  <c r="F200" i="8"/>
  <c r="G200" i="8"/>
  <c r="F201" i="8"/>
  <c r="H201" i="8" s="1"/>
  <c r="G201" i="8"/>
  <c r="F202" i="8"/>
  <c r="H202" i="8" s="1"/>
  <c r="G202" i="8"/>
  <c r="F203" i="8"/>
  <c r="G203" i="8"/>
  <c r="H203" i="8"/>
  <c r="F204" i="8"/>
  <c r="G204" i="8"/>
  <c r="F205" i="8"/>
  <c r="G205" i="8"/>
  <c r="F206" i="8"/>
  <c r="G206" i="8"/>
  <c r="F207" i="8"/>
  <c r="H207" i="8" s="1"/>
  <c r="G207" i="8"/>
  <c r="F208" i="8"/>
  <c r="G208" i="8"/>
  <c r="H208" i="8"/>
  <c r="F209" i="8"/>
  <c r="H209" i="8" s="1"/>
  <c r="G209" i="8"/>
  <c r="F210" i="8"/>
  <c r="G210" i="8"/>
  <c r="F211" i="8"/>
  <c r="H211" i="8" s="1"/>
  <c r="G211" i="8"/>
  <c r="F212" i="8"/>
  <c r="H212" i="8" s="1"/>
  <c r="G212" i="8"/>
  <c r="F213" i="8"/>
  <c r="G213" i="8"/>
  <c r="H213" i="8" s="1"/>
  <c r="F214" i="8"/>
  <c r="H214" i="8" s="1"/>
  <c r="G214" i="8"/>
  <c r="F215" i="8"/>
  <c r="H215" i="8" s="1"/>
  <c r="G215" i="8"/>
  <c r="F216" i="8"/>
  <c r="G216" i="8"/>
  <c r="F217" i="8"/>
  <c r="G217" i="8"/>
  <c r="F218" i="8"/>
  <c r="G218" i="8"/>
  <c r="F219" i="8"/>
  <c r="G219" i="8"/>
  <c r="H219" i="8" s="1"/>
  <c r="F220" i="8"/>
  <c r="H220" i="8" s="1"/>
  <c r="G220" i="8"/>
  <c r="F221" i="8"/>
  <c r="G221" i="8"/>
  <c r="F222" i="8"/>
  <c r="G222" i="8"/>
  <c r="F223" i="8"/>
  <c r="G223" i="8"/>
  <c r="F224" i="8"/>
  <c r="G224" i="8"/>
  <c r="F225" i="8"/>
  <c r="G225" i="8"/>
  <c r="F226" i="8"/>
  <c r="G226" i="8"/>
  <c r="H226" i="8"/>
  <c r="F227" i="8"/>
  <c r="G227" i="8"/>
  <c r="F228" i="8"/>
  <c r="H228" i="8" s="1"/>
  <c r="G228" i="8"/>
  <c r="F229" i="8"/>
  <c r="H229" i="8" s="1"/>
  <c r="G229" i="8"/>
  <c r="F230" i="8"/>
  <c r="G230" i="8"/>
  <c r="H230" i="8"/>
  <c r="F231" i="8"/>
  <c r="G231" i="8"/>
  <c r="F232" i="8"/>
  <c r="G232" i="8"/>
  <c r="F233" i="8"/>
  <c r="G233" i="8"/>
  <c r="F234" i="8"/>
  <c r="G234" i="8"/>
  <c r="F235" i="8"/>
  <c r="G235" i="8"/>
  <c r="F236" i="8"/>
  <c r="H236" i="8" s="1"/>
  <c r="G236" i="8"/>
  <c r="F237" i="8"/>
  <c r="G237" i="8"/>
  <c r="F238" i="8"/>
  <c r="G238" i="8"/>
  <c r="H238" i="8" s="1"/>
  <c r="F239" i="8"/>
  <c r="G239" i="8"/>
  <c r="H239" i="8"/>
  <c r="F240" i="8"/>
  <c r="G240" i="8"/>
  <c r="F241" i="8"/>
  <c r="G241" i="8"/>
  <c r="F242" i="8"/>
  <c r="G242" i="8"/>
  <c r="H242" i="8"/>
  <c r="F243" i="8"/>
  <c r="H243" i="8" s="1"/>
  <c r="G243" i="8"/>
  <c r="F244" i="8"/>
  <c r="G244" i="8"/>
  <c r="H244" i="8"/>
  <c r="F245" i="8"/>
  <c r="G245" i="8"/>
  <c r="F246" i="8"/>
  <c r="G246" i="8"/>
  <c r="F247" i="8"/>
  <c r="G247" i="8"/>
  <c r="F248" i="8"/>
  <c r="H248" i="8" s="1"/>
  <c r="G248" i="8"/>
  <c r="F249" i="8"/>
  <c r="G249" i="8"/>
  <c r="F250" i="8"/>
  <c r="H250" i="8" s="1"/>
  <c r="G250" i="8"/>
  <c r="F251" i="8"/>
  <c r="H251" i="8" s="1"/>
  <c r="G251" i="8"/>
  <c r="F252" i="8"/>
  <c r="G252" i="8"/>
  <c r="F253" i="8"/>
  <c r="G253" i="8"/>
  <c r="F254" i="8"/>
  <c r="G254" i="8"/>
  <c r="F255" i="8"/>
  <c r="H255" i="8" s="1"/>
  <c r="G255" i="8"/>
  <c r="F256" i="8"/>
  <c r="H256" i="8" s="1"/>
  <c r="G256" i="8"/>
  <c r="F257" i="8"/>
  <c r="G257" i="8"/>
  <c r="H257" i="8"/>
  <c r="F258" i="8"/>
  <c r="G258" i="8"/>
  <c r="F259" i="8"/>
  <c r="G259" i="8"/>
  <c r="F260" i="8"/>
  <c r="G260" i="8"/>
  <c r="H260" i="8"/>
  <c r="F261" i="8"/>
  <c r="H261" i="8" s="1"/>
  <c r="G261" i="8"/>
  <c r="F262" i="8"/>
  <c r="H262" i="8" s="1"/>
  <c r="G262" i="8"/>
  <c r="F263" i="8"/>
  <c r="G263" i="8"/>
  <c r="H263" i="8" s="1"/>
  <c r="F264" i="8"/>
  <c r="H264" i="8" s="1"/>
  <c r="G264" i="8"/>
  <c r="F265" i="8"/>
  <c r="G265" i="8"/>
  <c r="F266" i="8"/>
  <c r="G266" i="8"/>
  <c r="H266" i="8"/>
  <c r="F267" i="8"/>
  <c r="H267" i="8" s="1"/>
  <c r="G267" i="8"/>
  <c r="F268" i="8"/>
  <c r="H268" i="8" s="1"/>
  <c r="G268" i="8"/>
  <c r="F269" i="8"/>
  <c r="G269" i="8"/>
  <c r="F270" i="8"/>
  <c r="G270" i="8"/>
  <c r="F271" i="8"/>
  <c r="G271" i="8"/>
  <c r="F272" i="8"/>
  <c r="G272" i="8"/>
  <c r="H272" i="8"/>
  <c r="F273" i="8"/>
  <c r="G273" i="8"/>
  <c r="F274" i="8"/>
  <c r="G274" i="8"/>
  <c r="H274" i="8" s="1"/>
  <c r="F275" i="8"/>
  <c r="G275" i="8"/>
  <c r="H275" i="8"/>
  <c r="F276" i="8"/>
  <c r="G276" i="8"/>
  <c r="F277" i="8"/>
  <c r="G277" i="8"/>
  <c r="H277" i="8" s="1"/>
  <c r="F278" i="8"/>
  <c r="H278" i="8" s="1"/>
  <c r="G278" i="8"/>
  <c r="F279" i="8"/>
  <c r="G279" i="8"/>
  <c r="F280" i="8"/>
  <c r="G280" i="8"/>
  <c r="F281" i="8"/>
  <c r="G281" i="8"/>
  <c r="F282" i="8"/>
  <c r="G282" i="8"/>
  <c r="F283" i="8"/>
  <c r="G283" i="8"/>
  <c r="H283" i="8" s="1"/>
  <c r="F284" i="8"/>
  <c r="G284" i="8"/>
  <c r="H284" i="8"/>
  <c r="F285" i="8"/>
  <c r="H285" i="8" s="1"/>
  <c r="G285" i="8"/>
  <c r="F286" i="8"/>
  <c r="G286" i="8"/>
  <c r="F287" i="8"/>
  <c r="G287" i="8"/>
  <c r="F288" i="8"/>
  <c r="H288" i="8" s="1"/>
  <c r="G288" i="8"/>
  <c r="F289" i="8"/>
  <c r="G289" i="8"/>
  <c r="H289" i="8" s="1"/>
  <c r="F290" i="8"/>
  <c r="G290" i="8"/>
  <c r="H290" i="8"/>
  <c r="F291" i="8"/>
  <c r="G291" i="8"/>
  <c r="F292" i="8"/>
  <c r="H292" i="8" s="1"/>
  <c r="G292" i="8"/>
  <c r="F293" i="8"/>
  <c r="G293" i="8"/>
  <c r="F294" i="8"/>
  <c r="G294" i="8"/>
  <c r="H294" i="8"/>
  <c r="F295" i="8"/>
  <c r="H295" i="8" s="1"/>
  <c r="G295" i="8"/>
  <c r="F296" i="8"/>
  <c r="G296" i="8"/>
  <c r="F297" i="8"/>
  <c r="H297" i="8" s="1"/>
  <c r="G297" i="8"/>
  <c r="F298" i="8"/>
  <c r="G298" i="8"/>
  <c r="H298" i="8"/>
  <c r="F299" i="8"/>
  <c r="H299" i="8" s="1"/>
  <c r="G299" i="8"/>
  <c r="F300" i="8"/>
  <c r="H300" i="8" s="1"/>
  <c r="G300" i="8"/>
  <c r="F301" i="8"/>
  <c r="G301" i="8"/>
  <c r="F302" i="8"/>
  <c r="G302" i="8"/>
  <c r="F303" i="8"/>
  <c r="G303" i="8"/>
  <c r="F304" i="8"/>
  <c r="H304" i="8" s="1"/>
  <c r="G304" i="8"/>
  <c r="F305" i="8"/>
  <c r="G305" i="8"/>
  <c r="F306" i="8"/>
  <c r="H306" i="8" s="1"/>
  <c r="G306" i="8"/>
  <c r="F307" i="8"/>
  <c r="H307" i="8" s="1"/>
  <c r="G307" i="8"/>
  <c r="F308" i="8"/>
  <c r="H308" i="8" s="1"/>
  <c r="G308" i="8"/>
  <c r="F309" i="8"/>
  <c r="G309" i="8"/>
  <c r="F310" i="8"/>
  <c r="G310" i="8"/>
  <c r="F311" i="8"/>
  <c r="G311" i="8"/>
  <c r="F312" i="8"/>
  <c r="G312" i="8"/>
  <c r="F313" i="8"/>
  <c r="G313" i="8"/>
  <c r="F314" i="8"/>
  <c r="H314" i="8" s="1"/>
  <c r="G314" i="8"/>
  <c r="F315" i="8"/>
  <c r="H315" i="8" s="1"/>
  <c r="G315" i="8"/>
  <c r="F316" i="8"/>
  <c r="G316" i="8"/>
  <c r="F317" i="8"/>
  <c r="G317" i="8"/>
  <c r="F318" i="8"/>
  <c r="G318" i="8"/>
  <c r="F319" i="8"/>
  <c r="G319" i="8"/>
  <c r="H319" i="8"/>
  <c r="F320" i="8"/>
  <c r="G320" i="8"/>
  <c r="F321" i="8"/>
  <c r="G321" i="8"/>
  <c r="H321" i="8" s="1"/>
  <c r="F322" i="8"/>
  <c r="G322" i="8"/>
  <c r="F323" i="8"/>
  <c r="G323" i="8"/>
  <c r="F324" i="8"/>
  <c r="H324" i="8" s="1"/>
  <c r="G324" i="8"/>
  <c r="F325" i="8"/>
  <c r="G325" i="8"/>
  <c r="H325" i="8"/>
  <c r="F326" i="8"/>
  <c r="G326" i="8"/>
  <c r="F327" i="8"/>
  <c r="G327" i="8"/>
  <c r="H327" i="8" s="1"/>
  <c r="F328" i="8"/>
  <c r="G328" i="8"/>
  <c r="F329" i="8"/>
  <c r="H329" i="8" s="1"/>
  <c r="G329" i="8"/>
  <c r="F330" i="8"/>
  <c r="H330" i="8" s="1"/>
  <c r="G330" i="8"/>
  <c r="F331" i="8"/>
  <c r="H331" i="8" s="1"/>
  <c r="G331" i="8"/>
  <c r="F332" i="8"/>
  <c r="G332" i="8"/>
  <c r="F333" i="8"/>
  <c r="G333" i="8"/>
  <c r="F334" i="8"/>
  <c r="G334" i="8"/>
  <c r="F335" i="8"/>
  <c r="G335" i="8"/>
  <c r="F336" i="8"/>
  <c r="G336" i="8"/>
  <c r="F337" i="8"/>
  <c r="G337" i="8"/>
  <c r="H337" i="8" s="1"/>
  <c r="F338" i="8"/>
  <c r="H338" i="8" s="1"/>
  <c r="G338" i="8"/>
  <c r="F339" i="8"/>
  <c r="G339" i="8"/>
  <c r="H339" i="8"/>
  <c r="F340" i="8"/>
  <c r="H340" i="8" s="1"/>
  <c r="G340" i="8"/>
  <c r="F341" i="8"/>
  <c r="G341" i="8"/>
  <c r="H341" i="8" s="1"/>
  <c r="F342" i="8"/>
  <c r="G342" i="8"/>
  <c r="F343" i="8"/>
  <c r="G343" i="8"/>
  <c r="F344" i="8"/>
  <c r="G344" i="8"/>
  <c r="F345" i="8"/>
  <c r="G345" i="8"/>
  <c r="F346" i="8"/>
  <c r="G346" i="8"/>
  <c r="F347" i="8"/>
  <c r="G347" i="8"/>
  <c r="F348" i="8"/>
  <c r="G348" i="8"/>
  <c r="H348" i="8"/>
  <c r="F349" i="8"/>
  <c r="G349" i="8"/>
  <c r="F350" i="8"/>
  <c r="G350" i="8"/>
  <c r="H350" i="8" s="1"/>
  <c r="F351" i="8"/>
  <c r="H351" i="8" s="1"/>
  <c r="G351" i="8"/>
  <c r="F352" i="8"/>
  <c r="G352" i="8"/>
  <c r="F353" i="8"/>
  <c r="G353" i="8"/>
  <c r="H353" i="8" s="1"/>
  <c r="F354" i="8"/>
  <c r="H354" i="8" s="1"/>
  <c r="G354" i="8"/>
  <c r="F355" i="8"/>
  <c r="G355" i="8"/>
  <c r="F356" i="8"/>
  <c r="G356" i="8"/>
  <c r="F357" i="8"/>
  <c r="G357" i="8"/>
  <c r="F358" i="8"/>
  <c r="H358" i="8" s="1"/>
  <c r="G358" i="8"/>
  <c r="F359" i="8"/>
  <c r="H359" i="8" s="1"/>
  <c r="G359" i="8"/>
  <c r="F360" i="8"/>
  <c r="G360" i="8"/>
  <c r="F361" i="8"/>
  <c r="G361" i="8"/>
  <c r="F362" i="8"/>
  <c r="G362" i="8"/>
  <c r="H362" i="8"/>
  <c r="F363" i="8"/>
  <c r="G363" i="8"/>
  <c r="F364" i="8"/>
  <c r="G364" i="8"/>
  <c r="H364" i="8"/>
  <c r="F365" i="8"/>
  <c r="G365" i="8"/>
  <c r="F366" i="8"/>
  <c r="G366" i="8"/>
  <c r="H366" i="8" s="1"/>
  <c r="F367" i="8"/>
  <c r="H367" i="8" s="1"/>
  <c r="G367" i="8"/>
  <c r="F368" i="8"/>
  <c r="G368" i="8"/>
  <c r="H368" i="8"/>
  <c r="F369" i="8"/>
  <c r="G369" i="8"/>
  <c r="F370" i="8"/>
  <c r="G370" i="8"/>
  <c r="H370" i="8"/>
  <c r="F371" i="8"/>
  <c r="H371" i="8" s="1"/>
  <c r="G371" i="8"/>
  <c r="F372" i="8"/>
  <c r="H372" i="8" s="1"/>
  <c r="G372" i="8"/>
  <c r="F373" i="8"/>
  <c r="H373" i="8" s="1"/>
  <c r="G373" i="8"/>
  <c r="F374" i="8"/>
  <c r="G374" i="8"/>
  <c r="F375" i="8"/>
  <c r="G375" i="8"/>
  <c r="F376" i="8"/>
  <c r="H376" i="8" s="1"/>
  <c r="G376" i="8"/>
  <c r="F377" i="8"/>
  <c r="G377" i="8"/>
  <c r="F378" i="8"/>
  <c r="G378" i="8"/>
  <c r="H378" i="8"/>
  <c r="F379" i="8"/>
  <c r="H379" i="8" s="1"/>
  <c r="G379" i="8"/>
  <c r="F380" i="8"/>
  <c r="G380" i="8"/>
  <c r="F381" i="8"/>
  <c r="G381" i="8"/>
  <c r="F382" i="8"/>
  <c r="G382" i="8"/>
  <c r="H382" i="8" s="1"/>
  <c r="F383" i="8"/>
  <c r="G383" i="8"/>
  <c r="F384" i="8"/>
  <c r="G384" i="8"/>
  <c r="H384" i="8"/>
  <c r="F385" i="8"/>
  <c r="G385" i="8"/>
  <c r="H385" i="8"/>
  <c r="F386" i="8"/>
  <c r="G386" i="8"/>
  <c r="F387" i="8"/>
  <c r="H387" i="8" s="1"/>
  <c r="G387" i="8"/>
  <c r="F388" i="8"/>
  <c r="G388" i="8"/>
  <c r="H388" i="8"/>
  <c r="F389" i="8"/>
  <c r="G389" i="8"/>
  <c r="F390" i="8"/>
  <c r="G390" i="8"/>
  <c r="H390" i="8"/>
  <c r="F391" i="8"/>
  <c r="G391" i="8"/>
  <c r="H391" i="8"/>
  <c r="F392" i="8"/>
  <c r="G392" i="8"/>
  <c r="F393" i="8"/>
  <c r="H393" i="8" s="1"/>
  <c r="G393" i="8"/>
  <c r="F394" i="8"/>
  <c r="G394" i="8"/>
  <c r="H394" i="8"/>
  <c r="F395" i="8"/>
  <c r="G395" i="8"/>
  <c r="F396" i="8"/>
  <c r="G396" i="8"/>
  <c r="H396" i="8"/>
  <c r="F397" i="8"/>
  <c r="G397" i="8"/>
  <c r="F398" i="8"/>
  <c r="G398" i="8"/>
  <c r="F399" i="8"/>
  <c r="G399" i="8"/>
  <c r="F400" i="8"/>
  <c r="H400" i="8" s="1"/>
  <c r="G400" i="8"/>
  <c r="F401" i="8"/>
  <c r="H401" i="8" s="1"/>
  <c r="G401" i="8"/>
  <c r="F402" i="8"/>
  <c r="G402" i="8"/>
  <c r="H402" i="8"/>
  <c r="F403" i="8"/>
  <c r="G403" i="8"/>
  <c r="H403" i="8"/>
  <c r="F404" i="8"/>
  <c r="H404" i="8" s="1"/>
  <c r="G404" i="8"/>
  <c r="F405" i="8"/>
  <c r="G405" i="8"/>
  <c r="H405" i="8" s="1"/>
  <c r="F406" i="8"/>
  <c r="H406" i="8" s="1"/>
  <c r="G406" i="8"/>
  <c r="F407" i="8"/>
  <c r="G407" i="8"/>
  <c r="F408" i="8"/>
  <c r="G408" i="8"/>
  <c r="F409" i="8"/>
  <c r="G409" i="8"/>
  <c r="F410" i="8"/>
  <c r="G410" i="8"/>
  <c r="F411" i="8"/>
  <c r="G411" i="8"/>
  <c r="H411" i="8" s="1"/>
  <c r="F412" i="8"/>
  <c r="G412" i="8"/>
  <c r="H412" i="8"/>
  <c r="F413" i="8"/>
  <c r="G413" i="8"/>
  <c r="F414" i="8"/>
  <c r="G414" i="8"/>
  <c r="F415" i="8"/>
  <c r="G415" i="8"/>
  <c r="F416" i="8"/>
  <c r="G416" i="8"/>
  <c r="F417" i="8"/>
  <c r="G417" i="8"/>
  <c r="H417" i="8" s="1"/>
  <c r="F418" i="8"/>
  <c r="G418" i="8"/>
  <c r="F419" i="8"/>
  <c r="G419" i="8"/>
  <c r="H419" i="8" s="1"/>
  <c r="F420" i="8"/>
  <c r="G420" i="8"/>
  <c r="F421" i="8"/>
  <c r="H421" i="8" s="1"/>
  <c r="G421" i="8"/>
  <c r="F422" i="8"/>
  <c r="H422" i="8" s="1"/>
  <c r="G422" i="8"/>
  <c r="F423" i="8"/>
  <c r="H423" i="8" s="1"/>
  <c r="G423" i="8"/>
  <c r="F424" i="8"/>
  <c r="G424" i="8"/>
  <c r="F425" i="8"/>
  <c r="G425" i="8"/>
  <c r="F426" i="8"/>
  <c r="H426" i="8" s="1"/>
  <c r="G426" i="8"/>
  <c r="F427" i="8"/>
  <c r="G427" i="8"/>
  <c r="F428" i="8"/>
  <c r="G428" i="8"/>
  <c r="F429" i="8"/>
  <c r="G429" i="8"/>
  <c r="F430" i="8"/>
  <c r="G430" i="8"/>
  <c r="F431" i="8"/>
  <c r="H431" i="8" s="1"/>
  <c r="G431" i="8"/>
  <c r="F432" i="8"/>
  <c r="G432" i="8"/>
  <c r="H432" i="8"/>
  <c r="F433" i="8"/>
  <c r="H433" i="8" s="1"/>
  <c r="G433" i="8"/>
  <c r="F434" i="8"/>
  <c r="G434" i="8"/>
  <c r="H434" i="8"/>
  <c r="F435" i="8"/>
  <c r="H435" i="8" s="1"/>
  <c r="G435" i="8"/>
  <c r="F436" i="8"/>
  <c r="G436" i="8"/>
  <c r="F437" i="8"/>
  <c r="G437" i="8"/>
  <c r="F438" i="8"/>
  <c r="G438" i="8"/>
  <c r="F439" i="8"/>
  <c r="G439" i="8"/>
  <c r="F440" i="8"/>
  <c r="H440" i="8" s="1"/>
  <c r="G440" i="8"/>
  <c r="F441" i="8"/>
  <c r="G441" i="8"/>
  <c r="F442" i="8"/>
  <c r="G442" i="8"/>
  <c r="F443" i="8"/>
  <c r="G443" i="8"/>
  <c r="F444" i="8"/>
  <c r="H444" i="8" s="1"/>
  <c r="G444" i="8"/>
  <c r="F445" i="8"/>
  <c r="G445" i="8"/>
  <c r="F446" i="8"/>
  <c r="G446" i="8"/>
  <c r="F447" i="8"/>
  <c r="H447" i="8" s="1"/>
  <c r="G447" i="8"/>
  <c r="F448" i="8"/>
  <c r="G448" i="8"/>
  <c r="H448" i="8"/>
  <c r="F449" i="8"/>
  <c r="H449" i="8" s="1"/>
  <c r="G449" i="8"/>
  <c r="F450" i="8"/>
  <c r="G450" i="8"/>
  <c r="F451" i="8"/>
  <c r="H451" i="8" s="1"/>
  <c r="G451" i="8"/>
  <c r="F452" i="8"/>
  <c r="H452" i="8" s="1"/>
  <c r="G452" i="8"/>
  <c r="F453" i="8"/>
  <c r="G453" i="8"/>
  <c r="H453" i="8" s="1"/>
  <c r="F454" i="8"/>
  <c r="G454" i="8"/>
  <c r="H454" i="8"/>
  <c r="F455" i="8"/>
  <c r="G455" i="8"/>
  <c r="F456" i="8"/>
  <c r="G456" i="8"/>
  <c r="F457" i="8"/>
  <c r="G457" i="8"/>
  <c r="F458" i="8"/>
  <c r="H458" i="8" s="1"/>
  <c r="G458" i="8"/>
  <c r="F459" i="8"/>
  <c r="G459" i="8"/>
  <c r="H459" i="8"/>
  <c r="F460" i="8"/>
  <c r="H460" i="8" s="1"/>
  <c r="G460" i="8"/>
  <c r="F461" i="8"/>
  <c r="G461" i="8"/>
  <c r="F462" i="8"/>
  <c r="H462" i="8" s="1"/>
  <c r="G462" i="8"/>
  <c r="F463" i="8"/>
  <c r="G463" i="8"/>
  <c r="F464" i="8"/>
  <c r="G464" i="8"/>
  <c r="H464" i="8"/>
  <c r="F465" i="8"/>
  <c r="H465" i="8" s="1"/>
  <c r="G465" i="8"/>
  <c r="F466" i="8"/>
  <c r="H466" i="8" s="1"/>
  <c r="G466" i="8"/>
  <c r="F467" i="8"/>
  <c r="G467" i="8"/>
  <c r="H467" i="8" s="1"/>
  <c r="F468" i="8"/>
  <c r="H468" i="8" s="1"/>
  <c r="G468" i="8"/>
  <c r="F469" i="8"/>
  <c r="G469" i="8"/>
  <c r="F470" i="8"/>
  <c r="G470" i="8"/>
  <c r="H470" i="8"/>
  <c r="F471" i="8"/>
  <c r="H471" i="8" s="1"/>
  <c r="G471" i="8"/>
  <c r="F472" i="8"/>
  <c r="G472" i="8"/>
  <c r="F473" i="8"/>
  <c r="G473" i="8"/>
  <c r="F474" i="8"/>
  <c r="G474" i="8"/>
  <c r="F475" i="8"/>
  <c r="G475" i="8"/>
  <c r="H475" i="8"/>
  <c r="F476" i="8"/>
  <c r="G476" i="8"/>
  <c r="H476" i="8"/>
  <c r="F477" i="8"/>
  <c r="G477" i="8"/>
  <c r="F478" i="8"/>
  <c r="G478" i="8"/>
  <c r="F479" i="8"/>
  <c r="H479" i="8" s="1"/>
  <c r="G479" i="8"/>
  <c r="F480" i="8"/>
  <c r="G480" i="8"/>
  <c r="F481" i="8"/>
  <c r="G481" i="8"/>
  <c r="F482" i="8"/>
  <c r="G482" i="8"/>
  <c r="H482" i="8"/>
  <c r="F483" i="8"/>
  <c r="G483" i="8"/>
  <c r="H483" i="8" s="1"/>
  <c r="F484" i="8"/>
  <c r="H484" i="8" s="1"/>
  <c r="G484" i="8"/>
  <c r="F485" i="8"/>
  <c r="G485" i="8"/>
  <c r="F486" i="8"/>
  <c r="G486" i="8"/>
  <c r="F487" i="8"/>
  <c r="H487" i="8" s="1"/>
  <c r="G487" i="8"/>
  <c r="F488" i="8"/>
  <c r="G488" i="8"/>
  <c r="F489" i="8"/>
  <c r="G489" i="8"/>
  <c r="F490" i="8"/>
  <c r="G490" i="8"/>
  <c r="F491" i="8"/>
  <c r="G491" i="8"/>
  <c r="F492" i="8"/>
  <c r="G492" i="8"/>
  <c r="F493" i="8"/>
  <c r="H493" i="8" s="1"/>
  <c r="G493" i="8"/>
  <c r="F494" i="8"/>
  <c r="G494" i="8"/>
  <c r="F495" i="8"/>
  <c r="G495" i="8"/>
  <c r="F496" i="8"/>
  <c r="G496" i="8"/>
  <c r="H496" i="8" s="1"/>
  <c r="F497" i="8"/>
  <c r="G497" i="8"/>
  <c r="F498" i="8"/>
  <c r="G498" i="8"/>
  <c r="F499" i="8"/>
  <c r="G499" i="8"/>
  <c r="H499" i="8"/>
  <c r="F500" i="8"/>
  <c r="H500" i="8" s="1"/>
  <c r="G500" i="8"/>
  <c r="F501" i="8"/>
  <c r="H501" i="8" s="1"/>
  <c r="G501" i="8"/>
  <c r="F502" i="8"/>
  <c r="H502" i="8" s="1"/>
  <c r="G502" i="8"/>
  <c r="F503" i="8"/>
  <c r="H503" i="8" s="1"/>
  <c r="G503" i="8"/>
  <c r="F504" i="8"/>
  <c r="G504" i="8"/>
  <c r="F505" i="8"/>
  <c r="G505" i="8"/>
  <c r="F506" i="8"/>
  <c r="G506" i="8"/>
  <c r="H506" i="8" s="1"/>
  <c r="F507" i="8"/>
  <c r="G507" i="8"/>
  <c r="F508" i="8"/>
  <c r="H508" i="8" s="1"/>
  <c r="G508" i="8"/>
  <c r="F509" i="8"/>
  <c r="G509" i="8"/>
  <c r="F510" i="8"/>
  <c r="G510" i="8"/>
  <c r="F511" i="8"/>
  <c r="G511" i="8"/>
  <c r="H511" i="8"/>
  <c r="F512" i="8"/>
  <c r="G512" i="8"/>
  <c r="H512" i="8"/>
  <c r="F513" i="8"/>
  <c r="H513" i="8" s="1"/>
  <c r="G513" i="8"/>
  <c r="F514" i="8"/>
  <c r="G514" i="8"/>
  <c r="H514" i="8"/>
  <c r="F515" i="8"/>
  <c r="H515" i="8" s="1"/>
  <c r="G515" i="8"/>
  <c r="F516" i="8"/>
  <c r="G516" i="8"/>
  <c r="F517" i="8"/>
  <c r="G517" i="8"/>
  <c r="H517" i="8"/>
  <c r="F518" i="8"/>
  <c r="H518" i="8" s="1"/>
  <c r="G518" i="8"/>
  <c r="F519" i="8"/>
  <c r="H519" i="8" s="1"/>
  <c r="G519" i="8"/>
  <c r="F520" i="8"/>
  <c r="G520" i="8"/>
  <c r="F521" i="8"/>
  <c r="G521" i="8"/>
  <c r="F522" i="8"/>
  <c r="G522" i="8"/>
  <c r="F523" i="8"/>
  <c r="H523" i="8" s="1"/>
  <c r="G523" i="8"/>
  <c r="F524" i="8"/>
  <c r="G524" i="8"/>
  <c r="H524" i="8"/>
  <c r="F525" i="8"/>
  <c r="G525" i="8"/>
  <c r="F526" i="8"/>
  <c r="G526" i="8"/>
  <c r="F527" i="8"/>
  <c r="G527" i="8"/>
  <c r="F528" i="8"/>
  <c r="G528" i="8"/>
  <c r="H528" i="8" s="1"/>
  <c r="F529" i="8"/>
  <c r="H529" i="8" s="1"/>
  <c r="G529" i="8"/>
  <c r="F530" i="8"/>
  <c r="G530" i="8"/>
  <c r="H530" i="8"/>
  <c r="F531" i="8"/>
  <c r="G531" i="8"/>
  <c r="F532" i="8"/>
  <c r="G532" i="8"/>
  <c r="F533" i="8"/>
  <c r="H533" i="8" s="1"/>
  <c r="G533" i="8"/>
  <c r="F534" i="8"/>
  <c r="G534" i="8"/>
  <c r="H534" i="8"/>
  <c r="F535" i="8"/>
  <c r="G535" i="8"/>
  <c r="H535" i="8" s="1"/>
  <c r="F536" i="8"/>
  <c r="G536" i="8"/>
  <c r="F537" i="8"/>
  <c r="G537" i="8"/>
  <c r="F538" i="8"/>
  <c r="G538" i="8"/>
  <c r="F539" i="8"/>
  <c r="H539" i="8" s="1"/>
  <c r="G539" i="8"/>
  <c r="F540" i="8"/>
  <c r="G540" i="8"/>
  <c r="H540" i="8"/>
  <c r="F541" i="8"/>
  <c r="G541" i="8"/>
  <c r="F542" i="8"/>
  <c r="G542" i="8"/>
  <c r="F543" i="8"/>
  <c r="H543" i="8" s="1"/>
  <c r="G543" i="8"/>
  <c r="F544" i="8"/>
  <c r="H544" i="8" s="1"/>
  <c r="G544" i="8"/>
  <c r="F545" i="8"/>
  <c r="G545" i="8"/>
  <c r="H545" i="8" s="1"/>
  <c r="F546" i="8"/>
  <c r="G546" i="8"/>
  <c r="H546" i="8"/>
  <c r="F547" i="8"/>
  <c r="G547" i="8"/>
  <c r="F548" i="8"/>
  <c r="G548" i="8"/>
  <c r="H548" i="8"/>
  <c r="F549" i="8"/>
  <c r="G549" i="8"/>
  <c r="F550" i="8"/>
  <c r="H550" i="8" s="1"/>
  <c r="G550" i="8"/>
  <c r="F551" i="8"/>
  <c r="G551" i="8"/>
  <c r="H551" i="8" s="1"/>
  <c r="F552" i="8"/>
  <c r="G552" i="8"/>
  <c r="F553" i="8"/>
  <c r="G553" i="8"/>
  <c r="F554" i="8"/>
  <c r="G554" i="8"/>
  <c r="H554" i="8"/>
  <c r="F555" i="8"/>
  <c r="G555" i="8"/>
  <c r="F556" i="8"/>
  <c r="G556" i="8"/>
  <c r="F557" i="8"/>
  <c r="H557" i="8" s="1"/>
  <c r="G557" i="8"/>
  <c r="F558" i="8"/>
  <c r="G558" i="8"/>
  <c r="F559" i="8"/>
  <c r="H559" i="8" s="1"/>
  <c r="G559" i="8"/>
  <c r="F560" i="8"/>
  <c r="G560" i="8"/>
  <c r="F561" i="8"/>
  <c r="G561" i="8"/>
  <c r="F562" i="8"/>
  <c r="G562" i="8"/>
  <c r="F563" i="8"/>
  <c r="G563" i="8"/>
  <c r="H563" i="8"/>
  <c r="F564" i="8"/>
  <c r="H564" i="8" s="1"/>
  <c r="G564" i="8"/>
  <c r="F565" i="8"/>
  <c r="H565" i="8" s="1"/>
  <c r="G565" i="8"/>
  <c r="F566" i="8"/>
  <c r="G566" i="8"/>
  <c r="F567" i="8"/>
  <c r="G567" i="8"/>
  <c r="F568" i="8"/>
  <c r="G568" i="8"/>
  <c r="F569" i="8"/>
  <c r="G569" i="8"/>
  <c r="F570" i="8"/>
  <c r="G570" i="8"/>
  <c r="H570" i="8"/>
  <c r="F571" i="8"/>
  <c r="G571" i="8"/>
  <c r="F572" i="8"/>
  <c r="H572" i="8" s="1"/>
  <c r="G572" i="8"/>
  <c r="F573" i="8"/>
  <c r="G573" i="8"/>
  <c r="F574" i="8"/>
  <c r="H574" i="8" s="1"/>
  <c r="G574" i="8"/>
  <c r="F575" i="8"/>
  <c r="G575" i="8"/>
  <c r="H575" i="8"/>
  <c r="F576" i="8"/>
  <c r="G576" i="8"/>
  <c r="H576" i="8"/>
  <c r="F577" i="8"/>
  <c r="H577" i="8" s="1"/>
  <c r="G577" i="8"/>
  <c r="F578" i="8"/>
  <c r="G578" i="8"/>
  <c r="H578" i="8" s="1"/>
  <c r="F579" i="8"/>
  <c r="G579" i="8"/>
  <c r="F580" i="8"/>
  <c r="G580" i="8"/>
  <c r="F581" i="8"/>
  <c r="G581" i="8"/>
  <c r="H581" i="8"/>
  <c r="F582" i="8"/>
  <c r="G582" i="8"/>
  <c r="F583" i="8"/>
  <c r="G583" i="8"/>
  <c r="F584" i="8"/>
  <c r="H584" i="8" s="1"/>
  <c r="G584" i="8"/>
  <c r="F585" i="8"/>
  <c r="G585" i="8"/>
  <c r="F586" i="8"/>
  <c r="G586" i="8"/>
  <c r="F587" i="8"/>
  <c r="G587" i="8"/>
  <c r="H587" i="8" s="1"/>
  <c r="F588" i="8"/>
  <c r="G588" i="8"/>
  <c r="H588" i="8"/>
  <c r="F589" i="8"/>
  <c r="G589" i="8"/>
  <c r="F590" i="8"/>
  <c r="G590" i="8"/>
  <c r="F591" i="8"/>
  <c r="H591" i="8" s="1"/>
  <c r="G591" i="8"/>
  <c r="F592" i="8"/>
  <c r="G592" i="8"/>
  <c r="H592" i="8" s="1"/>
  <c r="F593" i="8"/>
  <c r="H593" i="8" s="1"/>
  <c r="G593" i="8"/>
  <c r="F594" i="8"/>
  <c r="H594" i="8" s="1"/>
  <c r="G594" i="8"/>
  <c r="F595" i="8"/>
  <c r="G595" i="8"/>
  <c r="F596" i="8"/>
  <c r="G596" i="8"/>
  <c r="F597" i="8"/>
  <c r="G597" i="8"/>
  <c r="H597" i="8"/>
  <c r="F598" i="8"/>
  <c r="G598" i="8"/>
  <c r="H598" i="8"/>
  <c r="F599" i="8"/>
  <c r="H599" i="8" s="1"/>
  <c r="G599" i="8"/>
  <c r="F600" i="8"/>
  <c r="G600" i="8"/>
  <c r="F601" i="8"/>
  <c r="G601" i="8"/>
  <c r="F602" i="8"/>
  <c r="H602" i="8" s="1"/>
  <c r="G602" i="8"/>
  <c r="F603" i="8"/>
  <c r="G603" i="8"/>
  <c r="H603" i="8"/>
  <c r="F604" i="8"/>
  <c r="H604" i="8" s="1"/>
  <c r="G604" i="8"/>
  <c r="F605" i="8"/>
  <c r="G605" i="8"/>
  <c r="F606" i="8"/>
  <c r="G606" i="8"/>
  <c r="F607" i="8"/>
  <c r="H607" i="8" s="1"/>
  <c r="G607" i="8"/>
  <c r="F608" i="8"/>
  <c r="G608" i="8"/>
  <c r="F609" i="8"/>
  <c r="G609" i="8"/>
  <c r="H609" i="8"/>
  <c r="F610" i="8"/>
  <c r="G610" i="8"/>
  <c r="F611" i="8"/>
  <c r="G611" i="8"/>
  <c r="H611" i="8" s="1"/>
  <c r="F612" i="8"/>
  <c r="G612" i="8"/>
  <c r="H612" i="8"/>
  <c r="F613" i="8"/>
  <c r="G613" i="8"/>
  <c r="F614" i="8"/>
  <c r="G614" i="8"/>
  <c r="F615" i="8"/>
  <c r="G615" i="8"/>
  <c r="H615" i="8"/>
  <c r="F616" i="8"/>
  <c r="G616" i="8"/>
  <c r="F617" i="8"/>
  <c r="G617" i="8"/>
  <c r="F618" i="8"/>
  <c r="H618" i="8" s="1"/>
  <c r="G618" i="8"/>
  <c r="F619" i="8"/>
  <c r="G619" i="8"/>
  <c r="F620" i="8"/>
  <c r="G620" i="8"/>
  <c r="F621" i="8"/>
  <c r="G621" i="8"/>
  <c r="F622" i="8"/>
  <c r="G622" i="8"/>
  <c r="F623" i="8"/>
  <c r="H623" i="8" s="1"/>
  <c r="G623" i="8"/>
  <c r="F624" i="8"/>
  <c r="G624" i="8"/>
  <c r="F625" i="8"/>
  <c r="G625" i="8"/>
  <c r="F626" i="8"/>
  <c r="G626" i="8"/>
  <c r="F627" i="8"/>
  <c r="G627" i="8"/>
  <c r="H627" i="8"/>
  <c r="F628" i="8"/>
  <c r="G628" i="8"/>
  <c r="H628" i="8" s="1"/>
  <c r="F629" i="8"/>
  <c r="G629" i="8"/>
  <c r="H629" i="8"/>
  <c r="F630" i="8"/>
  <c r="H630" i="8" s="1"/>
  <c r="G630" i="8"/>
  <c r="F631" i="8"/>
  <c r="G631" i="8"/>
  <c r="F632" i="8"/>
  <c r="G632" i="8"/>
  <c r="F633" i="8"/>
  <c r="G633" i="8"/>
  <c r="F634" i="8"/>
  <c r="G634" i="8"/>
  <c r="F635" i="8"/>
  <c r="H635" i="8" s="1"/>
  <c r="G635" i="8"/>
  <c r="F636" i="8"/>
  <c r="H636" i="8" s="1"/>
  <c r="G636" i="8"/>
  <c r="F637" i="8"/>
  <c r="H637" i="8" s="1"/>
  <c r="G637" i="8"/>
  <c r="F638" i="8"/>
  <c r="G638" i="8"/>
  <c r="F639" i="8"/>
  <c r="H639" i="8" s="1"/>
  <c r="G639" i="8"/>
  <c r="F640" i="8"/>
  <c r="G640" i="8"/>
  <c r="H640" i="8"/>
  <c r="F641" i="8"/>
  <c r="G641" i="8"/>
  <c r="H641" i="8"/>
  <c r="F642" i="8"/>
  <c r="H642" i="8" s="1"/>
  <c r="G642" i="8"/>
  <c r="F643" i="8"/>
  <c r="H643" i="8" s="1"/>
  <c r="G643" i="8"/>
  <c r="F644" i="8"/>
  <c r="G644" i="8"/>
  <c r="H644" i="8" s="1"/>
  <c r="F645" i="8"/>
  <c r="H645" i="8" s="1"/>
  <c r="G645" i="8"/>
  <c r="F646" i="8"/>
  <c r="G646" i="8"/>
  <c r="F647" i="8"/>
  <c r="G647" i="8"/>
  <c r="F648" i="8"/>
  <c r="G648" i="8"/>
  <c r="F649" i="8"/>
  <c r="G649" i="8"/>
  <c r="F650" i="8"/>
  <c r="G650" i="8"/>
  <c r="F651" i="8"/>
  <c r="G651" i="8"/>
  <c r="H651" i="8"/>
  <c r="F652" i="8"/>
  <c r="H652" i="8" s="1"/>
  <c r="G652" i="8"/>
  <c r="F653" i="8"/>
  <c r="G653" i="8"/>
  <c r="F654" i="8"/>
  <c r="G654" i="8"/>
  <c r="F655" i="8"/>
  <c r="G655" i="8"/>
  <c r="F656" i="8"/>
  <c r="G656" i="8"/>
  <c r="H656" i="8" s="1"/>
  <c r="F657" i="8"/>
  <c r="H657" i="8" s="1"/>
  <c r="G657" i="8"/>
  <c r="F658" i="8"/>
  <c r="G658" i="8"/>
  <c r="H658" i="8"/>
  <c r="F659" i="8"/>
  <c r="H659" i="8" s="1"/>
  <c r="G659" i="8"/>
  <c r="F660" i="8"/>
  <c r="G660" i="8"/>
  <c r="F661" i="8"/>
  <c r="G661" i="8"/>
  <c r="F662" i="8"/>
  <c r="G662" i="8"/>
  <c r="H662" i="8"/>
  <c r="F663" i="8"/>
  <c r="H663" i="8" s="1"/>
  <c r="G663" i="8"/>
  <c r="F664" i="8"/>
  <c r="G664" i="8"/>
  <c r="F665" i="8"/>
  <c r="H665" i="8" s="1"/>
  <c r="G665" i="8"/>
  <c r="F666" i="8"/>
  <c r="G666" i="8"/>
  <c r="F667" i="8"/>
  <c r="G667" i="8"/>
  <c r="H667" i="8"/>
  <c r="F668" i="8"/>
  <c r="G668" i="8"/>
  <c r="H668" i="8"/>
  <c r="F669" i="8"/>
  <c r="G669" i="8"/>
  <c r="F670" i="8"/>
  <c r="G670" i="8"/>
  <c r="F671" i="8"/>
  <c r="G671" i="8"/>
  <c r="H671" i="8"/>
  <c r="F672" i="8"/>
  <c r="H672" i="8" s="1"/>
  <c r="G672" i="8"/>
  <c r="F673" i="8"/>
  <c r="G673" i="8"/>
  <c r="H673" i="8"/>
  <c r="F674" i="8"/>
  <c r="G674" i="8"/>
  <c r="H674" i="8"/>
  <c r="F675" i="8"/>
  <c r="G675" i="8"/>
  <c r="H675" i="8"/>
  <c r="F676" i="8"/>
  <c r="H676" i="8" s="1"/>
  <c r="G676" i="8"/>
  <c r="F677" i="8"/>
  <c r="G677" i="8"/>
  <c r="F678" i="8"/>
  <c r="H678" i="8" s="1"/>
  <c r="G678" i="8"/>
  <c r="F679" i="8"/>
  <c r="G679" i="8"/>
  <c r="H679" i="8"/>
  <c r="F680" i="8"/>
  <c r="G680" i="8"/>
  <c r="F681" i="8"/>
  <c r="G681" i="8"/>
  <c r="F682" i="8"/>
  <c r="G682" i="8"/>
  <c r="H682" i="8"/>
  <c r="F683" i="8"/>
  <c r="G683" i="8"/>
  <c r="F684" i="8"/>
  <c r="G684" i="8"/>
  <c r="F685" i="8"/>
  <c r="H685" i="8" s="1"/>
  <c r="G685" i="8"/>
  <c r="F686" i="8"/>
  <c r="G686" i="8"/>
  <c r="F687" i="8"/>
  <c r="G687" i="8"/>
  <c r="F688" i="8"/>
  <c r="G688" i="8"/>
  <c r="H688" i="8"/>
  <c r="F689" i="8"/>
  <c r="G689" i="8"/>
  <c r="F690" i="8"/>
  <c r="H690" i="8" s="1"/>
  <c r="G690" i="8"/>
  <c r="F691" i="8"/>
  <c r="G691" i="8"/>
  <c r="H691" i="8" s="1"/>
  <c r="F692" i="8"/>
  <c r="G692" i="8"/>
  <c r="H692" i="8"/>
  <c r="F693" i="8"/>
  <c r="G693" i="8"/>
  <c r="F694" i="8"/>
  <c r="G694" i="8"/>
  <c r="H694" i="8"/>
  <c r="F695" i="8"/>
  <c r="G695" i="8"/>
  <c r="F696" i="8"/>
  <c r="G696" i="8"/>
  <c r="F697" i="8"/>
  <c r="G697" i="8"/>
  <c r="F698" i="8"/>
  <c r="H698" i="8" s="1"/>
  <c r="G698" i="8"/>
  <c r="F699" i="8"/>
  <c r="G699" i="8"/>
  <c r="H699" i="8"/>
  <c r="F700" i="8"/>
  <c r="G700" i="8"/>
  <c r="F701" i="8"/>
  <c r="G701" i="8"/>
  <c r="F702" i="8"/>
  <c r="G702" i="8"/>
  <c r="F703" i="8"/>
  <c r="H703" i="8" s="1"/>
  <c r="G703" i="8"/>
  <c r="F704" i="8"/>
  <c r="H704" i="8" s="1"/>
  <c r="G704" i="8"/>
  <c r="F705" i="8"/>
  <c r="G705" i="8"/>
  <c r="H705" i="8" s="1"/>
  <c r="F706" i="8"/>
  <c r="H706" i="8" s="1"/>
  <c r="G706" i="8"/>
  <c r="F707" i="8"/>
  <c r="H707" i="8" s="1"/>
  <c r="G707" i="8"/>
  <c r="F708" i="8"/>
  <c r="G708" i="8"/>
  <c r="H708" i="8" s="1"/>
  <c r="F709" i="8"/>
  <c r="G709" i="8"/>
  <c r="F710" i="8"/>
  <c r="G710" i="8"/>
  <c r="F711" i="8"/>
  <c r="H711" i="8" s="1"/>
  <c r="G711" i="8"/>
  <c r="F712" i="8"/>
  <c r="G712" i="8"/>
  <c r="F713" i="8"/>
  <c r="G713" i="8"/>
  <c r="F714" i="8"/>
  <c r="G714" i="8"/>
  <c r="F715" i="8"/>
  <c r="G715" i="8"/>
  <c r="H715" i="8"/>
  <c r="F716" i="8"/>
  <c r="H716" i="8" s="1"/>
  <c r="G716" i="8"/>
  <c r="F717" i="8"/>
  <c r="G717" i="8"/>
  <c r="F718" i="8"/>
  <c r="G718" i="8"/>
  <c r="F719" i="8"/>
  <c r="G719" i="8"/>
  <c r="F720" i="8"/>
  <c r="G720" i="8"/>
  <c r="F721" i="8"/>
  <c r="G721" i="8"/>
  <c r="H721" i="8" s="1"/>
  <c r="F722" i="8"/>
  <c r="G722" i="8"/>
  <c r="H722" i="8"/>
  <c r="F723" i="8"/>
  <c r="H723" i="8" s="1"/>
  <c r="G723" i="8"/>
  <c r="F724" i="8"/>
  <c r="G724" i="8"/>
  <c r="F725" i="8"/>
  <c r="H725" i="8" s="1"/>
  <c r="G725" i="8"/>
  <c r="F726" i="8"/>
  <c r="G726" i="8"/>
  <c r="H726" i="8"/>
  <c r="F727" i="8"/>
  <c r="G727" i="8"/>
  <c r="H727" i="8" s="1"/>
  <c r="F728" i="8"/>
  <c r="G728" i="8"/>
  <c r="F729" i="8"/>
  <c r="G729" i="8"/>
  <c r="F730" i="8"/>
  <c r="G730" i="8"/>
  <c r="F731" i="8"/>
  <c r="H731" i="8" s="1"/>
  <c r="G731" i="8"/>
  <c r="F732" i="8"/>
  <c r="G732" i="8"/>
  <c r="H732" i="8"/>
  <c r="F733" i="8"/>
  <c r="G733" i="8"/>
  <c r="F734" i="8"/>
  <c r="G734" i="8"/>
  <c r="F735" i="8"/>
  <c r="H735" i="8" s="1"/>
  <c r="G735" i="8"/>
  <c r="F736" i="8"/>
  <c r="H736" i="8" s="1"/>
  <c r="G736" i="8"/>
  <c r="F737" i="8"/>
  <c r="G737" i="8"/>
  <c r="H737" i="8"/>
  <c r="F738" i="8"/>
  <c r="H738" i="8" s="1"/>
  <c r="G738" i="8"/>
  <c r="F739" i="8"/>
  <c r="G739" i="8"/>
  <c r="H739" i="8"/>
  <c r="F740" i="8"/>
  <c r="G740" i="8"/>
  <c r="H740" i="8" s="1"/>
  <c r="F741" i="8"/>
  <c r="H741" i="8" s="1"/>
  <c r="G741" i="8"/>
  <c r="F742" i="8"/>
  <c r="G742" i="8"/>
  <c r="F743" i="8"/>
  <c r="G743" i="8"/>
  <c r="H743" i="8"/>
  <c r="F744" i="8"/>
  <c r="G744" i="8"/>
  <c r="F745" i="8"/>
  <c r="G745" i="8"/>
  <c r="F746" i="8"/>
  <c r="G746" i="8"/>
  <c r="F747" i="8"/>
  <c r="G747" i="8"/>
  <c r="F748" i="8"/>
  <c r="H748" i="8" s="1"/>
  <c r="G748" i="8"/>
  <c r="F749" i="8"/>
  <c r="H749" i="8" s="1"/>
  <c r="G749" i="8"/>
  <c r="F750" i="8"/>
  <c r="G750" i="8"/>
  <c r="F751" i="8"/>
  <c r="G751" i="8"/>
  <c r="F752" i="8"/>
  <c r="G752" i="8"/>
  <c r="H752" i="8"/>
  <c r="F753" i="8"/>
  <c r="G753" i="8"/>
  <c r="F754" i="8"/>
  <c r="G754" i="8"/>
  <c r="F755" i="8"/>
  <c r="H755" i="8" s="1"/>
  <c r="G755" i="8"/>
  <c r="F756" i="8"/>
  <c r="H756" i="8" s="1"/>
  <c r="G756" i="8"/>
  <c r="F757" i="8"/>
  <c r="G757" i="8"/>
  <c r="F758" i="8"/>
  <c r="H758" i="8" s="1"/>
  <c r="G758" i="8"/>
  <c r="F759" i="8"/>
  <c r="G759" i="8"/>
  <c r="F760" i="8"/>
  <c r="G760" i="8"/>
  <c r="F761" i="8"/>
  <c r="G761" i="8"/>
  <c r="F762" i="8"/>
  <c r="H762" i="8" s="1"/>
  <c r="G762" i="8"/>
  <c r="F763" i="8"/>
  <c r="H763" i="8" s="1"/>
  <c r="G763" i="8"/>
  <c r="F764" i="8"/>
  <c r="H764" i="8" s="1"/>
  <c r="G764" i="8"/>
  <c r="F765" i="8"/>
  <c r="G765" i="8"/>
  <c r="F766" i="8"/>
  <c r="G766" i="8"/>
  <c r="F767" i="8"/>
  <c r="G767" i="8"/>
  <c r="H767" i="8"/>
  <c r="F768" i="8"/>
  <c r="G768" i="8"/>
  <c r="H768" i="8"/>
  <c r="F769" i="8"/>
  <c r="H769" i="8" s="1"/>
  <c r="G769" i="8"/>
  <c r="F770" i="8"/>
  <c r="H770" i="8" s="1"/>
  <c r="G770" i="8"/>
  <c r="F771" i="8"/>
  <c r="G771" i="8"/>
  <c r="F772" i="8"/>
  <c r="G772" i="8"/>
  <c r="H772" i="8" s="1"/>
  <c r="F773" i="8"/>
  <c r="G773" i="8"/>
  <c r="H773" i="8"/>
  <c r="F774" i="8"/>
  <c r="G774" i="8"/>
  <c r="F775" i="8"/>
  <c r="G775" i="8"/>
  <c r="F776" i="8"/>
  <c r="G776" i="8"/>
  <c r="F777" i="8"/>
  <c r="G777" i="8"/>
  <c r="F778" i="8"/>
  <c r="G778" i="8"/>
  <c r="H778" i="8" s="1"/>
  <c r="F779" i="8"/>
  <c r="H779" i="8" s="1"/>
  <c r="G779" i="8"/>
  <c r="F780" i="8"/>
  <c r="G780" i="8"/>
  <c r="F781" i="8"/>
  <c r="G781" i="8"/>
  <c r="F782" i="8"/>
  <c r="G782" i="8"/>
  <c r="F783" i="8"/>
  <c r="G783" i="8"/>
  <c r="F784" i="8"/>
  <c r="G784" i="8"/>
  <c r="F785" i="8"/>
  <c r="G785" i="8"/>
  <c r="H785" i="8"/>
  <c r="F786" i="8"/>
  <c r="G786" i="8"/>
  <c r="F787" i="8"/>
  <c r="G787" i="8"/>
  <c r="F788" i="8"/>
  <c r="G788" i="8"/>
  <c r="F789" i="8"/>
  <c r="G789" i="8"/>
  <c r="H789" i="8"/>
  <c r="F790" i="8"/>
  <c r="G790" i="8"/>
  <c r="H790" i="8"/>
  <c r="F791" i="8"/>
  <c r="H791" i="8" s="1"/>
  <c r="G791" i="8"/>
  <c r="F792" i="8"/>
  <c r="H792" i="8" s="1"/>
  <c r="G792" i="8"/>
  <c r="F793" i="8"/>
  <c r="H793" i="8" s="1"/>
  <c r="G793" i="8"/>
  <c r="F794" i="8"/>
  <c r="G794" i="8"/>
  <c r="F795" i="8"/>
  <c r="G795" i="8"/>
  <c r="H795" i="8"/>
  <c r="F796" i="8"/>
  <c r="H796" i="8" s="1"/>
  <c r="G796" i="8"/>
  <c r="F797" i="8"/>
  <c r="G797" i="8"/>
  <c r="F798" i="8"/>
  <c r="G798" i="8"/>
  <c r="F799" i="8"/>
  <c r="H799" i="8" s="1"/>
  <c r="G799" i="8"/>
  <c r="F800" i="8"/>
  <c r="H800" i="8" s="1"/>
  <c r="G800" i="8"/>
  <c r="F801" i="8"/>
  <c r="G801" i="8"/>
  <c r="H801" i="8"/>
  <c r="F802" i="8"/>
  <c r="G802" i="8"/>
  <c r="H802" i="8"/>
  <c r="F803" i="8"/>
  <c r="G803" i="8"/>
  <c r="H803" i="8"/>
  <c r="F804" i="8"/>
  <c r="H804" i="8" s="1"/>
  <c r="G804" i="8"/>
  <c r="F805" i="8"/>
  <c r="H805" i="8" s="1"/>
  <c r="G805" i="8"/>
  <c r="F806" i="8"/>
  <c r="H806" i="8" s="1"/>
  <c r="G806" i="8"/>
  <c r="F807" i="8"/>
  <c r="H807" i="8" s="1"/>
  <c r="G807" i="8"/>
  <c r="F808" i="8"/>
  <c r="G808" i="8"/>
  <c r="F809" i="8"/>
  <c r="G809" i="8"/>
  <c r="F810" i="8"/>
  <c r="G810" i="8"/>
  <c r="H810" i="8" s="1"/>
  <c r="F811" i="8"/>
  <c r="G811" i="8"/>
  <c r="F812" i="8"/>
  <c r="G812" i="8"/>
  <c r="F813" i="8"/>
  <c r="H813" i="8" s="1"/>
  <c r="G813" i="8"/>
  <c r="F814" i="8"/>
  <c r="G814" i="8"/>
  <c r="F815" i="8"/>
  <c r="G815" i="8"/>
  <c r="H815" i="8"/>
  <c r="F816" i="8"/>
  <c r="H816" i="8" s="1"/>
  <c r="G816" i="8"/>
  <c r="F817" i="8"/>
  <c r="G817" i="8"/>
  <c r="F818" i="8"/>
  <c r="G818" i="8"/>
  <c r="F819" i="8"/>
  <c r="G819" i="8"/>
  <c r="H819" i="8"/>
  <c r="F820" i="8"/>
  <c r="G820" i="8"/>
  <c r="H820" i="8" s="1"/>
  <c r="F821" i="8"/>
  <c r="G821" i="8"/>
  <c r="F822" i="8"/>
  <c r="G822" i="8"/>
  <c r="F823" i="8"/>
  <c r="G823" i="8"/>
  <c r="F824" i="8"/>
  <c r="G824" i="8"/>
  <c r="F825" i="8"/>
  <c r="G825" i="8"/>
  <c r="F826" i="8"/>
  <c r="G826" i="8"/>
  <c r="F827" i="8"/>
  <c r="H827" i="8" s="1"/>
  <c r="G827" i="8"/>
  <c r="F828" i="8"/>
  <c r="H828" i="8" s="1"/>
  <c r="G828" i="8"/>
  <c r="F829" i="8"/>
  <c r="H829" i="8" s="1"/>
  <c r="G829" i="8"/>
  <c r="F830" i="8"/>
  <c r="G830" i="8"/>
  <c r="F831" i="8"/>
  <c r="H831" i="8" s="1"/>
  <c r="G831" i="8"/>
  <c r="F832" i="8"/>
  <c r="G832" i="8"/>
  <c r="H832" i="8"/>
  <c r="F833" i="8"/>
  <c r="G833" i="8"/>
  <c r="F834" i="8"/>
  <c r="H834" i="8" s="1"/>
  <c r="G834" i="8"/>
  <c r="F835" i="8"/>
  <c r="H835" i="8" s="1"/>
  <c r="G835" i="8"/>
  <c r="F836" i="8"/>
  <c r="G836" i="8"/>
  <c r="H836" i="8" s="1"/>
  <c r="F837" i="8"/>
  <c r="H837" i="8" s="1"/>
  <c r="G837" i="8"/>
  <c r="F838" i="8"/>
  <c r="G838" i="8"/>
  <c r="H838" i="8"/>
  <c r="F839" i="8"/>
  <c r="H839" i="8" s="1"/>
  <c r="G839" i="8"/>
  <c r="F840" i="8"/>
  <c r="G840" i="8"/>
  <c r="F841" i="8"/>
  <c r="G841" i="8"/>
  <c r="F842" i="8"/>
  <c r="G842" i="8"/>
  <c r="F843" i="8"/>
  <c r="G843" i="8"/>
  <c r="H843" i="8"/>
  <c r="F844" i="8"/>
  <c r="H844" i="8" s="1"/>
  <c r="G844" i="8"/>
  <c r="F845" i="8"/>
  <c r="G845" i="8"/>
  <c r="F846" i="8"/>
  <c r="G846" i="8"/>
  <c r="F847" i="8"/>
  <c r="G847" i="8"/>
  <c r="F848" i="8"/>
  <c r="G848" i="8"/>
  <c r="H848" i="8" s="1"/>
  <c r="F849" i="8"/>
  <c r="H849" i="8" s="1"/>
  <c r="G849" i="8"/>
  <c r="F850" i="8"/>
  <c r="G850" i="8"/>
  <c r="F851" i="8"/>
  <c r="H851" i="8" s="1"/>
  <c r="G851" i="8"/>
  <c r="F852" i="8"/>
  <c r="G852" i="8"/>
  <c r="F853" i="8"/>
  <c r="G853" i="8"/>
  <c r="F854" i="8"/>
  <c r="G854" i="8"/>
  <c r="H854" i="8"/>
  <c r="F855" i="8"/>
  <c r="H855" i="8" s="1"/>
  <c r="G855" i="8"/>
  <c r="F856" i="8"/>
  <c r="G856" i="8"/>
  <c r="F857" i="8"/>
  <c r="H857" i="8" s="1"/>
  <c r="G857" i="8"/>
  <c r="F858" i="8"/>
  <c r="G858" i="8"/>
  <c r="F859" i="8"/>
  <c r="G859" i="8"/>
  <c r="H859" i="8"/>
  <c r="F860" i="8"/>
  <c r="G860" i="8"/>
  <c r="H860" i="8"/>
  <c r="F861" i="8"/>
  <c r="G861" i="8"/>
  <c r="F862" i="8"/>
  <c r="G862" i="8"/>
  <c r="F863" i="8"/>
  <c r="G863" i="8"/>
  <c r="F864" i="8"/>
  <c r="H864" i="8" s="1"/>
  <c r="G864" i="8"/>
  <c r="F865" i="8"/>
  <c r="G865" i="8"/>
  <c r="H865" i="8"/>
  <c r="F866" i="8"/>
  <c r="G866" i="8"/>
  <c r="F867" i="8"/>
  <c r="G867" i="8"/>
  <c r="H867" i="8"/>
  <c r="F868" i="8"/>
  <c r="G868" i="8"/>
  <c r="F869" i="8"/>
  <c r="G869" i="8"/>
  <c r="F870" i="8"/>
  <c r="G870" i="8"/>
  <c r="F871" i="8"/>
  <c r="H871" i="8" s="1"/>
  <c r="G871" i="8"/>
  <c r="F872" i="8"/>
  <c r="G872" i="8"/>
  <c r="F873" i="8"/>
  <c r="G873" i="8"/>
  <c r="F874" i="8"/>
  <c r="G874" i="8"/>
  <c r="H874" i="8"/>
  <c r="F875" i="8"/>
  <c r="G875" i="8"/>
  <c r="F876" i="8"/>
  <c r="H876" i="8" s="1"/>
  <c r="G876" i="8"/>
  <c r="F877" i="8"/>
  <c r="G877" i="8"/>
  <c r="F878" i="8"/>
  <c r="G878" i="8"/>
  <c r="F879" i="8"/>
  <c r="G879" i="8"/>
  <c r="H879" i="8"/>
  <c r="F880" i="8"/>
  <c r="G880" i="8"/>
  <c r="H880" i="8"/>
  <c r="F881" i="8"/>
  <c r="G881" i="8"/>
  <c r="F882" i="8"/>
  <c r="G882" i="8"/>
  <c r="F883" i="8"/>
  <c r="H883" i="8" s="1"/>
  <c r="G883" i="8"/>
  <c r="F884" i="8"/>
  <c r="H884" i="8" s="1"/>
  <c r="G884" i="8"/>
  <c r="F885" i="8"/>
  <c r="G885" i="8"/>
  <c r="H885" i="8"/>
  <c r="F886" i="8"/>
  <c r="G886" i="8"/>
  <c r="H886" i="8"/>
  <c r="F887" i="8"/>
  <c r="G887" i="8"/>
  <c r="F888" i="8"/>
  <c r="G888" i="8"/>
  <c r="F889" i="8"/>
  <c r="G889" i="8"/>
  <c r="F890" i="8"/>
  <c r="G890" i="8"/>
  <c r="H890" i="8" s="1"/>
  <c r="F891" i="8"/>
  <c r="G891" i="8"/>
  <c r="F892" i="8"/>
  <c r="G892" i="8"/>
  <c r="H892" i="8"/>
  <c r="F893" i="8"/>
  <c r="G893" i="8"/>
  <c r="F894" i="8"/>
  <c r="G894" i="8"/>
  <c r="F895" i="8"/>
  <c r="G895" i="8"/>
  <c r="H895" i="8"/>
  <c r="F896" i="8"/>
  <c r="G896" i="8"/>
  <c r="H896" i="8"/>
  <c r="F897" i="8"/>
  <c r="H897" i="8" s="1"/>
  <c r="G897" i="8"/>
  <c r="F898" i="8"/>
  <c r="G898" i="8"/>
  <c r="H898" i="8" s="1"/>
  <c r="F899" i="8"/>
  <c r="H899" i="8" s="1"/>
  <c r="G899" i="8"/>
  <c r="F900" i="8"/>
  <c r="G900" i="8"/>
  <c r="F901" i="8"/>
  <c r="G901" i="8"/>
  <c r="H901" i="8"/>
  <c r="F902" i="8"/>
  <c r="H902" i="8" s="1"/>
  <c r="G902" i="8"/>
  <c r="F903" i="8"/>
  <c r="H903" i="8" s="1"/>
  <c r="G903" i="8"/>
  <c r="F904" i="8"/>
  <c r="G904" i="8"/>
  <c r="F905" i="8"/>
  <c r="G905" i="8"/>
  <c r="F906" i="8"/>
  <c r="H906" i="8" s="1"/>
  <c r="G906" i="8"/>
  <c r="F907" i="8"/>
  <c r="G907" i="8"/>
  <c r="H907" i="8"/>
  <c r="F908" i="8"/>
  <c r="G908" i="8"/>
  <c r="H908" i="8"/>
  <c r="F909" i="8"/>
  <c r="G909" i="8"/>
  <c r="F910" i="8"/>
  <c r="G910" i="8"/>
  <c r="F911" i="8"/>
  <c r="G911" i="8"/>
  <c r="F912" i="8"/>
  <c r="H912" i="8" s="1"/>
  <c r="G912" i="8"/>
  <c r="F913" i="8"/>
  <c r="H913" i="8" s="1"/>
  <c r="G913" i="8"/>
  <c r="F914" i="8"/>
  <c r="G914" i="8"/>
  <c r="F915" i="8"/>
  <c r="G915" i="8"/>
  <c r="H915" i="8"/>
  <c r="F916" i="8"/>
  <c r="G916" i="8"/>
  <c r="F917" i="8"/>
  <c r="H917" i="8" s="1"/>
  <c r="G917" i="8"/>
  <c r="F918" i="8"/>
  <c r="G918" i="8"/>
  <c r="H918" i="8" s="1"/>
  <c r="F919" i="8"/>
  <c r="G919" i="8"/>
  <c r="F920" i="8"/>
  <c r="G920" i="8"/>
  <c r="F921" i="8"/>
  <c r="G921" i="8"/>
  <c r="F922" i="8"/>
  <c r="G922" i="8"/>
  <c r="F923" i="8"/>
  <c r="G923" i="8"/>
  <c r="H923" i="8"/>
  <c r="F924" i="8"/>
  <c r="H924" i="8" s="1"/>
  <c r="G924" i="8"/>
  <c r="F925" i="8"/>
  <c r="G925" i="8"/>
  <c r="F926" i="8"/>
  <c r="H926" i="8" s="1"/>
  <c r="G926" i="8"/>
  <c r="F927" i="8"/>
  <c r="G927" i="8"/>
  <c r="F928" i="8"/>
  <c r="G928" i="8"/>
  <c r="F929" i="8"/>
  <c r="G929" i="8"/>
  <c r="F930" i="8"/>
  <c r="G930" i="8"/>
  <c r="H930" i="8" s="1"/>
  <c r="F931" i="8"/>
  <c r="G931" i="8"/>
  <c r="H931" i="8"/>
  <c r="F932" i="8"/>
  <c r="G932" i="8"/>
  <c r="F933" i="8"/>
  <c r="G933" i="8"/>
  <c r="F934" i="8"/>
  <c r="H934" i="8" s="1"/>
  <c r="G934" i="8"/>
  <c r="F935" i="8"/>
  <c r="G935" i="8"/>
  <c r="H935" i="8"/>
  <c r="F936" i="8"/>
  <c r="G936" i="8"/>
  <c r="F937" i="8"/>
  <c r="G937" i="8"/>
  <c r="F938" i="8"/>
  <c r="G938" i="8"/>
  <c r="H938" i="8"/>
  <c r="F939" i="8"/>
  <c r="G939" i="8"/>
  <c r="F940" i="8"/>
  <c r="G940" i="8"/>
  <c r="F941" i="8"/>
  <c r="H941" i="8" s="1"/>
  <c r="G941" i="8"/>
  <c r="F942" i="8"/>
  <c r="G942" i="8"/>
  <c r="F943" i="8"/>
  <c r="H943" i="8" s="1"/>
  <c r="G943" i="8"/>
  <c r="F944" i="8"/>
  <c r="H944" i="8" s="1"/>
  <c r="G944" i="8"/>
  <c r="F945" i="8"/>
  <c r="G945" i="8"/>
  <c r="F946" i="8"/>
  <c r="G946" i="8"/>
  <c r="F947" i="8"/>
  <c r="G947" i="8"/>
  <c r="H947" i="8" s="1"/>
  <c r="F948" i="8"/>
  <c r="H948" i="8" s="1"/>
  <c r="G948" i="8"/>
  <c r="F949" i="8"/>
  <c r="H949" i="8" s="1"/>
  <c r="G949" i="8"/>
  <c r="F950" i="8"/>
  <c r="H950" i="8" s="1"/>
  <c r="G950" i="8"/>
  <c r="F951" i="8"/>
  <c r="G951" i="8"/>
  <c r="F952" i="8"/>
  <c r="G952" i="8"/>
  <c r="F953" i="8"/>
  <c r="G953" i="8"/>
  <c r="F954" i="8"/>
  <c r="H954" i="8" s="1"/>
  <c r="G954" i="8"/>
  <c r="F955" i="8"/>
  <c r="H955" i="8" s="1"/>
  <c r="G955" i="8"/>
  <c r="F956" i="8"/>
  <c r="G956" i="8"/>
  <c r="H956" i="8" s="1"/>
  <c r="F957" i="8"/>
  <c r="G957" i="8"/>
  <c r="F958" i="8"/>
  <c r="G958" i="8"/>
  <c r="F959" i="8"/>
  <c r="G959" i="8"/>
  <c r="H959" i="8"/>
  <c r="F960" i="8"/>
  <c r="G960" i="8"/>
  <c r="H960" i="8"/>
  <c r="F961" i="8"/>
  <c r="H961" i="8" s="1"/>
  <c r="G961" i="8"/>
  <c r="F962" i="8"/>
  <c r="G962" i="8"/>
  <c r="H962" i="8" s="1"/>
  <c r="F963" i="8"/>
  <c r="G963" i="8"/>
  <c r="F964" i="8"/>
  <c r="G964" i="8"/>
  <c r="H964" i="8" s="1"/>
  <c r="F965" i="8"/>
  <c r="G965" i="8"/>
  <c r="H965" i="8"/>
  <c r="F966" i="8"/>
  <c r="G966" i="8"/>
  <c r="H966" i="8"/>
  <c r="F967" i="8"/>
  <c r="G967" i="8"/>
  <c r="F968" i="8"/>
  <c r="G968" i="8"/>
  <c r="F969" i="8"/>
  <c r="G969" i="8"/>
  <c r="F970" i="8"/>
  <c r="G970" i="8"/>
  <c r="H970" i="8" s="1"/>
  <c r="F971" i="8"/>
  <c r="G971" i="8"/>
  <c r="F972" i="8"/>
  <c r="G972" i="8"/>
  <c r="H972" i="8"/>
  <c r="F973" i="8"/>
  <c r="G973" i="8"/>
  <c r="F974" i="8"/>
  <c r="G974" i="8"/>
  <c r="F975" i="8"/>
  <c r="G975" i="8"/>
  <c r="F976" i="8"/>
  <c r="G976" i="8"/>
  <c r="F977" i="8"/>
  <c r="G977" i="8"/>
  <c r="H977" i="8"/>
  <c r="F978" i="8"/>
  <c r="H978" i="8" s="1"/>
  <c r="G978" i="8"/>
  <c r="F979" i="8"/>
  <c r="G979" i="8"/>
  <c r="H979" i="8"/>
  <c r="F980" i="8"/>
  <c r="G980" i="8"/>
  <c r="F981" i="8"/>
  <c r="H981" i="8" s="1"/>
  <c r="G981" i="8"/>
  <c r="F982" i="8"/>
  <c r="H982" i="8" s="1"/>
  <c r="G982" i="8"/>
  <c r="F983" i="8"/>
  <c r="G983" i="8"/>
  <c r="H983" i="8" s="1"/>
  <c r="F984" i="8"/>
  <c r="H984" i="8" s="1"/>
  <c r="G984" i="8"/>
  <c r="F985" i="8"/>
  <c r="G985" i="8"/>
  <c r="F986" i="8"/>
  <c r="G986" i="8"/>
  <c r="F987" i="8"/>
  <c r="G987" i="8"/>
  <c r="H987" i="8"/>
  <c r="F988" i="8"/>
  <c r="G988" i="8"/>
  <c r="H988" i="8"/>
  <c r="F989" i="8"/>
  <c r="G989" i="8"/>
  <c r="F990" i="8"/>
  <c r="G990" i="8"/>
  <c r="F991" i="8"/>
  <c r="H991" i="8" s="1"/>
  <c r="G991" i="8"/>
  <c r="F992" i="8"/>
  <c r="H992" i="8" s="1"/>
  <c r="G992" i="8"/>
  <c r="F993" i="8"/>
  <c r="G993" i="8"/>
  <c r="H993" i="8"/>
  <c r="F994" i="8"/>
  <c r="H994" i="8" s="1"/>
  <c r="G994" i="8"/>
  <c r="F995" i="8"/>
  <c r="H995" i="8" s="1"/>
  <c r="G995" i="8"/>
  <c r="F996" i="8"/>
  <c r="G996" i="8"/>
  <c r="F997" i="8"/>
  <c r="G997" i="8"/>
  <c r="F998" i="8"/>
  <c r="G998" i="8"/>
  <c r="F999" i="8"/>
  <c r="H999" i="8" s="1"/>
  <c r="G999" i="8"/>
  <c r="F1000" i="8"/>
  <c r="G1000" i="8"/>
  <c r="F1001" i="8"/>
  <c r="G1001" i="8"/>
  <c r="F2" i="8"/>
  <c r="G2" i="8"/>
  <c r="O158" i="6"/>
  <c r="O185" i="6"/>
  <c r="O159" i="6"/>
  <c r="O160" i="6"/>
  <c r="O81" i="6"/>
  <c r="O9" i="6"/>
  <c r="O10" i="6"/>
  <c r="O125" i="6"/>
  <c r="O82" i="6"/>
  <c r="O22" i="6"/>
  <c r="O45" i="6"/>
  <c r="O46" i="6"/>
  <c r="O47" i="6"/>
  <c r="O48" i="6"/>
  <c r="O23" i="6"/>
  <c r="O49" i="6"/>
  <c r="O50" i="6"/>
  <c r="O3" i="6"/>
  <c r="O161" i="6"/>
  <c r="O83" i="6"/>
  <c r="O11" i="6"/>
  <c r="O51" i="6"/>
  <c r="O84" i="6"/>
  <c r="O52" i="6"/>
  <c r="O85" i="6"/>
  <c r="O24" i="6"/>
  <c r="O25" i="6"/>
  <c r="O86" i="6"/>
  <c r="O12" i="6"/>
  <c r="O186" i="6"/>
  <c r="O87" i="6"/>
  <c r="O53" i="6"/>
  <c r="O126" i="6"/>
  <c r="O162" i="6"/>
  <c r="O54" i="6"/>
  <c r="O127" i="6"/>
  <c r="O128" i="6"/>
  <c r="O26" i="6"/>
  <c r="O27" i="6"/>
  <c r="O13" i="6"/>
  <c r="O88" i="6"/>
  <c r="O129" i="6"/>
  <c r="O55" i="6"/>
  <c r="O28" i="6"/>
  <c r="O163" i="6"/>
  <c r="O187" i="6"/>
  <c r="O164" i="6"/>
  <c r="O56" i="6"/>
  <c r="O89" i="6"/>
  <c r="O90" i="6"/>
  <c r="O188" i="6"/>
  <c r="O91" i="6"/>
  <c r="O92" i="6"/>
  <c r="O130" i="6"/>
  <c r="O29" i="6"/>
  <c r="O165" i="6"/>
  <c r="O93" i="6"/>
  <c r="O30" i="6"/>
  <c r="O166" i="6"/>
  <c r="O14" i="6"/>
  <c r="O167" i="6"/>
  <c r="O94" i="6"/>
  <c r="O131" i="6"/>
  <c r="O31" i="6"/>
  <c r="O57" i="6"/>
  <c r="O189" i="6"/>
  <c r="O190" i="6"/>
  <c r="O132" i="6"/>
  <c r="O133" i="6"/>
  <c r="O95" i="6"/>
  <c r="O15" i="6"/>
  <c r="O134" i="6"/>
  <c r="O135" i="6"/>
  <c r="O58" i="6"/>
  <c r="O168" i="6"/>
  <c r="O136" i="6"/>
  <c r="O96" i="6"/>
  <c r="O59" i="6"/>
  <c r="O169" i="6"/>
  <c r="O137" i="6"/>
  <c r="O170" i="6"/>
  <c r="O171" i="6"/>
  <c r="O97" i="6"/>
  <c r="O60" i="6"/>
  <c r="O172" i="6"/>
  <c r="O138" i="6"/>
  <c r="O173" i="6"/>
  <c r="O174" i="6"/>
  <c r="O4" i="6"/>
  <c r="O175" i="6"/>
  <c r="O61" i="6"/>
  <c r="O16" i="6"/>
  <c r="O98" i="6"/>
  <c r="O99" i="6"/>
  <c r="O2" i="6"/>
  <c r="O139" i="6"/>
  <c r="O176" i="6"/>
  <c r="O191" i="6"/>
  <c r="O140" i="6"/>
  <c r="O62" i="6"/>
  <c r="O141" i="6"/>
  <c r="O142" i="6"/>
  <c r="O63" i="6"/>
  <c r="O5" i="6"/>
  <c r="O143" i="6"/>
  <c r="O144" i="6"/>
  <c r="O32" i="6"/>
  <c r="O145" i="6"/>
  <c r="O100" i="6"/>
  <c r="O17" i="6"/>
  <c r="O6" i="6"/>
  <c r="O177" i="6"/>
  <c r="O101" i="6"/>
  <c r="O102" i="6"/>
  <c r="O103" i="6"/>
  <c r="O104" i="6"/>
  <c r="O146" i="6"/>
  <c r="O105" i="6"/>
  <c r="O106" i="6"/>
  <c r="O147" i="6"/>
  <c r="O18" i="6"/>
  <c r="O107" i="6"/>
  <c r="O148" i="6"/>
  <c r="O33" i="6"/>
  <c r="O34" i="6"/>
  <c r="O108" i="6"/>
  <c r="O149" i="6"/>
  <c r="O35" i="6"/>
  <c r="O150" i="6"/>
  <c r="O64" i="6"/>
  <c r="O65" i="6"/>
  <c r="O192" i="6"/>
  <c r="O36" i="6"/>
  <c r="O178" i="6"/>
  <c r="O66" i="6"/>
  <c r="O109" i="6"/>
  <c r="O110" i="6"/>
  <c r="O111" i="6"/>
  <c r="O37" i="6"/>
  <c r="O67" i="6"/>
  <c r="O68" i="6"/>
  <c r="O19" i="6"/>
  <c r="O151" i="6"/>
  <c r="O112" i="6"/>
  <c r="O38" i="6"/>
  <c r="O113" i="6"/>
  <c r="O69" i="6"/>
  <c r="O179" i="6"/>
  <c r="O70" i="6"/>
  <c r="O71" i="6"/>
  <c r="O72" i="6"/>
  <c r="O114" i="6"/>
  <c r="O180" i="6"/>
  <c r="O73" i="6"/>
  <c r="O193" i="6"/>
  <c r="O74" i="6"/>
  <c r="O115" i="6"/>
  <c r="O116" i="6"/>
  <c r="O39" i="6"/>
  <c r="O152" i="6"/>
  <c r="O75" i="6"/>
  <c r="O153" i="6"/>
  <c r="O117" i="6"/>
  <c r="O154" i="6"/>
  <c r="O118" i="6"/>
  <c r="O40" i="6"/>
  <c r="O155" i="6"/>
  <c r="O20" i="6"/>
  <c r="O41" i="6"/>
  <c r="O119" i="6"/>
  <c r="O76" i="6"/>
  <c r="O21" i="6"/>
  <c r="O77" i="6"/>
  <c r="O194" i="6"/>
  <c r="O195" i="6"/>
  <c r="O196" i="6"/>
  <c r="O78" i="6"/>
  <c r="O156" i="6"/>
  <c r="O79" i="6"/>
  <c r="O42" i="6"/>
  <c r="O181" i="6"/>
  <c r="O157" i="6"/>
  <c r="O43" i="6"/>
  <c r="O120" i="6"/>
  <c r="O7" i="6"/>
  <c r="O182" i="6"/>
  <c r="O121" i="6"/>
  <c r="O44" i="6"/>
  <c r="O122" i="6"/>
  <c r="O80" i="6"/>
  <c r="O8" i="6"/>
  <c r="O123" i="6"/>
  <c r="O183" i="6"/>
  <c r="O124" i="6"/>
  <c r="O184" i="6"/>
  <c r="C3" i="6"/>
  <c r="E3" i="6" s="1"/>
  <c r="D3" i="6"/>
  <c r="C4" i="6"/>
  <c r="E4" i="6" s="1"/>
  <c r="D4" i="6"/>
  <c r="C5" i="6"/>
  <c r="D5" i="6"/>
  <c r="E5" i="6"/>
  <c r="C6" i="6"/>
  <c r="D6" i="6"/>
  <c r="C7" i="6"/>
  <c r="D7" i="6"/>
  <c r="E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E18" i="6" s="1"/>
  <c r="D18" i="6"/>
  <c r="C19" i="6"/>
  <c r="E19" i="6" s="1"/>
  <c r="D19" i="6"/>
  <c r="C20" i="6"/>
  <c r="D20" i="6"/>
  <c r="E20" i="6"/>
  <c r="C21" i="6"/>
  <c r="D21" i="6"/>
  <c r="C22" i="6"/>
  <c r="D22" i="6"/>
  <c r="C23" i="6"/>
  <c r="D23" i="6"/>
  <c r="C24" i="6"/>
  <c r="D24" i="6"/>
  <c r="C25" i="6"/>
  <c r="E25" i="6" s="1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E36" i="6"/>
  <c r="C37" i="6"/>
  <c r="D37" i="6"/>
  <c r="E37" i="6"/>
  <c r="C38" i="6"/>
  <c r="D38" i="6"/>
  <c r="C39" i="6"/>
  <c r="D39" i="6"/>
  <c r="C40" i="6"/>
  <c r="D40" i="6"/>
  <c r="C41" i="6"/>
  <c r="D41" i="6"/>
  <c r="C42" i="6"/>
  <c r="D42" i="6"/>
  <c r="C43" i="6"/>
  <c r="D43" i="6"/>
  <c r="E43" i="6"/>
  <c r="C44" i="6"/>
  <c r="D44" i="6"/>
  <c r="E44" i="6"/>
  <c r="C45" i="6"/>
  <c r="D45" i="6"/>
  <c r="C46" i="6"/>
  <c r="D46" i="6"/>
  <c r="C47" i="6"/>
  <c r="D47" i="6"/>
  <c r="C48" i="6"/>
  <c r="D48" i="6"/>
  <c r="C49" i="6"/>
  <c r="D49" i="6"/>
  <c r="C50" i="6"/>
  <c r="D50" i="6"/>
  <c r="E50" i="6"/>
  <c r="C51" i="6"/>
  <c r="D51" i="6"/>
  <c r="C52" i="6"/>
  <c r="D52" i="6"/>
  <c r="E52" i="6" s="1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E59" i="6"/>
  <c r="C60" i="6"/>
  <c r="D60" i="6"/>
  <c r="C61" i="6"/>
  <c r="D61" i="6"/>
  <c r="C62" i="6"/>
  <c r="D62" i="6"/>
  <c r="C63" i="6"/>
  <c r="D63" i="6"/>
  <c r="C64" i="6"/>
  <c r="D64" i="6"/>
  <c r="C65" i="6"/>
  <c r="D65" i="6"/>
  <c r="E65" i="6"/>
  <c r="C66" i="6"/>
  <c r="D66" i="6"/>
  <c r="C67" i="6"/>
  <c r="D67" i="6"/>
  <c r="C68" i="6"/>
  <c r="D68" i="6"/>
  <c r="E68" i="6"/>
  <c r="C69" i="6"/>
  <c r="E69" i="6" s="1"/>
  <c r="D69" i="6"/>
  <c r="C70" i="6"/>
  <c r="D70" i="6"/>
  <c r="C71" i="6"/>
  <c r="E71" i="6" s="1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E81" i="6"/>
  <c r="C82" i="6"/>
  <c r="D82" i="6"/>
  <c r="C83" i="6"/>
  <c r="D83" i="6"/>
  <c r="C84" i="6"/>
  <c r="D84" i="6"/>
  <c r="C85" i="6"/>
  <c r="D85" i="6"/>
  <c r="E85" i="6" s="1"/>
  <c r="C86" i="6"/>
  <c r="E86" i="6" s="1"/>
  <c r="D86" i="6"/>
  <c r="C87" i="6"/>
  <c r="D87" i="6"/>
  <c r="C88" i="6"/>
  <c r="D88" i="6"/>
  <c r="C89" i="6"/>
  <c r="D89" i="6"/>
  <c r="E89" i="6"/>
  <c r="C90" i="6"/>
  <c r="D90" i="6"/>
  <c r="C91" i="6"/>
  <c r="E91" i="6" s="1"/>
  <c r="D91" i="6"/>
  <c r="C92" i="6"/>
  <c r="D92" i="6"/>
  <c r="C93" i="6"/>
  <c r="D93" i="6"/>
  <c r="C94" i="6"/>
  <c r="D94" i="6"/>
  <c r="C95" i="6"/>
  <c r="D95" i="6"/>
  <c r="C96" i="6"/>
  <c r="D96" i="6"/>
  <c r="C97" i="6"/>
  <c r="D97" i="6"/>
  <c r="C98" i="6"/>
  <c r="D98" i="6"/>
  <c r="C99" i="6"/>
  <c r="D99" i="6"/>
  <c r="C100" i="6"/>
  <c r="D100" i="6"/>
  <c r="C101" i="6"/>
  <c r="E101" i="6" s="1"/>
  <c r="D101" i="6"/>
  <c r="C102" i="6"/>
  <c r="D102" i="6"/>
  <c r="C103" i="6"/>
  <c r="D103" i="6"/>
  <c r="C104" i="6"/>
  <c r="D104" i="6"/>
  <c r="C105" i="6"/>
  <c r="D105" i="6"/>
  <c r="C106" i="6"/>
  <c r="D106" i="6"/>
  <c r="C107" i="6"/>
  <c r="D107" i="6"/>
  <c r="C108" i="6"/>
  <c r="D108" i="6"/>
  <c r="C109" i="6"/>
  <c r="D109" i="6"/>
  <c r="C110" i="6"/>
  <c r="D110" i="6"/>
  <c r="E110" i="6"/>
  <c r="C111" i="6"/>
  <c r="D111" i="6"/>
  <c r="C112" i="6"/>
  <c r="D112" i="6"/>
  <c r="E112" i="6" s="1"/>
  <c r="C113" i="6"/>
  <c r="D113" i="6"/>
  <c r="C114" i="6"/>
  <c r="D114" i="6"/>
  <c r="C115" i="6"/>
  <c r="D115" i="6"/>
  <c r="C116" i="6"/>
  <c r="D116" i="6"/>
  <c r="C117" i="6"/>
  <c r="D117" i="6"/>
  <c r="E117" i="6" s="1"/>
  <c r="C118" i="6"/>
  <c r="D118" i="6"/>
  <c r="C119" i="6"/>
  <c r="D119" i="6"/>
  <c r="C120" i="6"/>
  <c r="D120" i="6"/>
  <c r="C121" i="6"/>
  <c r="D121" i="6"/>
  <c r="C122" i="6"/>
  <c r="D122" i="6"/>
  <c r="C123" i="6"/>
  <c r="E123" i="6" s="1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E139" i="6" s="1"/>
  <c r="D139" i="6"/>
  <c r="C140" i="6"/>
  <c r="D140" i="6"/>
  <c r="C141" i="6"/>
  <c r="D141" i="6"/>
  <c r="C142" i="6"/>
  <c r="D142" i="6"/>
  <c r="E142" i="6"/>
  <c r="C143" i="6"/>
  <c r="D143" i="6"/>
  <c r="C144" i="6"/>
  <c r="D144" i="6"/>
  <c r="C145" i="6"/>
  <c r="E145" i="6" s="1"/>
  <c r="D145" i="6"/>
  <c r="C146" i="6"/>
  <c r="E146" i="6" s="1"/>
  <c r="D146" i="6"/>
  <c r="C147" i="6"/>
  <c r="D147" i="6"/>
  <c r="C148" i="6"/>
  <c r="D148" i="6"/>
  <c r="E148" i="6" s="1"/>
  <c r="C149" i="6"/>
  <c r="D149" i="6"/>
  <c r="E149" i="6"/>
  <c r="C150" i="6"/>
  <c r="D150" i="6"/>
  <c r="C151" i="6"/>
  <c r="E151" i="6" s="1"/>
  <c r="D151" i="6"/>
  <c r="C152" i="6"/>
  <c r="D152" i="6"/>
  <c r="C153" i="6"/>
  <c r="D153" i="6"/>
  <c r="C154" i="6"/>
  <c r="D154" i="6"/>
  <c r="C155" i="6"/>
  <c r="D155" i="6"/>
  <c r="E155" i="6"/>
  <c r="C156" i="6"/>
  <c r="D156" i="6"/>
  <c r="C157" i="6"/>
  <c r="D157" i="6"/>
  <c r="C158" i="6"/>
  <c r="D158" i="6"/>
  <c r="C159" i="6"/>
  <c r="D159" i="6"/>
  <c r="C160" i="6"/>
  <c r="D160" i="6"/>
  <c r="C161" i="6"/>
  <c r="D161" i="6"/>
  <c r="E161" i="6"/>
  <c r="C162" i="6"/>
  <c r="D162" i="6"/>
  <c r="E162" i="6"/>
  <c r="C163" i="6"/>
  <c r="D163" i="6"/>
  <c r="C164" i="6"/>
  <c r="D164" i="6"/>
  <c r="C165" i="6"/>
  <c r="E165" i="6" s="1"/>
  <c r="D165" i="6"/>
  <c r="C166" i="6"/>
  <c r="D166" i="6"/>
  <c r="C167" i="6"/>
  <c r="D167" i="6"/>
  <c r="C168" i="6"/>
  <c r="D168" i="6"/>
  <c r="C169" i="6"/>
  <c r="D169" i="6"/>
  <c r="C170" i="6"/>
  <c r="D170" i="6"/>
  <c r="C171" i="6"/>
  <c r="D171" i="6"/>
  <c r="C172" i="6"/>
  <c r="D172" i="6"/>
  <c r="C173" i="6"/>
  <c r="D173" i="6"/>
  <c r="C174" i="6"/>
  <c r="D174" i="6"/>
  <c r="C175" i="6"/>
  <c r="D175" i="6"/>
  <c r="C176" i="6"/>
  <c r="D176" i="6"/>
  <c r="C177" i="6"/>
  <c r="D177" i="6"/>
  <c r="C178" i="6"/>
  <c r="D178" i="6"/>
  <c r="C179" i="6"/>
  <c r="D179" i="6"/>
  <c r="C180" i="6"/>
  <c r="D180" i="6"/>
  <c r="E180" i="6"/>
  <c r="C181" i="6"/>
  <c r="D18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E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E196" i="6" s="1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C212" i="6"/>
  <c r="D212" i="6"/>
  <c r="C213" i="6"/>
  <c r="D213" i="6"/>
  <c r="C214" i="6"/>
  <c r="E214" i="6" s="1"/>
  <c r="D214" i="6"/>
  <c r="C215" i="6"/>
  <c r="D215" i="6"/>
  <c r="C216" i="6"/>
  <c r="D216" i="6"/>
  <c r="C217" i="6"/>
  <c r="D217" i="6"/>
  <c r="C218" i="6"/>
  <c r="D218" i="6"/>
  <c r="C219" i="6"/>
  <c r="D219" i="6"/>
  <c r="C220" i="6"/>
  <c r="E220" i="6" s="1"/>
  <c r="D220" i="6"/>
  <c r="C221" i="6"/>
  <c r="D221" i="6"/>
  <c r="C222" i="6"/>
  <c r="D222" i="6"/>
  <c r="E222" i="6"/>
  <c r="C223" i="6"/>
  <c r="D223" i="6"/>
  <c r="C224" i="6"/>
  <c r="D224" i="6"/>
  <c r="C225" i="6"/>
  <c r="D225" i="6"/>
  <c r="C226" i="6"/>
  <c r="D226" i="6"/>
  <c r="C227" i="6"/>
  <c r="D227" i="6"/>
  <c r="C228" i="6"/>
  <c r="E228" i="6" s="1"/>
  <c r="D228" i="6"/>
  <c r="C229" i="6"/>
  <c r="D229" i="6"/>
  <c r="C230" i="6"/>
  <c r="D230" i="6"/>
  <c r="C231" i="6"/>
  <c r="D231" i="6"/>
  <c r="C232" i="6"/>
  <c r="D232" i="6"/>
  <c r="C233" i="6"/>
  <c r="D233" i="6"/>
  <c r="C234" i="6"/>
  <c r="D234" i="6"/>
  <c r="C235" i="6"/>
  <c r="D235" i="6"/>
  <c r="C236" i="6"/>
  <c r="D236" i="6"/>
  <c r="C237" i="6"/>
  <c r="D237" i="6"/>
  <c r="C238" i="6"/>
  <c r="D238" i="6"/>
  <c r="C239" i="6"/>
  <c r="D239" i="6"/>
  <c r="C240" i="6"/>
  <c r="D240" i="6"/>
  <c r="E240" i="6"/>
  <c r="C241" i="6"/>
  <c r="D241" i="6"/>
  <c r="C242" i="6"/>
  <c r="E242" i="6" s="1"/>
  <c r="D242" i="6"/>
  <c r="C243" i="6"/>
  <c r="D243" i="6"/>
  <c r="C244" i="6"/>
  <c r="D244" i="6"/>
  <c r="C245" i="6"/>
  <c r="D245" i="6"/>
  <c r="C246" i="6"/>
  <c r="D246" i="6"/>
  <c r="C247" i="6"/>
  <c r="D247" i="6"/>
  <c r="C248" i="6"/>
  <c r="D248" i="6"/>
  <c r="C249" i="6"/>
  <c r="E249" i="6" s="1"/>
  <c r="D249" i="6"/>
  <c r="C250" i="6"/>
  <c r="D250" i="6"/>
  <c r="C251" i="6"/>
  <c r="D251" i="6"/>
  <c r="C252" i="6"/>
  <c r="D252" i="6"/>
  <c r="C253" i="6"/>
  <c r="D253" i="6"/>
  <c r="C254" i="6"/>
  <c r="D254" i="6"/>
  <c r="E254" i="6"/>
  <c r="C255" i="6"/>
  <c r="D255" i="6"/>
  <c r="C256" i="6"/>
  <c r="D256" i="6"/>
  <c r="C257" i="6"/>
  <c r="D257" i="6"/>
  <c r="C258" i="6"/>
  <c r="D258" i="6"/>
  <c r="C259" i="6"/>
  <c r="D259" i="6"/>
  <c r="C260" i="6"/>
  <c r="D260" i="6"/>
  <c r="C261" i="6"/>
  <c r="D261" i="6"/>
  <c r="E261" i="6"/>
  <c r="C262" i="6"/>
  <c r="D262" i="6"/>
  <c r="C263" i="6"/>
  <c r="E263" i="6" s="1"/>
  <c r="D263" i="6"/>
  <c r="C264" i="6"/>
  <c r="D264" i="6"/>
  <c r="C265" i="6"/>
  <c r="D265" i="6"/>
  <c r="C266" i="6"/>
  <c r="D266" i="6"/>
  <c r="C267" i="6"/>
  <c r="D267" i="6"/>
  <c r="C268" i="6"/>
  <c r="D268" i="6"/>
  <c r="E268" i="6" s="1"/>
  <c r="C269" i="6"/>
  <c r="D269" i="6"/>
  <c r="C270" i="6"/>
  <c r="D270" i="6"/>
  <c r="C271" i="6"/>
  <c r="D271" i="6"/>
  <c r="C272" i="6"/>
  <c r="D272" i="6"/>
  <c r="C273" i="6"/>
  <c r="D273" i="6"/>
  <c r="C274" i="6"/>
  <c r="D274" i="6"/>
  <c r="E274" i="6" s="1"/>
  <c r="C275" i="6"/>
  <c r="D275" i="6"/>
  <c r="C276" i="6"/>
  <c r="D276" i="6"/>
  <c r="E276" i="6"/>
  <c r="C277" i="6"/>
  <c r="D277" i="6"/>
  <c r="E277" i="6"/>
  <c r="C278" i="6"/>
  <c r="D278" i="6"/>
  <c r="C279" i="6"/>
  <c r="D279" i="6"/>
  <c r="C280" i="6"/>
  <c r="D280" i="6"/>
  <c r="C281" i="6"/>
  <c r="D281" i="6"/>
  <c r="C282" i="6"/>
  <c r="D282" i="6"/>
  <c r="C283" i="6"/>
  <c r="D283" i="6"/>
  <c r="E283" i="6"/>
  <c r="C284" i="6"/>
  <c r="D284" i="6"/>
  <c r="C285" i="6"/>
  <c r="D285" i="6"/>
  <c r="C286" i="6"/>
  <c r="D286" i="6"/>
  <c r="C287" i="6"/>
  <c r="D287" i="6"/>
  <c r="C288" i="6"/>
  <c r="D288" i="6"/>
  <c r="C289" i="6"/>
  <c r="D289" i="6"/>
  <c r="C290" i="6"/>
  <c r="D290" i="6"/>
  <c r="C291" i="6"/>
  <c r="D291" i="6"/>
  <c r="C292" i="6"/>
  <c r="D292" i="6"/>
  <c r="E292" i="6"/>
  <c r="C293" i="6"/>
  <c r="D293" i="6"/>
  <c r="C294" i="6"/>
  <c r="D294" i="6"/>
  <c r="C295" i="6"/>
  <c r="D295" i="6"/>
  <c r="C296" i="6"/>
  <c r="D296" i="6"/>
  <c r="C297" i="6"/>
  <c r="D297" i="6"/>
  <c r="C298" i="6"/>
  <c r="D298" i="6"/>
  <c r="C299" i="6"/>
  <c r="D299" i="6"/>
  <c r="E299" i="6"/>
  <c r="C300" i="6"/>
  <c r="D300" i="6"/>
  <c r="C301" i="6"/>
  <c r="D301" i="6"/>
  <c r="C302" i="6"/>
  <c r="D302" i="6"/>
  <c r="C303" i="6"/>
  <c r="D303" i="6"/>
  <c r="C304" i="6"/>
  <c r="D304" i="6"/>
  <c r="C305" i="6"/>
  <c r="D305" i="6"/>
  <c r="E305" i="6"/>
  <c r="C306" i="6"/>
  <c r="D306" i="6"/>
  <c r="C307" i="6"/>
  <c r="D307" i="6"/>
  <c r="C308" i="6"/>
  <c r="D308" i="6"/>
  <c r="C309" i="6"/>
  <c r="D309" i="6"/>
  <c r="C310" i="6"/>
  <c r="D310" i="6"/>
  <c r="C311" i="6"/>
  <c r="D311" i="6"/>
  <c r="C312" i="6"/>
  <c r="D312" i="6"/>
  <c r="C313" i="6"/>
  <c r="D313" i="6"/>
  <c r="C314" i="6"/>
  <c r="D314" i="6"/>
  <c r="C315" i="6"/>
  <c r="D315" i="6"/>
  <c r="C316" i="6"/>
  <c r="D316" i="6"/>
  <c r="C317" i="6"/>
  <c r="D317" i="6"/>
  <c r="C318" i="6"/>
  <c r="D318" i="6"/>
  <c r="C319" i="6"/>
  <c r="D319" i="6"/>
  <c r="C320" i="6"/>
  <c r="D320" i="6"/>
  <c r="E320" i="6" s="1"/>
  <c r="C321" i="6"/>
  <c r="D321" i="6"/>
  <c r="E321" i="6"/>
  <c r="C322" i="6"/>
  <c r="D322" i="6"/>
  <c r="C323" i="6"/>
  <c r="D323" i="6"/>
  <c r="C324" i="6"/>
  <c r="E324" i="6" s="1"/>
  <c r="D324" i="6"/>
  <c r="C325" i="6"/>
  <c r="D325" i="6"/>
  <c r="C326" i="6"/>
  <c r="D326" i="6"/>
  <c r="C327" i="6"/>
  <c r="D327" i="6"/>
  <c r="C328" i="6"/>
  <c r="D328" i="6"/>
  <c r="C329" i="6"/>
  <c r="D329" i="6"/>
  <c r="C330" i="6"/>
  <c r="D330" i="6"/>
  <c r="C331" i="6"/>
  <c r="E331" i="6" s="1"/>
  <c r="D331" i="6"/>
  <c r="C332" i="6"/>
  <c r="D332" i="6"/>
  <c r="C333" i="6"/>
  <c r="D333" i="6"/>
  <c r="C334" i="6"/>
  <c r="D334" i="6"/>
  <c r="E334" i="6"/>
  <c r="C335" i="6"/>
  <c r="D335" i="6"/>
  <c r="C336" i="6"/>
  <c r="D336" i="6"/>
  <c r="C337" i="6"/>
  <c r="D337" i="6"/>
  <c r="C338" i="6"/>
  <c r="D338" i="6"/>
  <c r="C339" i="6"/>
  <c r="D339" i="6"/>
  <c r="C340" i="6"/>
  <c r="D340" i="6"/>
  <c r="C341" i="6"/>
  <c r="D341" i="6"/>
  <c r="E341" i="6"/>
  <c r="C342" i="6"/>
  <c r="D342" i="6"/>
  <c r="C343" i="6"/>
  <c r="D343" i="6"/>
  <c r="C344" i="6"/>
  <c r="D344" i="6"/>
  <c r="C345" i="6"/>
  <c r="D345" i="6"/>
  <c r="C346" i="6"/>
  <c r="D346" i="6"/>
  <c r="C347" i="6"/>
  <c r="E347" i="6" s="1"/>
  <c r="D347" i="6"/>
  <c r="C348" i="6"/>
  <c r="D348" i="6"/>
  <c r="C349" i="6"/>
  <c r="D349" i="6"/>
  <c r="C350" i="6"/>
  <c r="D350" i="6"/>
  <c r="C351" i="6"/>
  <c r="D351" i="6"/>
  <c r="C352" i="6"/>
  <c r="D352" i="6"/>
  <c r="E352" i="6" s="1"/>
  <c r="C353" i="6"/>
  <c r="E353" i="6" s="1"/>
  <c r="D353" i="6"/>
  <c r="C354" i="6"/>
  <c r="E354" i="6" s="1"/>
  <c r="D354" i="6"/>
  <c r="C355" i="6"/>
  <c r="D355" i="6"/>
  <c r="C356" i="6"/>
  <c r="D356" i="6"/>
  <c r="E356" i="6" s="1"/>
  <c r="C357" i="6"/>
  <c r="D357" i="6"/>
  <c r="C358" i="6"/>
  <c r="D358" i="6"/>
  <c r="C359" i="6"/>
  <c r="D359" i="6"/>
  <c r="C360" i="6"/>
  <c r="D360" i="6"/>
  <c r="C361" i="6"/>
  <c r="D361" i="6"/>
  <c r="C362" i="6"/>
  <c r="D362" i="6"/>
  <c r="C363" i="6"/>
  <c r="D363" i="6"/>
  <c r="C364" i="6"/>
  <c r="D364" i="6"/>
  <c r="C365" i="6"/>
  <c r="D365" i="6"/>
  <c r="C366" i="6"/>
  <c r="D366" i="6"/>
  <c r="E366" i="6"/>
  <c r="C367" i="6"/>
  <c r="D367" i="6"/>
  <c r="C368" i="6"/>
  <c r="D368" i="6"/>
  <c r="C369" i="6"/>
  <c r="E369" i="6" s="1"/>
  <c r="D369" i="6"/>
  <c r="C370" i="6"/>
  <c r="D370" i="6"/>
  <c r="C371" i="6"/>
  <c r="D371" i="6"/>
  <c r="C372" i="6"/>
  <c r="D372" i="6"/>
  <c r="C373" i="6"/>
  <c r="D373" i="6"/>
  <c r="C374" i="6"/>
  <c r="D374" i="6"/>
  <c r="C375" i="6"/>
  <c r="E375" i="6" s="1"/>
  <c r="D375" i="6"/>
  <c r="C376" i="6"/>
  <c r="D376" i="6"/>
  <c r="C377" i="6"/>
  <c r="D377" i="6"/>
  <c r="C378" i="6"/>
  <c r="D378" i="6"/>
  <c r="C379" i="6"/>
  <c r="D379" i="6"/>
  <c r="C380" i="6"/>
  <c r="D380" i="6"/>
  <c r="E380" i="6"/>
  <c r="C381" i="6"/>
  <c r="D381" i="6"/>
  <c r="C382" i="6"/>
  <c r="E382" i="6" s="1"/>
  <c r="D382" i="6"/>
  <c r="C383" i="6"/>
  <c r="D383" i="6"/>
  <c r="C384" i="6"/>
  <c r="D384" i="6"/>
  <c r="C385" i="6"/>
  <c r="D385" i="6"/>
  <c r="C386" i="6"/>
  <c r="D386" i="6"/>
  <c r="E386" i="6"/>
  <c r="C387" i="6"/>
  <c r="D387" i="6"/>
  <c r="C388" i="6"/>
  <c r="D388" i="6"/>
  <c r="E388" i="6"/>
  <c r="C389" i="6"/>
  <c r="D389" i="6"/>
  <c r="C390" i="6"/>
  <c r="D390" i="6"/>
  <c r="C391" i="6"/>
  <c r="D391" i="6"/>
  <c r="C392" i="6"/>
  <c r="D392" i="6"/>
  <c r="C393" i="6"/>
  <c r="D393" i="6"/>
  <c r="C394" i="6"/>
  <c r="D394" i="6"/>
  <c r="E394" i="6"/>
  <c r="C395" i="6"/>
  <c r="D395" i="6"/>
  <c r="E395" i="6"/>
  <c r="C396" i="6"/>
  <c r="D396" i="6"/>
  <c r="C397" i="6"/>
  <c r="D397" i="6"/>
  <c r="C398" i="6"/>
  <c r="D398" i="6"/>
  <c r="C399" i="6"/>
  <c r="D399" i="6"/>
  <c r="C400" i="6"/>
  <c r="D400" i="6"/>
  <c r="C401" i="6"/>
  <c r="D401" i="6"/>
  <c r="E401" i="6"/>
  <c r="C402" i="6"/>
  <c r="D402" i="6"/>
  <c r="C403" i="6"/>
  <c r="D403" i="6"/>
  <c r="C404" i="6"/>
  <c r="E404" i="6" s="1"/>
  <c r="D404" i="6"/>
  <c r="C405" i="6"/>
  <c r="E405" i="6" s="1"/>
  <c r="D405" i="6"/>
  <c r="C406" i="6"/>
  <c r="D406" i="6"/>
  <c r="C407" i="6"/>
  <c r="D407" i="6"/>
  <c r="C408" i="6"/>
  <c r="D408" i="6"/>
  <c r="C409" i="6"/>
  <c r="D409" i="6"/>
  <c r="E409" i="6"/>
  <c r="C410" i="6"/>
  <c r="D410" i="6"/>
  <c r="E410" i="6" s="1"/>
  <c r="C411" i="6"/>
  <c r="D411" i="6"/>
  <c r="C412" i="6"/>
  <c r="D412" i="6"/>
  <c r="C413" i="6"/>
  <c r="D413" i="6"/>
  <c r="C414" i="6"/>
  <c r="D414" i="6"/>
  <c r="E414" i="6"/>
  <c r="C415" i="6"/>
  <c r="D415" i="6"/>
  <c r="C416" i="6"/>
  <c r="D416" i="6"/>
  <c r="E416" i="6" s="1"/>
  <c r="C417" i="6"/>
  <c r="D417" i="6"/>
  <c r="E417" i="6"/>
  <c r="C418" i="6"/>
  <c r="E418" i="6" s="1"/>
  <c r="D418" i="6"/>
  <c r="C419" i="6"/>
  <c r="D419" i="6"/>
  <c r="C420" i="6"/>
  <c r="D420" i="6"/>
  <c r="C421" i="6"/>
  <c r="D421" i="6"/>
  <c r="E421" i="6"/>
  <c r="C422" i="6"/>
  <c r="D422" i="6"/>
  <c r="C423" i="6"/>
  <c r="D423" i="6"/>
  <c r="C424" i="6"/>
  <c r="D424" i="6"/>
  <c r="C425" i="6"/>
  <c r="D425" i="6"/>
  <c r="C426" i="6"/>
  <c r="D426" i="6"/>
  <c r="C427" i="6"/>
  <c r="D427" i="6"/>
  <c r="C428" i="6"/>
  <c r="D428" i="6"/>
  <c r="C429" i="6"/>
  <c r="D429" i="6"/>
  <c r="C430" i="6"/>
  <c r="D430" i="6"/>
  <c r="E430" i="6" s="1"/>
  <c r="C431" i="6"/>
  <c r="D431" i="6"/>
  <c r="C432" i="6"/>
  <c r="D432" i="6"/>
  <c r="C433" i="6"/>
  <c r="D433" i="6"/>
  <c r="C434" i="6"/>
  <c r="D434" i="6"/>
  <c r="C435" i="6"/>
  <c r="D435" i="6"/>
  <c r="C436" i="6"/>
  <c r="D436" i="6"/>
  <c r="C437" i="6"/>
  <c r="D437" i="6"/>
  <c r="C438" i="6"/>
  <c r="D438" i="6"/>
  <c r="C439" i="6"/>
  <c r="D439" i="6"/>
  <c r="C440" i="6"/>
  <c r="D440" i="6"/>
  <c r="C441" i="6"/>
  <c r="D441" i="6"/>
  <c r="E441" i="6" s="1"/>
  <c r="C442" i="6"/>
  <c r="D442" i="6"/>
  <c r="C443" i="6"/>
  <c r="E443" i="6" s="1"/>
  <c r="D443" i="6"/>
  <c r="C444" i="6"/>
  <c r="D444" i="6"/>
  <c r="C445" i="6"/>
  <c r="D445" i="6"/>
  <c r="C446" i="6"/>
  <c r="D446" i="6"/>
  <c r="E446" i="6"/>
  <c r="C447" i="6"/>
  <c r="D447" i="6"/>
  <c r="C448" i="6"/>
  <c r="D448" i="6"/>
  <c r="E448" i="6" s="1"/>
  <c r="C449" i="6"/>
  <c r="D449" i="6"/>
  <c r="C450" i="6"/>
  <c r="D450" i="6"/>
  <c r="C451" i="6"/>
  <c r="D451" i="6"/>
  <c r="C452" i="6"/>
  <c r="D452" i="6"/>
  <c r="C453" i="6"/>
  <c r="D453" i="6"/>
  <c r="E453" i="6"/>
  <c r="C454" i="6"/>
  <c r="D454" i="6"/>
  <c r="E454" i="6"/>
  <c r="C455" i="6"/>
  <c r="D455" i="6"/>
  <c r="C456" i="6"/>
  <c r="E456" i="6" s="1"/>
  <c r="D456" i="6"/>
  <c r="C457" i="6"/>
  <c r="D457" i="6"/>
  <c r="C458" i="6"/>
  <c r="D458" i="6"/>
  <c r="C459" i="6"/>
  <c r="D459" i="6"/>
  <c r="E459" i="6"/>
  <c r="C460" i="6"/>
  <c r="D460" i="6"/>
  <c r="E460" i="6"/>
  <c r="C461" i="6"/>
  <c r="D461" i="6"/>
  <c r="C462" i="6"/>
  <c r="D462" i="6"/>
  <c r="C463" i="6"/>
  <c r="E463" i="6" s="1"/>
  <c r="D463" i="6"/>
  <c r="C464" i="6"/>
  <c r="D464" i="6"/>
  <c r="C465" i="6"/>
  <c r="E465" i="6" s="1"/>
  <c r="D465" i="6"/>
  <c r="C466" i="6"/>
  <c r="D466" i="6"/>
  <c r="E466" i="6"/>
  <c r="C467" i="6"/>
  <c r="D467" i="6"/>
  <c r="C468" i="6"/>
  <c r="D468" i="6"/>
  <c r="E468" i="6"/>
  <c r="C469" i="6"/>
  <c r="D469" i="6"/>
  <c r="C470" i="6"/>
  <c r="D470" i="6"/>
  <c r="C471" i="6"/>
  <c r="E471" i="6" s="1"/>
  <c r="D471" i="6"/>
  <c r="C472" i="6"/>
  <c r="D472" i="6"/>
  <c r="C473" i="6"/>
  <c r="D473" i="6"/>
  <c r="E473" i="6"/>
  <c r="C474" i="6"/>
  <c r="D474" i="6"/>
  <c r="E474" i="6"/>
  <c r="C475" i="6"/>
  <c r="D475" i="6"/>
  <c r="C476" i="6"/>
  <c r="D476" i="6"/>
  <c r="C477" i="6"/>
  <c r="D477" i="6"/>
  <c r="C478" i="6"/>
  <c r="D478" i="6"/>
  <c r="C479" i="6"/>
  <c r="D479" i="6"/>
  <c r="C480" i="6"/>
  <c r="D480" i="6"/>
  <c r="E480" i="6"/>
  <c r="C481" i="6"/>
  <c r="D481" i="6"/>
  <c r="C482" i="6"/>
  <c r="D482" i="6"/>
  <c r="C483" i="6"/>
  <c r="D483" i="6"/>
  <c r="C484" i="6"/>
  <c r="D484" i="6"/>
  <c r="C485" i="6"/>
  <c r="D485" i="6"/>
  <c r="C486" i="6"/>
  <c r="D486" i="6"/>
  <c r="C487" i="6"/>
  <c r="D487" i="6"/>
  <c r="C488" i="6"/>
  <c r="D488" i="6"/>
  <c r="C489" i="6"/>
  <c r="D489" i="6"/>
  <c r="E489" i="6"/>
  <c r="C490" i="6"/>
  <c r="D490" i="6"/>
  <c r="C491" i="6"/>
  <c r="D491" i="6"/>
  <c r="C492" i="6"/>
  <c r="D492" i="6"/>
  <c r="C493" i="6"/>
  <c r="D493" i="6"/>
  <c r="C494" i="6"/>
  <c r="D494" i="6"/>
  <c r="C495" i="6"/>
  <c r="D495" i="6"/>
  <c r="C496" i="6"/>
  <c r="D496" i="6"/>
  <c r="C497" i="6"/>
  <c r="D497" i="6"/>
  <c r="E497" i="6" s="1"/>
  <c r="C498" i="6"/>
  <c r="D498" i="6"/>
  <c r="C499" i="6"/>
  <c r="D499" i="6"/>
  <c r="C500" i="6"/>
  <c r="E500" i="6" s="1"/>
  <c r="D500" i="6"/>
  <c r="C501" i="6"/>
  <c r="D501" i="6"/>
  <c r="C502" i="6"/>
  <c r="D502" i="6"/>
  <c r="C503" i="6"/>
  <c r="D503" i="6"/>
  <c r="E503" i="6"/>
  <c r="C504" i="6"/>
  <c r="D504" i="6"/>
  <c r="C505" i="6"/>
  <c r="D505" i="6"/>
  <c r="C506" i="6"/>
  <c r="D506" i="6"/>
  <c r="C507" i="6"/>
  <c r="D507" i="6"/>
  <c r="C508" i="6"/>
  <c r="D508" i="6"/>
  <c r="C509" i="6"/>
  <c r="D509" i="6"/>
  <c r="C510" i="6"/>
  <c r="D510" i="6"/>
  <c r="C511" i="6"/>
  <c r="D511" i="6"/>
  <c r="C512" i="6"/>
  <c r="D512" i="6"/>
  <c r="C513" i="6"/>
  <c r="D513" i="6"/>
  <c r="C514" i="6"/>
  <c r="D514" i="6"/>
  <c r="C515" i="6"/>
  <c r="D515" i="6"/>
  <c r="C516" i="6"/>
  <c r="E516" i="6" s="1"/>
  <c r="D516" i="6"/>
  <c r="C517" i="6"/>
  <c r="D517" i="6"/>
  <c r="C518" i="6"/>
  <c r="D518" i="6"/>
  <c r="C519" i="6"/>
  <c r="D519" i="6"/>
  <c r="C520" i="6"/>
  <c r="D520" i="6"/>
  <c r="C521" i="6"/>
  <c r="D521" i="6"/>
  <c r="C522" i="6"/>
  <c r="D522" i="6"/>
  <c r="C523" i="6"/>
  <c r="D523" i="6"/>
  <c r="E523" i="6"/>
  <c r="C524" i="6"/>
  <c r="D524" i="6"/>
  <c r="C525" i="6"/>
  <c r="D525" i="6"/>
  <c r="C526" i="6"/>
  <c r="D526" i="6"/>
  <c r="C527" i="6"/>
  <c r="D527" i="6"/>
  <c r="C528" i="6"/>
  <c r="D528" i="6"/>
  <c r="C529" i="6"/>
  <c r="D529" i="6"/>
  <c r="C530" i="6"/>
  <c r="D530" i="6"/>
  <c r="C531" i="6"/>
  <c r="D531" i="6"/>
  <c r="C532" i="6"/>
  <c r="E532" i="6" s="1"/>
  <c r="D532" i="6"/>
  <c r="C533" i="6"/>
  <c r="D533" i="6"/>
  <c r="C534" i="6"/>
  <c r="D534" i="6"/>
  <c r="C535" i="6"/>
  <c r="D535" i="6"/>
  <c r="C536" i="6"/>
  <c r="D536" i="6"/>
  <c r="C537" i="6"/>
  <c r="D537" i="6"/>
  <c r="C538" i="6"/>
  <c r="D538" i="6"/>
  <c r="C539" i="6"/>
  <c r="E539" i="6" s="1"/>
  <c r="D539" i="6"/>
  <c r="C540" i="6"/>
  <c r="D540" i="6"/>
  <c r="C541" i="6"/>
  <c r="D541" i="6"/>
  <c r="C542" i="6"/>
  <c r="D542" i="6"/>
  <c r="E542" i="6" s="1"/>
  <c r="C543" i="6"/>
  <c r="D543" i="6"/>
  <c r="C544" i="6"/>
  <c r="D544" i="6"/>
  <c r="C545" i="6"/>
  <c r="D545" i="6"/>
  <c r="C546" i="6"/>
  <c r="E546" i="6" s="1"/>
  <c r="D546" i="6"/>
  <c r="C547" i="6"/>
  <c r="D547" i="6"/>
  <c r="C548" i="6"/>
  <c r="D548" i="6"/>
  <c r="C549" i="6"/>
  <c r="D549" i="6"/>
  <c r="C550" i="6"/>
  <c r="D550" i="6"/>
  <c r="C551" i="6"/>
  <c r="D551" i="6"/>
  <c r="C552" i="6"/>
  <c r="D552" i="6"/>
  <c r="C553" i="6"/>
  <c r="D553" i="6"/>
  <c r="E553" i="6"/>
  <c r="C554" i="6"/>
  <c r="D554" i="6"/>
  <c r="C555" i="6"/>
  <c r="D555" i="6"/>
  <c r="C556" i="6"/>
  <c r="D556" i="6"/>
  <c r="C557" i="6"/>
  <c r="D557" i="6"/>
  <c r="C558" i="6"/>
  <c r="D558" i="6"/>
  <c r="C559" i="6"/>
  <c r="D559" i="6"/>
  <c r="C560" i="6"/>
  <c r="D560" i="6"/>
  <c r="C561" i="6"/>
  <c r="D561" i="6"/>
  <c r="C562" i="6"/>
  <c r="D562" i="6"/>
  <c r="C563" i="6"/>
  <c r="D563" i="6"/>
  <c r="C564" i="6"/>
  <c r="D564" i="6"/>
  <c r="C565" i="6"/>
  <c r="D565" i="6"/>
  <c r="E565" i="6"/>
  <c r="C566" i="6"/>
  <c r="D566" i="6"/>
  <c r="C567" i="6"/>
  <c r="E567" i="6" s="1"/>
  <c r="D567" i="6"/>
  <c r="C568" i="6"/>
  <c r="D568" i="6"/>
  <c r="C569" i="6"/>
  <c r="D569" i="6"/>
  <c r="C570" i="6"/>
  <c r="D570" i="6"/>
  <c r="C571" i="6"/>
  <c r="D571" i="6"/>
  <c r="C572" i="6"/>
  <c r="D572" i="6"/>
  <c r="E572" i="6"/>
  <c r="C573" i="6"/>
  <c r="D573" i="6"/>
  <c r="C574" i="6"/>
  <c r="E574" i="6" s="1"/>
  <c r="D574" i="6"/>
  <c r="C575" i="6"/>
  <c r="D575" i="6"/>
  <c r="C576" i="6"/>
  <c r="D576" i="6"/>
  <c r="C577" i="6"/>
  <c r="D577" i="6"/>
  <c r="C578" i="6"/>
  <c r="D578" i="6"/>
  <c r="C579" i="6"/>
  <c r="D579" i="6"/>
  <c r="C580" i="6"/>
  <c r="D580" i="6"/>
  <c r="C581" i="6"/>
  <c r="D581" i="6"/>
  <c r="C582" i="6"/>
  <c r="D582" i="6"/>
  <c r="C583" i="6"/>
  <c r="D583" i="6"/>
  <c r="C584" i="6"/>
  <c r="D584" i="6"/>
  <c r="C585" i="6"/>
  <c r="D585" i="6"/>
  <c r="E585" i="6"/>
  <c r="C586" i="6"/>
  <c r="D586" i="6"/>
  <c r="C587" i="6"/>
  <c r="D587" i="6"/>
  <c r="C588" i="6"/>
  <c r="D588" i="6"/>
  <c r="C589" i="6"/>
  <c r="D589" i="6"/>
  <c r="C590" i="6"/>
  <c r="D590" i="6"/>
  <c r="C591" i="6"/>
  <c r="D591" i="6"/>
  <c r="C592" i="6"/>
  <c r="D592" i="6"/>
  <c r="C593" i="6"/>
  <c r="D593" i="6"/>
  <c r="C594" i="6"/>
  <c r="D594" i="6"/>
  <c r="C595" i="6"/>
  <c r="D595" i="6"/>
  <c r="C596" i="6"/>
  <c r="D596" i="6"/>
  <c r="C597" i="6"/>
  <c r="E597" i="6" s="1"/>
  <c r="D597" i="6"/>
  <c r="C598" i="6"/>
  <c r="D598" i="6"/>
  <c r="E598" i="6" s="1"/>
  <c r="C599" i="6"/>
  <c r="D599" i="6"/>
  <c r="C600" i="6"/>
  <c r="D600" i="6"/>
  <c r="C601" i="6"/>
  <c r="D601" i="6"/>
  <c r="C602" i="6"/>
  <c r="D602" i="6"/>
  <c r="C603" i="6"/>
  <c r="D603" i="6"/>
  <c r="E603" i="6"/>
  <c r="C604" i="6"/>
  <c r="D604" i="6"/>
  <c r="C605" i="6"/>
  <c r="D605" i="6"/>
  <c r="C606" i="6"/>
  <c r="D606" i="6"/>
  <c r="C607" i="6"/>
  <c r="D607" i="6"/>
  <c r="C608" i="6"/>
  <c r="D608" i="6"/>
  <c r="C609" i="6"/>
  <c r="D609" i="6"/>
  <c r="C610" i="6"/>
  <c r="D610" i="6"/>
  <c r="C611" i="6"/>
  <c r="D611" i="6"/>
  <c r="C612" i="6"/>
  <c r="D612" i="6"/>
  <c r="C613" i="6"/>
  <c r="D613" i="6"/>
  <c r="C614" i="6"/>
  <c r="D614" i="6"/>
  <c r="C615" i="6"/>
  <c r="E615" i="6" s="1"/>
  <c r="D615" i="6"/>
  <c r="C616" i="6"/>
  <c r="D616" i="6"/>
  <c r="C617" i="6"/>
  <c r="D617" i="6"/>
  <c r="C618" i="6"/>
  <c r="D618" i="6"/>
  <c r="C619" i="6"/>
  <c r="D619" i="6"/>
  <c r="C620" i="6"/>
  <c r="D620" i="6"/>
  <c r="C621" i="6"/>
  <c r="D621" i="6"/>
  <c r="C622" i="6"/>
  <c r="E622" i="6" s="1"/>
  <c r="D622" i="6"/>
  <c r="C623" i="6"/>
  <c r="D623" i="6"/>
  <c r="C624" i="6"/>
  <c r="D624" i="6"/>
  <c r="C625" i="6"/>
  <c r="D625" i="6"/>
  <c r="C626" i="6"/>
  <c r="D626" i="6"/>
  <c r="C627" i="6"/>
  <c r="D627" i="6"/>
  <c r="C628" i="6"/>
  <c r="E628" i="6" s="1"/>
  <c r="D628" i="6"/>
  <c r="C629" i="6"/>
  <c r="D629" i="6"/>
  <c r="C630" i="6"/>
  <c r="D630" i="6"/>
  <c r="C631" i="6"/>
  <c r="D631" i="6"/>
  <c r="E631" i="6"/>
  <c r="C632" i="6"/>
  <c r="D632" i="6"/>
  <c r="C633" i="6"/>
  <c r="D633" i="6"/>
  <c r="C634" i="6"/>
  <c r="D634" i="6"/>
  <c r="E634" i="6"/>
  <c r="C635" i="6"/>
  <c r="D635" i="6"/>
  <c r="C636" i="6"/>
  <c r="D636" i="6"/>
  <c r="C637" i="6"/>
  <c r="D637" i="6"/>
  <c r="C638" i="6"/>
  <c r="D638" i="6"/>
  <c r="C639" i="6"/>
  <c r="D639" i="6"/>
  <c r="C640" i="6"/>
  <c r="D640" i="6"/>
  <c r="C641" i="6"/>
  <c r="D641" i="6"/>
  <c r="C642" i="6"/>
  <c r="D642" i="6"/>
  <c r="C643" i="6"/>
  <c r="D643" i="6"/>
  <c r="C644" i="6"/>
  <c r="D644" i="6"/>
  <c r="C645" i="6"/>
  <c r="D645" i="6"/>
  <c r="C646" i="6"/>
  <c r="D646" i="6"/>
  <c r="C647" i="6"/>
  <c r="D647" i="6"/>
  <c r="C648" i="6"/>
  <c r="D648" i="6"/>
  <c r="C649" i="6"/>
  <c r="D649" i="6"/>
  <c r="C650" i="6"/>
  <c r="D650" i="6"/>
  <c r="C651" i="6"/>
  <c r="E651" i="6" s="1"/>
  <c r="D651" i="6"/>
  <c r="C652" i="6"/>
  <c r="D652" i="6"/>
  <c r="C653" i="6"/>
  <c r="D653" i="6"/>
  <c r="C654" i="6"/>
  <c r="D654" i="6"/>
  <c r="C655" i="6"/>
  <c r="D655" i="6"/>
  <c r="C656" i="6"/>
  <c r="D656" i="6"/>
  <c r="C657" i="6"/>
  <c r="D657" i="6"/>
  <c r="E657" i="6"/>
  <c r="C658" i="6"/>
  <c r="D658" i="6"/>
  <c r="C659" i="6"/>
  <c r="D659" i="6"/>
  <c r="C660" i="6"/>
  <c r="E660" i="6" s="1"/>
  <c r="D660" i="6"/>
  <c r="C661" i="6"/>
  <c r="D661" i="6"/>
  <c r="C662" i="6"/>
  <c r="D662" i="6"/>
  <c r="C663" i="6"/>
  <c r="D663" i="6"/>
  <c r="E663" i="6"/>
  <c r="C664" i="6"/>
  <c r="D664" i="6"/>
  <c r="C665" i="6"/>
  <c r="D665" i="6"/>
  <c r="C666" i="6"/>
  <c r="D666" i="6"/>
  <c r="C667" i="6"/>
  <c r="E667" i="6" s="1"/>
  <c r="D667" i="6"/>
  <c r="C668" i="6"/>
  <c r="D668" i="6"/>
  <c r="C669" i="6"/>
  <c r="D669" i="6"/>
  <c r="C670" i="6"/>
  <c r="D670" i="6"/>
  <c r="E670" i="6"/>
  <c r="C671" i="6"/>
  <c r="D671" i="6"/>
  <c r="C672" i="6"/>
  <c r="D672" i="6"/>
  <c r="C673" i="6"/>
  <c r="D673" i="6"/>
  <c r="C674" i="6"/>
  <c r="D674" i="6"/>
  <c r="C675" i="6"/>
  <c r="D675" i="6"/>
  <c r="C676" i="6"/>
  <c r="D676" i="6"/>
  <c r="E676" i="6" s="1"/>
  <c r="C677" i="6"/>
  <c r="D677" i="6"/>
  <c r="C678" i="6"/>
  <c r="D678" i="6"/>
  <c r="C679" i="6"/>
  <c r="D679" i="6"/>
  <c r="C680" i="6"/>
  <c r="D680" i="6"/>
  <c r="C681" i="6"/>
  <c r="D681" i="6"/>
  <c r="C682" i="6"/>
  <c r="D682" i="6"/>
  <c r="C683" i="6"/>
  <c r="D683" i="6"/>
  <c r="C684" i="6"/>
  <c r="D684" i="6"/>
  <c r="C685" i="6"/>
  <c r="D685" i="6"/>
  <c r="C686" i="6"/>
  <c r="D686" i="6"/>
  <c r="E686" i="6"/>
  <c r="C687" i="6"/>
  <c r="D687" i="6"/>
  <c r="C688" i="6"/>
  <c r="D688" i="6"/>
  <c r="C689" i="6"/>
  <c r="D689" i="6"/>
  <c r="C690" i="6"/>
  <c r="D690" i="6"/>
  <c r="C691" i="6"/>
  <c r="D691" i="6"/>
  <c r="C692" i="6"/>
  <c r="D692" i="6"/>
  <c r="C693" i="6"/>
  <c r="D693" i="6"/>
  <c r="C694" i="6"/>
  <c r="D694" i="6"/>
  <c r="C695" i="6"/>
  <c r="D695" i="6"/>
  <c r="C696" i="6"/>
  <c r="D696" i="6"/>
  <c r="C697" i="6"/>
  <c r="E697" i="6" s="1"/>
  <c r="D697" i="6"/>
  <c r="C698" i="6"/>
  <c r="D698" i="6"/>
  <c r="C699" i="6"/>
  <c r="D699" i="6"/>
  <c r="C700" i="6"/>
  <c r="D700" i="6"/>
  <c r="E700" i="6"/>
  <c r="C701" i="6"/>
  <c r="D701" i="6"/>
  <c r="C702" i="6"/>
  <c r="D702" i="6"/>
  <c r="C703" i="6"/>
  <c r="D703" i="6"/>
  <c r="C704" i="6"/>
  <c r="D704" i="6"/>
  <c r="C705" i="6"/>
  <c r="D705" i="6"/>
  <c r="C706" i="6"/>
  <c r="D706" i="6"/>
  <c r="C707" i="6"/>
  <c r="D707" i="6"/>
  <c r="C708" i="6"/>
  <c r="D708" i="6"/>
  <c r="E708" i="6"/>
  <c r="C709" i="6"/>
  <c r="D709" i="6"/>
  <c r="C710" i="6"/>
  <c r="D710" i="6"/>
  <c r="C711" i="6"/>
  <c r="D711" i="6"/>
  <c r="C712" i="6"/>
  <c r="D712" i="6"/>
  <c r="C713" i="6"/>
  <c r="D713" i="6"/>
  <c r="E713" i="6"/>
  <c r="C714" i="6"/>
  <c r="D714" i="6"/>
  <c r="C715" i="6"/>
  <c r="D715" i="6"/>
  <c r="E715" i="6"/>
  <c r="C716" i="6"/>
  <c r="D716" i="6"/>
  <c r="C717" i="6"/>
  <c r="D717" i="6"/>
  <c r="C718" i="6"/>
  <c r="D718" i="6"/>
  <c r="C719" i="6"/>
  <c r="D719" i="6"/>
  <c r="C720" i="6"/>
  <c r="D720" i="6"/>
  <c r="C721" i="6"/>
  <c r="D721" i="6"/>
  <c r="E721" i="6"/>
  <c r="C722" i="6"/>
  <c r="D722" i="6"/>
  <c r="C723" i="6"/>
  <c r="D723" i="6"/>
  <c r="C724" i="6"/>
  <c r="D724" i="6"/>
  <c r="C725" i="6"/>
  <c r="D725" i="6"/>
  <c r="C726" i="6"/>
  <c r="D726" i="6"/>
  <c r="E726" i="6" s="1"/>
  <c r="C727" i="6"/>
  <c r="D727" i="6"/>
  <c r="C728" i="6"/>
  <c r="D728" i="6"/>
  <c r="C729" i="6"/>
  <c r="D729" i="6"/>
  <c r="E729" i="6"/>
  <c r="C730" i="6"/>
  <c r="D730" i="6"/>
  <c r="E730" i="6"/>
  <c r="C731" i="6"/>
  <c r="D731" i="6"/>
  <c r="C732" i="6"/>
  <c r="D732" i="6"/>
  <c r="C733" i="6"/>
  <c r="D733" i="6"/>
  <c r="C734" i="6"/>
  <c r="D734" i="6"/>
  <c r="C735" i="6"/>
  <c r="D735" i="6"/>
  <c r="C736" i="6"/>
  <c r="D736" i="6"/>
  <c r="E736" i="6"/>
  <c r="C737" i="6"/>
  <c r="D737" i="6"/>
  <c r="C738" i="6"/>
  <c r="D738" i="6"/>
  <c r="C739" i="6"/>
  <c r="D739" i="6"/>
  <c r="C740" i="6"/>
  <c r="D740" i="6"/>
  <c r="C741" i="6"/>
  <c r="E741" i="6" s="1"/>
  <c r="D741" i="6"/>
  <c r="C742" i="6"/>
  <c r="D742" i="6"/>
  <c r="C743" i="6"/>
  <c r="D743" i="6"/>
  <c r="E743" i="6"/>
  <c r="C744" i="6"/>
  <c r="D744" i="6"/>
  <c r="C745" i="6"/>
  <c r="D745" i="6"/>
  <c r="C746" i="6"/>
  <c r="D746" i="6"/>
  <c r="C747" i="6"/>
  <c r="D747" i="6"/>
  <c r="C748" i="6"/>
  <c r="D748" i="6"/>
  <c r="C749" i="6"/>
  <c r="D749" i="6"/>
  <c r="C750" i="6"/>
  <c r="D750" i="6"/>
  <c r="C751" i="6"/>
  <c r="D751" i="6"/>
  <c r="C752" i="6"/>
  <c r="D752" i="6"/>
  <c r="C753" i="6"/>
  <c r="D753" i="6"/>
  <c r="C754" i="6"/>
  <c r="D754" i="6"/>
  <c r="C755" i="6"/>
  <c r="D755" i="6"/>
  <c r="C756" i="6"/>
  <c r="E756" i="6" s="1"/>
  <c r="D756" i="6"/>
  <c r="C757" i="6"/>
  <c r="D757" i="6"/>
  <c r="E757" i="6"/>
  <c r="C758" i="6"/>
  <c r="D758" i="6"/>
  <c r="C759" i="6"/>
  <c r="D759" i="6"/>
  <c r="C760" i="6"/>
  <c r="D760" i="6"/>
  <c r="C761" i="6"/>
  <c r="D761" i="6"/>
  <c r="C762" i="6"/>
  <c r="D762" i="6"/>
  <c r="C763" i="6"/>
  <c r="D763" i="6"/>
  <c r="C764" i="6"/>
  <c r="D764" i="6"/>
  <c r="E764" i="6"/>
  <c r="C765" i="6"/>
  <c r="D765" i="6"/>
  <c r="C766" i="6"/>
  <c r="D766" i="6"/>
  <c r="C767" i="6"/>
  <c r="D767" i="6"/>
  <c r="C768" i="6"/>
  <c r="D768" i="6"/>
  <c r="C769" i="6"/>
  <c r="D769" i="6"/>
  <c r="C770" i="6"/>
  <c r="E770" i="6" s="1"/>
  <c r="D770" i="6"/>
  <c r="C771" i="6"/>
  <c r="D771" i="6"/>
  <c r="C772" i="6"/>
  <c r="D772" i="6"/>
  <c r="C773" i="6"/>
  <c r="D773" i="6"/>
  <c r="E773" i="6"/>
  <c r="C774" i="6"/>
  <c r="D774" i="6"/>
  <c r="C775" i="6"/>
  <c r="D775" i="6"/>
  <c r="C776" i="6"/>
  <c r="D776" i="6"/>
  <c r="C777" i="6"/>
  <c r="E777" i="6" s="1"/>
  <c r="D777" i="6"/>
  <c r="C778" i="6"/>
  <c r="D778" i="6"/>
  <c r="C779" i="6"/>
  <c r="D779" i="6"/>
  <c r="E779" i="6"/>
  <c r="C780" i="6"/>
  <c r="D780" i="6"/>
  <c r="E780" i="6"/>
  <c r="C781" i="6"/>
  <c r="D781" i="6"/>
  <c r="C782" i="6"/>
  <c r="D782" i="6"/>
  <c r="C783" i="6"/>
  <c r="D783" i="6"/>
  <c r="C784" i="6"/>
  <c r="D784" i="6"/>
  <c r="C785" i="6"/>
  <c r="D785" i="6"/>
  <c r="E785" i="6"/>
  <c r="C786" i="6"/>
  <c r="D786" i="6"/>
  <c r="E786" i="6"/>
  <c r="C787" i="6"/>
  <c r="D787" i="6"/>
  <c r="C788" i="6"/>
  <c r="D788" i="6"/>
  <c r="C789" i="6"/>
  <c r="D789" i="6"/>
  <c r="C790" i="6"/>
  <c r="D790" i="6"/>
  <c r="C791" i="6"/>
  <c r="D791" i="6"/>
  <c r="C792" i="6"/>
  <c r="D792" i="6"/>
  <c r="C793" i="6"/>
  <c r="D793" i="6"/>
  <c r="C794" i="6"/>
  <c r="D794" i="6"/>
  <c r="C795" i="6"/>
  <c r="D795" i="6"/>
  <c r="C796" i="6"/>
  <c r="D796" i="6"/>
  <c r="C797" i="6"/>
  <c r="D797" i="6"/>
  <c r="C798" i="6"/>
  <c r="D798" i="6"/>
  <c r="E798" i="6"/>
  <c r="C799" i="6"/>
  <c r="D799" i="6"/>
  <c r="C800" i="6"/>
  <c r="D800" i="6"/>
  <c r="C801" i="6"/>
  <c r="D801" i="6"/>
  <c r="C802" i="6"/>
  <c r="D802" i="6"/>
  <c r="C803" i="6"/>
  <c r="D803" i="6"/>
  <c r="C804" i="6"/>
  <c r="D804" i="6"/>
  <c r="E804" i="6" s="1"/>
  <c r="C805" i="6"/>
  <c r="D805" i="6"/>
  <c r="C806" i="6"/>
  <c r="D806" i="6"/>
  <c r="C807" i="6"/>
  <c r="D807" i="6"/>
  <c r="C808" i="6"/>
  <c r="D808" i="6"/>
  <c r="C809" i="6"/>
  <c r="D809" i="6"/>
  <c r="C810" i="6"/>
  <c r="D810" i="6"/>
  <c r="C811" i="6"/>
  <c r="D811" i="6"/>
  <c r="E811" i="6"/>
  <c r="C812" i="6"/>
  <c r="D812" i="6"/>
  <c r="C813" i="6"/>
  <c r="D813" i="6"/>
  <c r="C814" i="6"/>
  <c r="E814" i="6" s="1"/>
  <c r="D814" i="6"/>
  <c r="C815" i="6"/>
  <c r="D815" i="6"/>
  <c r="C816" i="6"/>
  <c r="D816" i="6"/>
  <c r="C817" i="6"/>
  <c r="D817" i="6"/>
  <c r="E817" i="6"/>
  <c r="C818" i="6"/>
  <c r="D818" i="6"/>
  <c r="C819" i="6"/>
  <c r="D819" i="6"/>
  <c r="C820" i="6"/>
  <c r="D820" i="6"/>
  <c r="E820" i="6"/>
  <c r="C821" i="6"/>
  <c r="E821" i="6" s="1"/>
  <c r="D821" i="6"/>
  <c r="C822" i="6"/>
  <c r="E822" i="6" s="1"/>
  <c r="D822" i="6"/>
  <c r="C823" i="6"/>
  <c r="E823" i="6" s="1"/>
  <c r="D823" i="6"/>
  <c r="C824" i="6"/>
  <c r="D824" i="6"/>
  <c r="C825" i="6"/>
  <c r="D825" i="6"/>
  <c r="E825" i="6"/>
  <c r="C826" i="6"/>
  <c r="E826" i="6" s="1"/>
  <c r="D826" i="6"/>
  <c r="C827" i="6"/>
  <c r="D827" i="6"/>
  <c r="C828" i="6"/>
  <c r="E828" i="6" s="1"/>
  <c r="D828" i="6"/>
  <c r="C829" i="6"/>
  <c r="D829" i="6"/>
  <c r="C830" i="6"/>
  <c r="D830" i="6"/>
  <c r="E830" i="6"/>
  <c r="C831" i="6"/>
  <c r="D831" i="6"/>
  <c r="C832" i="6"/>
  <c r="D832" i="6"/>
  <c r="E832" i="6"/>
  <c r="C833" i="6"/>
  <c r="D833" i="6"/>
  <c r="C834" i="6"/>
  <c r="E834" i="6" s="1"/>
  <c r="D834" i="6"/>
  <c r="C835" i="6"/>
  <c r="D835" i="6"/>
  <c r="C836" i="6"/>
  <c r="D836" i="6"/>
  <c r="E836" i="6"/>
  <c r="C837" i="6"/>
  <c r="D837" i="6"/>
  <c r="C838" i="6"/>
  <c r="D838" i="6"/>
  <c r="E838" i="6"/>
  <c r="C839" i="6"/>
  <c r="D839" i="6"/>
  <c r="C840" i="6"/>
  <c r="E840" i="6" s="1"/>
  <c r="D840" i="6"/>
  <c r="C841" i="6"/>
  <c r="D841" i="6"/>
  <c r="E841" i="6"/>
  <c r="C842" i="6"/>
  <c r="D842" i="6"/>
  <c r="E842" i="6"/>
  <c r="C843" i="6"/>
  <c r="E843" i="6" s="1"/>
  <c r="D843" i="6"/>
  <c r="C844" i="6"/>
  <c r="D844" i="6"/>
  <c r="E844" i="6"/>
  <c r="C845" i="6"/>
  <c r="D845" i="6"/>
  <c r="C846" i="6"/>
  <c r="E846" i="6" s="1"/>
  <c r="D846" i="6"/>
  <c r="C847" i="6"/>
  <c r="D847" i="6"/>
  <c r="C848" i="6"/>
  <c r="D848" i="6"/>
  <c r="E848" i="6"/>
  <c r="C849" i="6"/>
  <c r="D849" i="6"/>
  <c r="C850" i="6"/>
  <c r="E850" i="6" s="1"/>
  <c r="D850" i="6"/>
  <c r="C851" i="6"/>
  <c r="D851" i="6"/>
  <c r="C852" i="6"/>
  <c r="E852" i="6" s="1"/>
  <c r="D852" i="6"/>
  <c r="C853" i="6"/>
  <c r="E853" i="6" s="1"/>
  <c r="D853" i="6"/>
  <c r="C854" i="6"/>
  <c r="D854" i="6"/>
  <c r="E854" i="6" s="1"/>
  <c r="C855" i="6"/>
  <c r="D855" i="6"/>
  <c r="E855" i="6"/>
  <c r="C856" i="6"/>
  <c r="D856" i="6"/>
  <c r="C857" i="6"/>
  <c r="D857" i="6"/>
  <c r="E857" i="6"/>
  <c r="C858" i="6"/>
  <c r="E858" i="6" s="1"/>
  <c r="D858" i="6"/>
  <c r="C859" i="6"/>
  <c r="E859" i="6" s="1"/>
  <c r="D859" i="6"/>
  <c r="C860" i="6"/>
  <c r="D860" i="6"/>
  <c r="E860" i="6"/>
  <c r="C861" i="6"/>
  <c r="D861" i="6"/>
  <c r="C862" i="6"/>
  <c r="D862" i="6"/>
  <c r="E862" i="6"/>
  <c r="C863" i="6"/>
  <c r="E863" i="6" s="1"/>
  <c r="D863" i="6"/>
  <c r="C864" i="6"/>
  <c r="E864" i="6" s="1"/>
  <c r="D864" i="6"/>
  <c r="C865" i="6"/>
  <c r="E865" i="6" s="1"/>
  <c r="D865" i="6"/>
  <c r="C866" i="6"/>
  <c r="E866" i="6" s="1"/>
  <c r="D866" i="6"/>
  <c r="C867" i="6"/>
  <c r="D867" i="6"/>
  <c r="C868" i="6"/>
  <c r="D868" i="6"/>
  <c r="C869" i="6"/>
  <c r="D869" i="6"/>
  <c r="E869" i="6"/>
  <c r="C870" i="6"/>
  <c r="D870" i="6"/>
  <c r="C871" i="6"/>
  <c r="E871" i="6" s="1"/>
  <c r="D871" i="6"/>
  <c r="C872" i="6"/>
  <c r="D872" i="6"/>
  <c r="C873" i="6"/>
  <c r="D873" i="6"/>
  <c r="C874" i="6"/>
  <c r="D874" i="6"/>
  <c r="C875" i="6"/>
  <c r="E875" i="6" s="1"/>
  <c r="D875" i="6"/>
  <c r="C876" i="6"/>
  <c r="E876" i="6" s="1"/>
  <c r="D876" i="6"/>
  <c r="C877" i="6"/>
  <c r="D877" i="6"/>
  <c r="C878" i="6"/>
  <c r="E878" i="6" s="1"/>
  <c r="D878" i="6"/>
  <c r="C879" i="6"/>
  <c r="D879" i="6"/>
  <c r="C880" i="6"/>
  <c r="E880" i="6" s="1"/>
  <c r="D880" i="6"/>
  <c r="C881" i="6"/>
  <c r="E881" i="6" s="1"/>
  <c r="D881" i="6"/>
  <c r="C882" i="6"/>
  <c r="E882" i="6" s="1"/>
  <c r="D882" i="6"/>
  <c r="C883" i="6"/>
  <c r="E883" i="6" s="1"/>
  <c r="D883" i="6"/>
  <c r="C884" i="6"/>
  <c r="D884" i="6"/>
  <c r="E884" i="6"/>
  <c r="C885" i="6"/>
  <c r="D885" i="6"/>
  <c r="E885" i="6"/>
  <c r="C886" i="6"/>
  <c r="D886" i="6"/>
  <c r="C887" i="6"/>
  <c r="D887" i="6"/>
  <c r="E887" i="6" s="1"/>
  <c r="C888" i="6"/>
  <c r="D888" i="6"/>
  <c r="C889" i="6"/>
  <c r="E889" i="6" s="1"/>
  <c r="D889" i="6"/>
  <c r="C890" i="6"/>
  <c r="D890" i="6"/>
  <c r="E890" i="6"/>
  <c r="C891" i="6"/>
  <c r="D891" i="6"/>
  <c r="C892" i="6"/>
  <c r="D892" i="6"/>
  <c r="E892" i="6"/>
  <c r="C893" i="6"/>
  <c r="D893" i="6"/>
  <c r="C894" i="6"/>
  <c r="E894" i="6" s="1"/>
  <c r="D894" i="6"/>
  <c r="C895" i="6"/>
  <c r="D895" i="6"/>
  <c r="C896" i="6"/>
  <c r="E896" i="6" s="1"/>
  <c r="D896" i="6"/>
  <c r="C897" i="6"/>
  <c r="E897" i="6" s="1"/>
  <c r="D897" i="6"/>
  <c r="C898" i="6"/>
  <c r="D898" i="6"/>
  <c r="E898" i="6"/>
  <c r="C899" i="6"/>
  <c r="E899" i="6" s="1"/>
  <c r="D899" i="6"/>
  <c r="C900" i="6"/>
  <c r="D900" i="6"/>
  <c r="E900" i="6"/>
  <c r="C901" i="6"/>
  <c r="D901" i="6"/>
  <c r="E901" i="6"/>
  <c r="C902" i="6"/>
  <c r="E902" i="6" s="1"/>
  <c r="D902" i="6"/>
  <c r="C903" i="6"/>
  <c r="E903" i="6" s="1"/>
  <c r="D903" i="6"/>
  <c r="C904" i="6"/>
  <c r="D904" i="6"/>
  <c r="C905" i="6"/>
  <c r="D905" i="6"/>
  <c r="C906" i="6"/>
  <c r="D906" i="6"/>
  <c r="E906" i="6"/>
  <c r="C907" i="6"/>
  <c r="E907" i="6" s="1"/>
  <c r="D907" i="6"/>
  <c r="C908" i="6"/>
  <c r="E908" i="6" s="1"/>
  <c r="D908" i="6"/>
  <c r="C909" i="6"/>
  <c r="E909" i="6" s="1"/>
  <c r="D909" i="6"/>
  <c r="C910" i="6"/>
  <c r="D910" i="6"/>
  <c r="E910" i="6"/>
  <c r="C911" i="6"/>
  <c r="E911" i="6" s="1"/>
  <c r="D911" i="6"/>
  <c r="C912" i="6"/>
  <c r="D912" i="6"/>
  <c r="E912" i="6"/>
  <c r="C913" i="6"/>
  <c r="D913" i="6"/>
  <c r="E913" i="6"/>
  <c r="C914" i="6"/>
  <c r="E914" i="6" s="1"/>
  <c r="D914" i="6"/>
  <c r="C915" i="6"/>
  <c r="E915" i="6" s="1"/>
  <c r="D915" i="6"/>
  <c r="C916" i="6"/>
  <c r="D916" i="6"/>
  <c r="E916" i="6"/>
  <c r="C917" i="6"/>
  <c r="E917" i="6" s="1"/>
  <c r="D917" i="6"/>
  <c r="C918" i="6"/>
  <c r="D918" i="6"/>
  <c r="E918" i="6"/>
  <c r="C919" i="6"/>
  <c r="D919" i="6"/>
  <c r="C920" i="6"/>
  <c r="E920" i="6" s="1"/>
  <c r="D920" i="6"/>
  <c r="C921" i="6"/>
  <c r="E921" i="6" s="1"/>
  <c r="D921" i="6"/>
  <c r="C922" i="6"/>
  <c r="E922" i="6" s="1"/>
  <c r="D922" i="6"/>
  <c r="C923" i="6"/>
  <c r="D923" i="6"/>
  <c r="E923" i="6"/>
  <c r="C924" i="6"/>
  <c r="D924" i="6"/>
  <c r="E924" i="6"/>
  <c r="C925" i="6"/>
  <c r="D925" i="6"/>
  <c r="C926" i="6"/>
  <c r="D926" i="6"/>
  <c r="E926" i="6"/>
  <c r="C927" i="6"/>
  <c r="D927" i="6"/>
  <c r="C928" i="6"/>
  <c r="E928" i="6" s="1"/>
  <c r="D928" i="6"/>
  <c r="C929" i="6"/>
  <c r="D929" i="6"/>
  <c r="E929" i="6"/>
  <c r="C930" i="6"/>
  <c r="D930" i="6"/>
  <c r="E930" i="6"/>
  <c r="C931" i="6"/>
  <c r="E931" i="6" s="1"/>
  <c r="D931" i="6"/>
  <c r="C932" i="6"/>
  <c r="D932" i="6"/>
  <c r="C933" i="6"/>
  <c r="E933" i="6" s="1"/>
  <c r="D933" i="6"/>
  <c r="C934" i="6"/>
  <c r="E934" i="6" s="1"/>
  <c r="D934" i="6"/>
  <c r="C935" i="6"/>
  <c r="D935" i="6"/>
  <c r="E935" i="6"/>
  <c r="C936" i="6"/>
  <c r="D936" i="6"/>
  <c r="C937" i="6"/>
  <c r="D937" i="6"/>
  <c r="E937" i="6"/>
  <c r="C938" i="6"/>
  <c r="D938" i="6"/>
  <c r="C939" i="6"/>
  <c r="E939" i="6" s="1"/>
  <c r="D939" i="6"/>
  <c r="C940" i="6"/>
  <c r="D940" i="6"/>
  <c r="C941" i="6"/>
  <c r="D941" i="6"/>
  <c r="C942" i="6"/>
  <c r="D942" i="6"/>
  <c r="E942" i="6"/>
  <c r="C943" i="6"/>
  <c r="D943" i="6"/>
  <c r="C944" i="6"/>
  <c r="D944" i="6"/>
  <c r="C945" i="6"/>
  <c r="E945" i="6" s="1"/>
  <c r="D945" i="6"/>
  <c r="C946" i="6"/>
  <c r="E946" i="6" s="1"/>
  <c r="D946" i="6"/>
  <c r="C947" i="6"/>
  <c r="D947" i="6"/>
  <c r="C948" i="6"/>
  <c r="D948" i="6"/>
  <c r="C949" i="6"/>
  <c r="E949" i="6" s="1"/>
  <c r="D949" i="6"/>
  <c r="C950" i="6"/>
  <c r="D950" i="6"/>
  <c r="C951" i="6"/>
  <c r="E951" i="6" s="1"/>
  <c r="D951" i="6"/>
  <c r="C952" i="6"/>
  <c r="D952" i="6"/>
  <c r="C953" i="6"/>
  <c r="D953" i="6"/>
  <c r="E953" i="6"/>
  <c r="C954" i="6"/>
  <c r="E954" i="6" s="1"/>
  <c r="D954" i="6"/>
  <c r="C955" i="6"/>
  <c r="D955" i="6"/>
  <c r="C956" i="6"/>
  <c r="E956" i="6" s="1"/>
  <c r="D956" i="6"/>
  <c r="C957" i="6"/>
  <c r="D957" i="6"/>
  <c r="C958" i="6"/>
  <c r="D958" i="6"/>
  <c r="E958" i="6"/>
  <c r="C959" i="6"/>
  <c r="D959" i="6"/>
  <c r="C960" i="6"/>
  <c r="D960" i="6"/>
  <c r="E960" i="6"/>
  <c r="C961" i="6"/>
  <c r="D961" i="6"/>
  <c r="C962" i="6"/>
  <c r="E962" i="6" s="1"/>
  <c r="D962" i="6"/>
  <c r="C963" i="6"/>
  <c r="D963" i="6"/>
  <c r="C964" i="6"/>
  <c r="E964" i="6" s="1"/>
  <c r="D964" i="6"/>
  <c r="C965" i="6"/>
  <c r="E965" i="6" s="1"/>
  <c r="D965" i="6"/>
  <c r="C966" i="6"/>
  <c r="D966" i="6"/>
  <c r="E966" i="6"/>
  <c r="C967" i="6"/>
  <c r="D967" i="6"/>
  <c r="C968" i="6"/>
  <c r="D968" i="6"/>
  <c r="C969" i="6"/>
  <c r="E969" i="6" s="1"/>
  <c r="D969" i="6"/>
  <c r="C970" i="6"/>
  <c r="E970" i="6" s="1"/>
  <c r="D970" i="6"/>
  <c r="C971" i="6"/>
  <c r="E971" i="6" s="1"/>
  <c r="D971" i="6"/>
  <c r="C972" i="6"/>
  <c r="D972" i="6"/>
  <c r="E972" i="6"/>
  <c r="C973" i="6"/>
  <c r="D973" i="6"/>
  <c r="C974" i="6"/>
  <c r="E974" i="6" s="1"/>
  <c r="D974" i="6"/>
  <c r="C975" i="6"/>
  <c r="D975" i="6"/>
  <c r="C976" i="6"/>
  <c r="E976" i="6" s="1"/>
  <c r="D976" i="6"/>
  <c r="C977" i="6"/>
  <c r="E977" i="6" s="1"/>
  <c r="D977" i="6"/>
  <c r="C978" i="6"/>
  <c r="E978" i="6" s="1"/>
  <c r="D978" i="6"/>
  <c r="C979" i="6"/>
  <c r="D979" i="6"/>
  <c r="C980" i="6"/>
  <c r="D980" i="6"/>
  <c r="E980" i="6"/>
  <c r="C981" i="6"/>
  <c r="E981" i="6" s="1"/>
  <c r="D981" i="6"/>
  <c r="C982" i="6"/>
  <c r="D982" i="6"/>
  <c r="E982" i="6"/>
  <c r="C983" i="6"/>
  <c r="D983" i="6"/>
  <c r="E983" i="6"/>
  <c r="C984" i="6"/>
  <c r="D984" i="6"/>
  <c r="C985" i="6"/>
  <c r="D985" i="6"/>
  <c r="E985" i="6"/>
  <c r="C986" i="6"/>
  <c r="D986" i="6"/>
  <c r="E986" i="6"/>
  <c r="C987" i="6"/>
  <c r="E987" i="6" s="1"/>
  <c r="D987" i="6"/>
  <c r="C988" i="6"/>
  <c r="E988" i="6" s="1"/>
  <c r="D988" i="6"/>
  <c r="C989" i="6"/>
  <c r="D989" i="6"/>
  <c r="C990" i="6"/>
  <c r="D990" i="6"/>
  <c r="C991" i="6"/>
  <c r="D991" i="6"/>
  <c r="C992" i="6"/>
  <c r="D992" i="6"/>
  <c r="E992" i="6"/>
  <c r="C993" i="6"/>
  <c r="E993" i="6" s="1"/>
  <c r="D993" i="6"/>
  <c r="C994" i="6"/>
  <c r="E994" i="6" s="1"/>
  <c r="D994" i="6"/>
  <c r="C995" i="6"/>
  <c r="D995" i="6"/>
  <c r="C996" i="6"/>
  <c r="D996" i="6"/>
  <c r="C997" i="6"/>
  <c r="D997" i="6"/>
  <c r="E997" i="6"/>
  <c r="C998" i="6"/>
  <c r="D998" i="6"/>
  <c r="C999" i="6"/>
  <c r="D999" i="6"/>
  <c r="C1000" i="6"/>
  <c r="E1000" i="6" s="1"/>
  <c r="D1000" i="6"/>
  <c r="C1001" i="6"/>
  <c r="E1001" i="6" s="1"/>
  <c r="D1001" i="6"/>
  <c r="D2" i="6"/>
  <c r="C2" i="6"/>
  <c r="D9" i="5"/>
  <c r="D94" i="5"/>
  <c r="D41" i="5"/>
  <c r="D193" i="5"/>
  <c r="D42" i="5"/>
  <c r="D62" i="5"/>
  <c r="D144" i="5"/>
  <c r="D20" i="5"/>
  <c r="D106" i="5"/>
  <c r="D28" i="5"/>
  <c r="D171" i="5"/>
  <c r="D190" i="5"/>
  <c r="D60" i="5"/>
  <c r="D153" i="5"/>
  <c r="D187" i="5"/>
  <c r="D23" i="5"/>
  <c r="D123" i="5"/>
  <c r="D137" i="5"/>
  <c r="D161" i="5"/>
  <c r="D173" i="5"/>
  <c r="D57" i="5"/>
  <c r="D91" i="5"/>
  <c r="D112" i="5"/>
  <c r="D127" i="5"/>
  <c r="D147" i="5"/>
  <c r="D113" i="5"/>
  <c r="D8" i="5"/>
  <c r="D12" i="5"/>
  <c r="D66" i="5"/>
  <c r="D46" i="5"/>
  <c r="D170" i="5"/>
  <c r="D185" i="5"/>
  <c r="D73" i="5"/>
  <c r="D40" i="5"/>
  <c r="D179" i="5"/>
  <c r="D132" i="5"/>
  <c r="D135" i="5"/>
  <c r="D102" i="5"/>
  <c r="D133" i="5"/>
  <c r="D130" i="5"/>
  <c r="D174" i="5"/>
  <c r="D26" i="5"/>
  <c r="D120" i="5"/>
  <c r="D11" i="5"/>
  <c r="D116" i="5"/>
  <c r="D72" i="5"/>
  <c r="D52" i="5"/>
  <c r="D24" i="5"/>
  <c r="D31" i="5"/>
  <c r="D168" i="5"/>
  <c r="D138" i="5"/>
  <c r="D141" i="5"/>
  <c r="D126" i="5"/>
  <c r="D105" i="5"/>
  <c r="D158" i="5"/>
  <c r="D118" i="5"/>
  <c r="D109" i="5"/>
  <c r="D86" i="5"/>
  <c r="D182" i="5"/>
  <c r="D37" i="5"/>
  <c r="D163" i="5"/>
  <c r="D156" i="5"/>
  <c r="D95" i="5"/>
  <c r="D82" i="5"/>
  <c r="D142" i="5"/>
  <c r="D181" i="5"/>
  <c r="D117" i="5"/>
  <c r="D149" i="5"/>
  <c r="D140" i="5"/>
  <c r="D191" i="5"/>
  <c r="D76" i="5"/>
  <c r="D166" i="5"/>
  <c r="D43" i="5"/>
  <c r="D115" i="5"/>
  <c r="D83" i="5"/>
  <c r="D14" i="5"/>
  <c r="D143" i="5"/>
  <c r="D160" i="5"/>
  <c r="D33" i="5"/>
  <c r="D146" i="5"/>
  <c r="D50" i="5"/>
  <c r="D13" i="5"/>
  <c r="D80" i="5"/>
  <c r="D151" i="5"/>
  <c r="D124" i="5"/>
  <c r="D17" i="5"/>
  <c r="D93" i="5"/>
  <c r="D64" i="5"/>
  <c r="D45" i="5"/>
  <c r="D16" i="5"/>
  <c r="D186" i="5"/>
  <c r="D18" i="5"/>
  <c r="D59" i="5"/>
  <c r="D34" i="5"/>
  <c r="D7" i="5"/>
  <c r="D180" i="5"/>
  <c r="D54" i="5"/>
  <c r="D25" i="5"/>
  <c r="D121" i="5"/>
  <c r="D139" i="5"/>
  <c r="D154" i="5"/>
  <c r="D111" i="5"/>
  <c r="D35" i="5"/>
  <c r="D164" i="5"/>
  <c r="D15" i="5"/>
  <c r="D10" i="5"/>
  <c r="D81" i="5"/>
  <c r="D107" i="5"/>
  <c r="D19" i="5"/>
  <c r="D196" i="5"/>
  <c r="D29" i="5"/>
  <c r="D169" i="5"/>
  <c r="D162" i="5"/>
  <c r="D103" i="5"/>
  <c r="D88" i="5"/>
  <c r="D165" i="5"/>
  <c r="D172" i="5"/>
  <c r="D58" i="5"/>
  <c r="D51" i="5"/>
  <c r="D67" i="5"/>
  <c r="D44" i="5"/>
  <c r="D128" i="5"/>
  <c r="D39" i="5"/>
  <c r="D71" i="5"/>
  <c r="D148" i="5"/>
  <c r="D189" i="5"/>
  <c r="D56" i="5"/>
  <c r="D122" i="5"/>
  <c r="D184" i="5"/>
  <c r="D38" i="5"/>
  <c r="D85" i="5"/>
  <c r="D75" i="5"/>
  <c r="D21" i="5"/>
  <c r="D70" i="5"/>
  <c r="D98" i="5"/>
  <c r="D110" i="5"/>
  <c r="D22" i="5"/>
  <c r="D175" i="5"/>
  <c r="D159" i="5"/>
  <c r="D74" i="5"/>
  <c r="D65" i="5"/>
  <c r="D129" i="5"/>
  <c r="D183" i="5"/>
  <c r="D30" i="5"/>
  <c r="D104" i="5"/>
  <c r="D167" i="5"/>
  <c r="D84" i="5"/>
  <c r="D27" i="5"/>
  <c r="D77" i="5"/>
  <c r="D78" i="5"/>
  <c r="D55" i="5"/>
  <c r="D108" i="5"/>
  <c r="D49" i="5"/>
  <c r="D79" i="5"/>
  <c r="D69" i="5"/>
  <c r="D131" i="5"/>
  <c r="D99" i="5"/>
  <c r="D152" i="5"/>
  <c r="D192" i="5"/>
  <c r="D119" i="5"/>
  <c r="D195" i="5"/>
  <c r="D150" i="5"/>
  <c r="D145" i="5"/>
  <c r="D6" i="5"/>
  <c r="D89" i="5"/>
  <c r="D96" i="5"/>
  <c r="D63" i="5"/>
  <c r="D101" i="5"/>
  <c r="D3" i="5"/>
  <c r="D155" i="5"/>
  <c r="D194" i="5"/>
  <c r="D125" i="5"/>
  <c r="D5" i="5"/>
  <c r="D188" i="5"/>
  <c r="D87" i="5"/>
  <c r="D90" i="5"/>
  <c r="D114" i="5"/>
  <c r="D36" i="5"/>
  <c r="D4" i="5"/>
  <c r="D92" i="5"/>
  <c r="D176" i="5"/>
  <c r="D136" i="5"/>
  <c r="D61" i="5"/>
  <c r="D157" i="5"/>
  <c r="D134" i="5"/>
  <c r="D100" i="5"/>
  <c r="D48" i="5"/>
  <c r="D47" i="5"/>
  <c r="D178" i="5"/>
  <c r="D32" i="5"/>
  <c r="D53" i="5"/>
  <c r="D177" i="5"/>
  <c r="D2" i="5"/>
  <c r="D68" i="5"/>
  <c r="D97" i="5"/>
  <c r="C152" i="5"/>
  <c r="C151" i="5"/>
  <c r="C162" i="5"/>
  <c r="C101" i="5"/>
  <c r="C169" i="5"/>
  <c r="C36" i="5"/>
  <c r="C171" i="5"/>
  <c r="C33" i="5"/>
  <c r="C137" i="5"/>
  <c r="C179" i="5"/>
  <c r="C175" i="5"/>
  <c r="C140" i="5"/>
  <c r="C194" i="5"/>
  <c r="C76" i="5"/>
  <c r="C116" i="5"/>
  <c r="C47" i="5"/>
  <c r="C24" i="5"/>
  <c r="C73" i="5"/>
  <c r="C34" i="5"/>
  <c r="C30" i="5"/>
  <c r="C184" i="5"/>
  <c r="C188" i="5"/>
  <c r="C83" i="5"/>
  <c r="C131" i="5"/>
  <c r="C20" i="5"/>
  <c r="C89" i="5"/>
  <c r="C109" i="5"/>
  <c r="C29" i="5"/>
  <c r="C86" i="5"/>
  <c r="C127" i="5"/>
  <c r="C144" i="5"/>
  <c r="C12" i="5"/>
  <c r="C160" i="5"/>
  <c r="C67" i="5"/>
  <c r="C46" i="5"/>
  <c r="C8" i="5"/>
  <c r="C97" i="5"/>
  <c r="C54" i="5"/>
  <c r="C185" i="5"/>
  <c r="C81" i="5"/>
  <c r="C141" i="5"/>
  <c r="C60" i="5"/>
  <c r="C161" i="5"/>
  <c r="C43" i="5"/>
  <c r="C28" i="5"/>
  <c r="C16" i="5"/>
  <c r="C112" i="5"/>
  <c r="C90" i="5"/>
  <c r="C118" i="5"/>
  <c r="C142" i="5"/>
  <c r="C26" i="5"/>
  <c r="C174" i="5"/>
  <c r="C62" i="5"/>
  <c r="C113" i="5"/>
  <c r="C7" i="5"/>
  <c r="C75" i="5"/>
  <c r="C78" i="5"/>
  <c r="C5" i="5"/>
  <c r="C156" i="5"/>
  <c r="C19" i="5"/>
  <c r="C181" i="5"/>
  <c r="C135" i="5"/>
  <c r="C68" i="5"/>
  <c r="C170" i="5"/>
  <c r="C105" i="5"/>
  <c r="C121" i="5"/>
  <c r="C147" i="5"/>
  <c r="C193" i="5"/>
  <c r="C187" i="5"/>
  <c r="C143" i="5"/>
  <c r="C25" i="5"/>
  <c r="C128" i="5"/>
  <c r="C45" i="5"/>
  <c r="C31" i="5"/>
  <c r="C23" i="5"/>
  <c r="C149" i="5"/>
  <c r="C61" i="5"/>
  <c r="C107" i="5"/>
  <c r="C51" i="5"/>
  <c r="C139" i="5"/>
  <c r="C82" i="5"/>
  <c r="C10" i="5"/>
  <c r="C92" i="5"/>
  <c r="C91" i="5"/>
  <c r="C35" i="5"/>
  <c r="C42" i="5"/>
  <c r="C84" i="5"/>
  <c r="C124" i="5"/>
  <c r="C190" i="5"/>
  <c r="C106" i="5"/>
  <c r="C95" i="5"/>
  <c r="C88" i="5"/>
  <c r="C163" i="5"/>
  <c r="C85" i="5"/>
  <c r="C173" i="5"/>
  <c r="C18" i="5"/>
  <c r="C44" i="5"/>
  <c r="C80" i="5"/>
  <c r="C130" i="5"/>
  <c r="C103" i="5"/>
  <c r="C50" i="5"/>
  <c r="C191" i="5"/>
  <c r="C14" i="5"/>
  <c r="C180" i="5"/>
  <c r="C15" i="5"/>
  <c r="C167" i="5"/>
  <c r="C117" i="5"/>
  <c r="C53" i="5"/>
  <c r="C6" i="5"/>
  <c r="C38" i="5"/>
  <c r="C132" i="5"/>
  <c r="C189" i="5"/>
  <c r="C52" i="5"/>
  <c r="C93" i="5"/>
  <c r="C13" i="5"/>
  <c r="C102" i="5"/>
  <c r="C11" i="5"/>
  <c r="C165" i="5"/>
  <c r="C74" i="5"/>
  <c r="C56" i="5"/>
  <c r="C186" i="5"/>
  <c r="C126" i="5"/>
  <c r="C192" i="5"/>
  <c r="C9" i="5"/>
  <c r="C104" i="5"/>
  <c r="C138" i="5"/>
  <c r="C87" i="5"/>
  <c r="C96" i="5"/>
  <c r="C146" i="5"/>
  <c r="C182" i="5"/>
  <c r="C123" i="5"/>
  <c r="C59" i="5"/>
  <c r="C164" i="5"/>
  <c r="C125" i="5"/>
  <c r="C21" i="5"/>
  <c r="C129" i="5"/>
  <c r="C119" i="5"/>
  <c r="C39" i="5"/>
  <c r="C55" i="5"/>
  <c r="C37" i="5"/>
  <c r="C77" i="5"/>
  <c r="C120" i="5"/>
  <c r="C94" i="5"/>
  <c r="C65" i="5"/>
  <c r="C72" i="5"/>
  <c r="C115" i="5"/>
  <c r="C27" i="5"/>
  <c r="C17" i="5"/>
  <c r="C195" i="5"/>
  <c r="C57" i="5"/>
  <c r="C122" i="5"/>
  <c r="C110" i="5"/>
  <c r="C133" i="5"/>
  <c r="C64" i="5"/>
  <c r="C40" i="5"/>
  <c r="C98" i="5"/>
  <c r="C168" i="5"/>
  <c r="C148" i="5"/>
  <c r="C111" i="5"/>
  <c r="C48" i="5"/>
  <c r="C145" i="5"/>
  <c r="C69" i="5"/>
  <c r="C154" i="5"/>
  <c r="C41" i="5"/>
  <c r="C150" i="5"/>
  <c r="C166" i="5"/>
  <c r="C178" i="5"/>
  <c r="C196" i="5"/>
  <c r="C159" i="5"/>
  <c r="C172" i="5"/>
  <c r="C176" i="5"/>
  <c r="C158" i="5"/>
  <c r="C70" i="5"/>
  <c r="C22" i="5"/>
  <c r="C108" i="5"/>
  <c r="C100" i="5"/>
  <c r="C153" i="5"/>
  <c r="C3" i="5"/>
  <c r="C58" i="5"/>
  <c r="C2" i="5"/>
  <c r="C63" i="5"/>
  <c r="C183" i="5"/>
  <c r="C99" i="5"/>
  <c r="C79" i="5"/>
  <c r="C136" i="5"/>
  <c r="C49" i="5"/>
  <c r="C114" i="5"/>
  <c r="C71" i="5"/>
  <c r="C177" i="5"/>
  <c r="C32" i="5"/>
  <c r="C155" i="5"/>
  <c r="C134" i="5"/>
  <c r="C4" i="5"/>
  <c r="C157" i="5"/>
  <c r="C66" i="5"/>
  <c r="B152" i="5"/>
  <c r="B151" i="5"/>
  <c r="B162" i="5"/>
  <c r="B101" i="5"/>
  <c r="B169" i="5"/>
  <c r="B36" i="5"/>
  <c r="B171" i="5"/>
  <c r="B33" i="5"/>
  <c r="B137" i="5"/>
  <c r="B179" i="5"/>
  <c r="B175" i="5"/>
  <c r="B140" i="5"/>
  <c r="B194" i="5"/>
  <c r="B76" i="5"/>
  <c r="B116" i="5"/>
  <c r="B47" i="5"/>
  <c r="B24" i="5"/>
  <c r="B73" i="5"/>
  <c r="B34" i="5"/>
  <c r="B30" i="5"/>
  <c r="B184" i="5"/>
  <c r="B188" i="5"/>
  <c r="B83" i="5"/>
  <c r="B131" i="5"/>
  <c r="B20" i="5"/>
  <c r="B89" i="5"/>
  <c r="B109" i="5"/>
  <c r="B29" i="5"/>
  <c r="B86" i="5"/>
  <c r="B127" i="5"/>
  <c r="B144" i="5"/>
  <c r="B12" i="5"/>
  <c r="B160" i="5"/>
  <c r="B67" i="5"/>
  <c r="B46" i="5"/>
  <c r="B8" i="5"/>
  <c r="B97" i="5"/>
  <c r="B54" i="5"/>
  <c r="B185" i="5"/>
  <c r="B81" i="5"/>
  <c r="B141" i="5"/>
  <c r="B60" i="5"/>
  <c r="B161" i="5"/>
  <c r="B43" i="5"/>
  <c r="B28" i="5"/>
  <c r="B16" i="5"/>
  <c r="B112" i="5"/>
  <c r="B90" i="5"/>
  <c r="B118" i="5"/>
  <c r="B142" i="5"/>
  <c r="B26" i="5"/>
  <c r="B174" i="5"/>
  <c r="B62" i="5"/>
  <c r="B113" i="5"/>
  <c r="B7" i="5"/>
  <c r="B75" i="5"/>
  <c r="B78" i="5"/>
  <c r="B5" i="5"/>
  <c r="B156" i="5"/>
  <c r="B19" i="5"/>
  <c r="B181" i="5"/>
  <c r="B135" i="5"/>
  <c r="B68" i="5"/>
  <c r="B170" i="5"/>
  <c r="B105" i="5"/>
  <c r="B121" i="5"/>
  <c r="B147" i="5"/>
  <c r="B193" i="5"/>
  <c r="B187" i="5"/>
  <c r="B143" i="5"/>
  <c r="B25" i="5"/>
  <c r="B128" i="5"/>
  <c r="B45" i="5"/>
  <c r="B31" i="5"/>
  <c r="B23" i="5"/>
  <c r="B149" i="5"/>
  <c r="B61" i="5"/>
  <c r="B107" i="5"/>
  <c r="B51" i="5"/>
  <c r="B139" i="5"/>
  <c r="B82" i="5"/>
  <c r="B10" i="5"/>
  <c r="B92" i="5"/>
  <c r="B91" i="5"/>
  <c r="B35" i="5"/>
  <c r="B42" i="5"/>
  <c r="B84" i="5"/>
  <c r="B124" i="5"/>
  <c r="B190" i="5"/>
  <c r="B106" i="5"/>
  <c r="B95" i="5"/>
  <c r="B88" i="5"/>
  <c r="B163" i="5"/>
  <c r="B85" i="5"/>
  <c r="B173" i="5"/>
  <c r="B18" i="5"/>
  <c r="B44" i="5"/>
  <c r="B80" i="5"/>
  <c r="B130" i="5"/>
  <c r="B103" i="5"/>
  <c r="B50" i="5"/>
  <c r="B191" i="5"/>
  <c r="B14" i="5"/>
  <c r="B180" i="5"/>
  <c r="B15" i="5"/>
  <c r="B167" i="5"/>
  <c r="B117" i="5"/>
  <c r="B53" i="5"/>
  <c r="B6" i="5"/>
  <c r="B38" i="5"/>
  <c r="B132" i="5"/>
  <c r="B189" i="5"/>
  <c r="B52" i="5"/>
  <c r="B93" i="5"/>
  <c r="B13" i="5"/>
  <c r="B102" i="5"/>
  <c r="B11" i="5"/>
  <c r="B165" i="5"/>
  <c r="B74" i="5"/>
  <c r="B56" i="5"/>
  <c r="B186" i="5"/>
  <c r="B126" i="5"/>
  <c r="B192" i="5"/>
  <c r="B9" i="5"/>
  <c r="B104" i="5"/>
  <c r="B138" i="5"/>
  <c r="B87" i="5"/>
  <c r="B96" i="5"/>
  <c r="B146" i="5"/>
  <c r="B182" i="5"/>
  <c r="B123" i="5"/>
  <c r="B59" i="5"/>
  <c r="B164" i="5"/>
  <c r="B125" i="5"/>
  <c r="B21" i="5"/>
  <c r="B129" i="5"/>
  <c r="B119" i="5"/>
  <c r="B39" i="5"/>
  <c r="B55" i="5"/>
  <c r="B37" i="5"/>
  <c r="B77" i="5"/>
  <c r="B120" i="5"/>
  <c r="B94" i="5"/>
  <c r="B65" i="5"/>
  <c r="B72" i="5"/>
  <c r="B115" i="5"/>
  <c r="B27" i="5"/>
  <c r="B17" i="5"/>
  <c r="B195" i="5"/>
  <c r="B57" i="5"/>
  <c r="B122" i="5"/>
  <c r="B110" i="5"/>
  <c r="B133" i="5"/>
  <c r="B64" i="5"/>
  <c r="B40" i="5"/>
  <c r="B98" i="5"/>
  <c r="B168" i="5"/>
  <c r="B148" i="5"/>
  <c r="B111" i="5"/>
  <c r="B48" i="5"/>
  <c r="B145" i="5"/>
  <c r="B69" i="5"/>
  <c r="B154" i="5"/>
  <c r="B41" i="5"/>
  <c r="B150" i="5"/>
  <c r="B166" i="5"/>
  <c r="B178" i="5"/>
  <c r="B196" i="5"/>
  <c r="B159" i="5"/>
  <c r="B172" i="5"/>
  <c r="B176" i="5"/>
  <c r="B158" i="5"/>
  <c r="B70" i="5"/>
  <c r="B22" i="5"/>
  <c r="B108" i="5"/>
  <c r="B100" i="5"/>
  <c r="B153" i="5"/>
  <c r="B3" i="5"/>
  <c r="B58" i="5"/>
  <c r="B2" i="5"/>
  <c r="B63" i="5"/>
  <c r="B183" i="5"/>
  <c r="B99" i="5"/>
  <c r="B79" i="5"/>
  <c r="B136" i="5"/>
  <c r="B49" i="5"/>
  <c r="B114" i="5"/>
  <c r="B71" i="5"/>
  <c r="B177" i="5"/>
  <c r="B32" i="5"/>
  <c r="B155" i="5"/>
  <c r="B134" i="5"/>
  <c r="B4" i="5"/>
  <c r="B157" i="5"/>
  <c r="B66" i="5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B13" i="2"/>
  <c r="J3" i="2"/>
  <c r="J4" i="2"/>
  <c r="J5" i="2"/>
  <c r="J6" i="2"/>
  <c r="J7" i="2"/>
  <c r="J8" i="2"/>
  <c r="J9" i="2"/>
  <c r="J10" i="2"/>
  <c r="J11" i="2"/>
  <c r="J12" i="2"/>
  <c r="J13" i="2"/>
  <c r="J14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H939" i="8" l="1"/>
  <c r="H812" i="8"/>
  <c r="H428" i="8"/>
  <c r="H868" i="8"/>
  <c r="H634" i="8"/>
  <c r="H342" i="8"/>
  <c r="H746" i="8"/>
  <c r="H442" i="8"/>
  <c r="H320" i="8"/>
  <c r="H276" i="8"/>
  <c r="H356" i="8"/>
  <c r="H210" i="8"/>
  <c r="H59" i="8"/>
  <c r="H980" i="8"/>
  <c r="H647" i="8"/>
  <c r="H547" i="8"/>
  <c r="H145" i="8"/>
  <c r="H369" i="8"/>
  <c r="H759" i="8"/>
  <c r="H455" i="8"/>
  <c r="H231" i="8"/>
  <c r="H894" i="8"/>
  <c r="H788" i="8"/>
  <c r="H610" i="8"/>
  <c r="H490" i="8"/>
  <c r="H389" i="8"/>
  <c r="H375" i="8"/>
  <c r="H310" i="8"/>
  <c r="H986" i="8"/>
  <c r="H914" i="8"/>
  <c r="H900" i="8"/>
  <c r="H780" i="8"/>
  <c r="H596" i="8"/>
  <c r="H560" i="8"/>
  <c r="H395" i="8"/>
  <c r="H332" i="8"/>
  <c r="H122" i="8"/>
  <c r="H971" i="8"/>
  <c r="H928" i="8"/>
  <c r="H822" i="8"/>
  <c r="H794" i="8"/>
  <c r="H729" i="8"/>
  <c r="H693" i="8"/>
  <c r="H567" i="8"/>
  <c r="H531" i="8"/>
  <c r="H273" i="8"/>
  <c r="H200" i="8"/>
  <c r="H114" i="8"/>
  <c r="H107" i="8"/>
  <c r="H92" i="8"/>
  <c r="H712" i="8"/>
  <c r="H118" i="8"/>
  <c r="H620" i="8"/>
  <c r="H241" i="8"/>
  <c r="H875" i="8"/>
  <c r="H233" i="8"/>
  <c r="H67" i="8"/>
  <c r="H240" i="8"/>
  <c r="H95" i="8"/>
  <c r="H695" i="8"/>
  <c r="H160" i="8"/>
  <c r="H590" i="8"/>
  <c r="H418" i="8"/>
  <c r="H887" i="8"/>
  <c r="H709" i="8"/>
  <c r="H224" i="8"/>
  <c r="H929" i="8"/>
  <c r="H766" i="8"/>
  <c r="H589" i="8"/>
  <c r="H179" i="8"/>
  <c r="H165" i="8"/>
  <c r="H26" i="8"/>
  <c r="H932" i="8"/>
  <c r="H234" i="8"/>
  <c r="H204" i="8"/>
  <c r="H154" i="8"/>
  <c r="H967" i="8"/>
  <c r="H826" i="8"/>
  <c r="H946" i="8"/>
  <c r="H775" i="8"/>
  <c r="H648" i="8"/>
  <c r="H132" i="8"/>
  <c r="H8" i="8"/>
  <c r="H312" i="8"/>
  <c r="H463" i="8"/>
  <c r="H853" i="8"/>
  <c r="H702" i="8"/>
  <c r="H583" i="8"/>
  <c r="H101" i="8"/>
  <c r="H866" i="8"/>
  <c r="H498" i="8"/>
  <c r="H958" i="8"/>
  <c r="H701" i="8"/>
  <c r="H582" i="8"/>
  <c r="H927" i="8"/>
  <c r="H821" i="8"/>
  <c r="H786" i="8"/>
  <c r="H742" i="8"/>
  <c r="H714" i="8"/>
  <c r="H580" i="8"/>
  <c r="H516" i="8"/>
  <c r="H510" i="8"/>
  <c r="H481" i="8"/>
  <c r="H474" i="8"/>
  <c r="H415" i="8"/>
  <c r="H352" i="8"/>
  <c r="H279" i="8"/>
  <c r="H38" i="8"/>
  <c r="H882" i="8"/>
  <c r="H457" i="8"/>
  <c r="H846" i="8"/>
  <c r="H326" i="8"/>
  <c r="H922" i="8"/>
  <c r="H383" i="8"/>
  <c r="H687" i="8"/>
  <c r="H20" i="8"/>
  <c r="H842" i="8"/>
  <c r="H495" i="8"/>
  <c r="H437" i="8"/>
  <c r="H407" i="8"/>
  <c r="H323" i="8"/>
  <c r="H293" i="8"/>
  <c r="H192" i="8"/>
  <c r="H55" i="8"/>
  <c r="H48" i="8"/>
  <c r="H18" i="8"/>
  <c r="H556" i="8"/>
  <c r="H247" i="8"/>
  <c r="H410" i="8"/>
  <c r="H303" i="8"/>
  <c r="H650" i="8"/>
  <c r="H436" i="8"/>
  <c r="H134" i="8"/>
  <c r="H112" i="8"/>
  <c r="H336" i="8"/>
  <c r="H31" i="8"/>
  <c r="H840" i="8"/>
  <c r="H973" i="8"/>
  <c r="H774" i="8"/>
  <c r="H562" i="8"/>
  <c r="H661" i="8"/>
  <c r="H720" i="8"/>
  <c r="H227" i="8"/>
  <c r="H443" i="8"/>
  <c r="H416" i="8"/>
  <c r="H357" i="8"/>
  <c r="H343" i="8"/>
  <c r="H305" i="8"/>
  <c r="H265" i="8"/>
  <c r="H259" i="8"/>
  <c r="H146" i="8"/>
  <c r="H120" i="8"/>
  <c r="H73" i="8"/>
  <c r="H998" i="8"/>
  <c r="H940" i="8"/>
  <c r="H933" i="8"/>
  <c r="H919" i="8"/>
  <c r="H893" i="8"/>
  <c r="H847" i="8"/>
  <c r="H833" i="8"/>
  <c r="H787" i="8"/>
  <c r="H754" i="8"/>
  <c r="H700" i="8"/>
  <c r="H655" i="8"/>
  <c r="H621" i="8"/>
  <c r="H614" i="8"/>
  <c r="H608" i="8"/>
  <c r="H595" i="8"/>
  <c r="H522" i="8"/>
  <c r="H509" i="8"/>
  <c r="H456" i="8"/>
  <c r="H363" i="8"/>
  <c r="H311" i="8"/>
  <c r="H291" i="8"/>
  <c r="H271" i="8"/>
  <c r="H252" i="8"/>
  <c r="H245" i="8"/>
  <c r="H225" i="8"/>
  <c r="H218" i="8"/>
  <c r="H126" i="8"/>
  <c r="H113" i="8"/>
  <c r="H106" i="8"/>
  <c r="H99" i="8"/>
  <c r="H46" i="8"/>
  <c r="H996" i="8"/>
  <c r="H990" i="8"/>
  <c r="H951" i="8"/>
  <c r="H852" i="8"/>
  <c r="H771" i="8"/>
  <c r="H765" i="8"/>
  <c r="H719" i="8"/>
  <c r="H660" i="8"/>
  <c r="H646" i="8"/>
  <c r="H573" i="8"/>
  <c r="H566" i="8"/>
  <c r="H480" i="8"/>
  <c r="H427" i="8"/>
  <c r="H355" i="8"/>
  <c r="H335" i="8"/>
  <c r="H316" i="8"/>
  <c r="H309" i="8"/>
  <c r="H282" i="8"/>
  <c r="H216" i="8"/>
  <c r="H131" i="8"/>
  <c r="H84" i="8"/>
  <c r="H976" i="8"/>
  <c r="H963" i="8"/>
  <c r="H957" i="8"/>
  <c r="H911" i="8"/>
  <c r="H904" i="8"/>
  <c r="H891" i="8"/>
  <c r="H858" i="8"/>
  <c r="H818" i="8"/>
  <c r="H666" i="8"/>
  <c r="H626" i="8"/>
  <c r="H586" i="8"/>
  <c r="H579" i="8"/>
  <c r="H527" i="8"/>
  <c r="H520" i="8"/>
  <c r="H507" i="8"/>
  <c r="H486" i="8"/>
  <c r="H420" i="8"/>
  <c r="H328" i="8"/>
  <c r="H322" i="8"/>
  <c r="H223" i="8"/>
  <c r="H184" i="8"/>
  <c r="H171" i="8"/>
  <c r="H164" i="8"/>
  <c r="H137" i="8"/>
  <c r="H97" i="8"/>
  <c r="H44" i="8"/>
  <c r="H37" i="8"/>
  <c r="H784" i="8"/>
  <c r="H751" i="8"/>
  <c r="H347" i="8"/>
  <c r="H222" i="8"/>
  <c r="H190" i="8"/>
  <c r="H163" i="8"/>
  <c r="H110" i="8"/>
  <c r="H149" i="8"/>
  <c r="H975" i="8"/>
  <c r="H968" i="8"/>
  <c r="H877" i="8"/>
  <c r="H870" i="8"/>
  <c r="H830" i="8"/>
  <c r="H823" i="8"/>
  <c r="H776" i="8"/>
  <c r="H757" i="8"/>
  <c r="H724" i="8"/>
  <c r="H717" i="8"/>
  <c r="H710" i="8"/>
  <c r="H684" i="8"/>
  <c r="H638" i="8"/>
  <c r="H631" i="8"/>
  <c r="H532" i="8"/>
  <c r="H492" i="8"/>
  <c r="H439" i="8"/>
  <c r="H399" i="8"/>
  <c r="H916" i="8"/>
  <c r="H863" i="8"/>
  <c r="H856" i="8"/>
  <c r="H850" i="8"/>
  <c r="H783" i="8"/>
  <c r="H730" i="8"/>
  <c r="H624" i="8"/>
  <c r="H617" i="8"/>
  <c r="H571" i="8"/>
  <c r="H538" i="8"/>
  <c r="H525" i="8"/>
  <c r="H425" i="8"/>
  <c r="H392" i="8"/>
  <c r="H386" i="8"/>
  <c r="H346" i="8"/>
  <c r="H287" i="8"/>
  <c r="H235" i="8"/>
  <c r="H182" i="8"/>
  <c r="H176" i="8"/>
  <c r="H155" i="8"/>
  <c r="H82" i="8"/>
  <c r="H56" i="8"/>
  <c r="H35" i="8"/>
  <c r="H21" i="8"/>
  <c r="H9" i="8"/>
  <c r="H3" i="8"/>
  <c r="H491" i="8"/>
  <c r="H408" i="8"/>
  <c r="H281" i="8"/>
  <c r="H141" i="8"/>
  <c r="H77" i="8"/>
  <c r="H25" i="8"/>
  <c r="H974" i="8"/>
  <c r="H745" i="8"/>
  <c r="H561" i="8"/>
  <c r="H478" i="8"/>
  <c r="H344" i="8"/>
  <c r="H217" i="8"/>
  <c r="H910" i="8"/>
  <c r="H681" i="8"/>
  <c r="H497" i="8"/>
  <c r="H414" i="8"/>
  <c r="H280" i="8"/>
  <c r="H153" i="8"/>
  <c r="H89" i="8"/>
  <c r="H24" i="8"/>
  <c r="H2" i="8"/>
  <c r="H945" i="8"/>
  <c r="H811" i="8"/>
  <c r="H728" i="8"/>
  <c r="H677" i="8"/>
  <c r="H258" i="8"/>
  <c r="H798" i="8"/>
  <c r="H664" i="8"/>
  <c r="H194" i="8"/>
  <c r="H124" i="8"/>
  <c r="H60" i="8"/>
  <c r="H1001" i="8"/>
  <c r="H817" i="8"/>
  <c r="H683" i="8"/>
  <c r="H66" i="8"/>
  <c r="H619" i="8"/>
  <c r="H13" i="8"/>
  <c r="H689" i="8"/>
  <c r="H809" i="8"/>
  <c r="H625" i="8"/>
  <c r="H542" i="8"/>
  <c r="H461" i="8"/>
  <c r="H188" i="8"/>
  <c r="H169" i="8"/>
  <c r="H105" i="8"/>
  <c r="H537" i="8"/>
  <c r="H397" i="8"/>
  <c r="H600" i="8"/>
  <c r="H549" i="8"/>
  <c r="H130" i="8"/>
  <c r="H937" i="8"/>
  <c r="H670" i="8"/>
  <c r="H536" i="8"/>
  <c r="H485" i="8"/>
  <c r="H409" i="8"/>
  <c r="H269" i="8"/>
  <c r="H873" i="8"/>
  <c r="H606" i="8"/>
  <c r="H345" i="8"/>
  <c r="H553" i="8"/>
  <c r="H152" i="8"/>
  <c r="H88" i="8"/>
  <c r="H985" i="8"/>
  <c r="H845" i="8"/>
  <c r="H718" i="8"/>
  <c r="H489" i="8"/>
  <c r="H438" i="8"/>
  <c r="H413" i="8"/>
  <c r="H286" i="8"/>
  <c r="H997" i="8"/>
  <c r="H921" i="8"/>
  <c r="H781" i="8"/>
  <c r="H654" i="8"/>
  <c r="H374" i="8"/>
  <c r="H349" i="8"/>
  <c r="H158" i="8"/>
  <c r="H862" i="8"/>
  <c r="H881" i="8"/>
  <c r="H613" i="8"/>
  <c r="H473" i="8"/>
  <c r="H472" i="8"/>
  <c r="H205" i="8"/>
  <c r="H909" i="8"/>
  <c r="H782" i="8"/>
  <c r="H920" i="8"/>
  <c r="H869" i="8"/>
  <c r="H653" i="8"/>
  <c r="H526" i="8"/>
  <c r="H450" i="8"/>
  <c r="H380" i="8"/>
  <c r="H361" i="8"/>
  <c r="H246" i="8"/>
  <c r="H601" i="8"/>
  <c r="H747" i="8"/>
  <c r="H734" i="8"/>
  <c r="H333" i="8"/>
  <c r="H753" i="8"/>
  <c r="H555" i="8"/>
  <c r="H221" i="8"/>
  <c r="H157" i="8"/>
  <c r="H861" i="8"/>
  <c r="H541" i="8"/>
  <c r="H104" i="8"/>
  <c r="H40" i="8"/>
  <c r="H936" i="8"/>
  <c r="H872" i="8"/>
  <c r="H616" i="8"/>
  <c r="H430" i="8"/>
  <c r="H302" i="8"/>
  <c r="H878" i="8"/>
  <c r="H814" i="8"/>
  <c r="H750" i="8"/>
  <c r="H686" i="8"/>
  <c r="H622" i="8"/>
  <c r="H558" i="8"/>
  <c r="H494" i="8"/>
  <c r="H441" i="8"/>
  <c r="H377" i="8"/>
  <c r="H313" i="8"/>
  <c r="H249" i="8"/>
  <c r="H185" i="8"/>
  <c r="H121" i="8"/>
  <c r="H57" i="8"/>
  <c r="H953" i="8"/>
  <c r="H889" i="8"/>
  <c r="H825" i="8"/>
  <c r="H761" i="8"/>
  <c r="H697" i="8"/>
  <c r="H633" i="8"/>
  <c r="H569" i="8"/>
  <c r="H505" i="8"/>
  <c r="H429" i="8"/>
  <c r="H365" i="8"/>
  <c r="H301" i="8"/>
  <c r="H237" i="8"/>
  <c r="H173" i="8"/>
  <c r="H109" i="8"/>
  <c r="H45" i="8"/>
  <c r="H1000" i="8"/>
  <c r="H552" i="8"/>
  <c r="H669" i="8"/>
  <c r="H605" i="8"/>
  <c r="H477" i="8"/>
  <c r="H424" i="8"/>
  <c r="H360" i="8"/>
  <c r="H296" i="8"/>
  <c r="H232" i="8"/>
  <c r="H168" i="8"/>
  <c r="H808" i="8"/>
  <c r="H744" i="8"/>
  <c r="H488" i="8"/>
  <c r="H952" i="8"/>
  <c r="H888" i="8"/>
  <c r="H824" i="8"/>
  <c r="H760" i="8"/>
  <c r="H696" i="8"/>
  <c r="H632" i="8"/>
  <c r="H568" i="8"/>
  <c r="H504" i="8"/>
  <c r="H469" i="8"/>
  <c r="H446" i="8"/>
  <c r="H318" i="8"/>
  <c r="H254" i="8"/>
  <c r="H29" i="8"/>
  <c r="H925" i="8"/>
  <c r="H942" i="8"/>
  <c r="H93" i="8"/>
  <c r="H680" i="8"/>
  <c r="H969" i="8"/>
  <c r="H905" i="8"/>
  <c r="H841" i="8"/>
  <c r="H777" i="8"/>
  <c r="H713" i="8"/>
  <c r="H649" i="8"/>
  <c r="H585" i="8"/>
  <c r="H521" i="8"/>
  <c r="H445" i="8"/>
  <c r="H381" i="8"/>
  <c r="H317" i="8"/>
  <c r="H253" i="8"/>
  <c r="H189" i="8"/>
  <c r="H125" i="8"/>
  <c r="H61" i="8"/>
  <c r="H989" i="8"/>
  <c r="H797" i="8"/>
  <c r="H733" i="8"/>
  <c r="H398" i="8"/>
  <c r="H334" i="8"/>
  <c r="H270" i="8"/>
  <c r="H206" i="8"/>
  <c r="H142" i="8"/>
  <c r="H78" i="8"/>
  <c r="H14" i="8"/>
  <c r="E522" i="6"/>
  <c r="E514" i="6"/>
  <c r="E528" i="6"/>
  <c r="E602" i="6"/>
  <c r="E252" i="6"/>
  <c r="E517" i="6"/>
  <c r="E198" i="6"/>
  <c r="E521" i="6"/>
  <c r="E128" i="6"/>
  <c r="E803" i="6"/>
  <c r="E121" i="6"/>
  <c r="E558" i="6"/>
  <c r="E609" i="6"/>
  <c r="E208" i="6"/>
  <c r="E645" i="6"/>
  <c r="E340" i="6"/>
  <c r="E295" i="6"/>
  <c r="E265" i="6"/>
  <c r="E258" i="6"/>
  <c r="E236" i="6"/>
  <c r="E158" i="6"/>
  <c r="E529" i="6"/>
  <c r="E172" i="6"/>
  <c r="E586" i="6"/>
  <c r="E601" i="6"/>
  <c r="E192" i="6"/>
  <c r="E506" i="6"/>
  <c r="E551" i="6"/>
  <c r="E774" i="6"/>
  <c r="E193" i="6"/>
  <c r="E304" i="6"/>
  <c r="E652" i="6"/>
  <c r="E629" i="6"/>
  <c r="E485" i="6"/>
  <c r="E470" i="6"/>
  <c r="E309" i="6"/>
  <c r="E212" i="6"/>
  <c r="E92" i="6"/>
  <c r="E788" i="6"/>
  <c r="E178" i="6"/>
  <c r="E762" i="6"/>
  <c r="E755" i="6"/>
  <c r="E747" i="6"/>
  <c r="E732" i="6"/>
  <c r="E673" i="6"/>
  <c r="E545" i="6"/>
  <c r="E745" i="6"/>
  <c r="E302" i="6"/>
  <c r="E113" i="6"/>
  <c r="E98" i="6"/>
  <c r="E54" i="6"/>
  <c r="E802" i="6"/>
  <c r="E556" i="6"/>
  <c r="E520" i="6"/>
  <c r="E462" i="6"/>
  <c r="E316" i="6"/>
  <c r="E135" i="6"/>
  <c r="E90" i="6"/>
  <c r="E592" i="6"/>
  <c r="E97" i="6"/>
  <c r="E809" i="6"/>
  <c r="E613" i="6"/>
  <c r="E526" i="6"/>
  <c r="E337" i="6"/>
  <c r="E358" i="6"/>
  <c r="E336" i="6"/>
  <c r="E204" i="6"/>
  <c r="E147" i="6"/>
  <c r="E633" i="6"/>
  <c r="E167" i="6"/>
  <c r="E372" i="6"/>
  <c r="E181" i="6"/>
  <c r="E174" i="6"/>
  <c r="E683" i="6"/>
  <c r="E668" i="6"/>
  <c r="E654" i="6"/>
  <c r="E210" i="6"/>
  <c r="E246" i="6"/>
  <c r="E224" i="6"/>
  <c r="E217" i="6"/>
  <c r="E748" i="6"/>
  <c r="E674" i="6"/>
  <c r="E444" i="6"/>
  <c r="E406" i="6"/>
  <c r="E385" i="6"/>
  <c r="E689" i="6"/>
  <c r="E681" i="6"/>
  <c r="E458" i="6"/>
  <c r="E398" i="6"/>
  <c r="E260" i="6"/>
  <c r="E245" i="6"/>
  <c r="E238" i="6"/>
  <c r="E738" i="6"/>
  <c r="E513" i="6"/>
  <c r="E606" i="6"/>
  <c r="E563" i="6"/>
  <c r="E345" i="6"/>
  <c r="E512" i="6"/>
  <c r="E315" i="6"/>
  <c r="E134" i="6"/>
  <c r="E576" i="6"/>
  <c r="E540" i="6"/>
  <c r="E344" i="6"/>
  <c r="E119" i="6"/>
  <c r="E619" i="6"/>
  <c r="E475" i="6"/>
  <c r="E570" i="6"/>
  <c r="E533" i="6"/>
  <c r="E359" i="6"/>
  <c r="E183" i="6"/>
  <c r="E569" i="6"/>
  <c r="E190" i="6"/>
  <c r="E126" i="6"/>
  <c r="E329" i="6"/>
  <c r="E782" i="6"/>
  <c r="E725" i="6"/>
  <c r="E507" i="6"/>
  <c r="E464" i="6"/>
  <c r="E457" i="6"/>
  <c r="E419" i="6"/>
  <c r="E412" i="6"/>
  <c r="E48" i="6"/>
  <c r="E41" i="6"/>
  <c r="E795" i="6"/>
  <c r="E787" i="6"/>
  <c r="E549" i="6"/>
  <c r="E505" i="6"/>
  <c r="E794" i="6"/>
  <c r="E555" i="6"/>
  <c r="E519" i="6"/>
  <c r="E176" i="6"/>
  <c r="E649" i="6"/>
  <c r="E562" i="6"/>
  <c r="E373" i="6"/>
  <c r="E400" i="6"/>
  <c r="E2" i="6"/>
  <c r="E796" i="6"/>
  <c r="E768" i="6"/>
  <c r="E761" i="6"/>
  <c r="E754" i="6"/>
  <c r="E746" i="6"/>
  <c r="E702" i="6"/>
  <c r="E665" i="6"/>
  <c r="E491" i="6"/>
  <c r="E411" i="6"/>
  <c r="E288" i="6"/>
  <c r="E808" i="6"/>
  <c r="E9" i="6"/>
  <c r="E561" i="6"/>
  <c r="E279" i="6"/>
  <c r="E32" i="6"/>
  <c r="E343" i="6"/>
  <c r="E140" i="6"/>
  <c r="E357" i="6"/>
  <c r="E350" i="6"/>
  <c r="E153" i="6"/>
  <c r="E688" i="6"/>
  <c r="E188" i="6"/>
  <c r="E166" i="6"/>
  <c r="E717" i="6"/>
  <c r="E724" i="6"/>
  <c r="E378" i="6"/>
  <c r="E611" i="6"/>
  <c r="E75" i="6"/>
  <c r="E300" i="6"/>
  <c r="E314" i="6"/>
  <c r="E133" i="6"/>
  <c r="E103" i="6"/>
  <c r="E434" i="6"/>
  <c r="E426" i="6"/>
  <c r="E230" i="6"/>
  <c r="E17" i="6"/>
  <c r="E286" i="6"/>
  <c r="E582" i="6"/>
  <c r="E293" i="6"/>
  <c r="E625" i="6"/>
  <c r="E244" i="6"/>
  <c r="E646" i="6"/>
  <c r="E801" i="6"/>
  <c r="E482" i="6"/>
  <c r="E384" i="6"/>
  <c r="E364" i="6"/>
  <c r="E216" i="6"/>
  <c r="E194" i="6"/>
  <c r="E118" i="6"/>
  <c r="E53" i="6"/>
  <c r="E638" i="6"/>
  <c r="E624" i="6"/>
  <c r="E433" i="6"/>
  <c r="E377" i="6"/>
  <c r="E257" i="6"/>
  <c r="E132" i="6"/>
  <c r="E60" i="6"/>
  <c r="E16" i="6"/>
  <c r="E807" i="6"/>
  <c r="E766" i="6"/>
  <c r="E518" i="6"/>
  <c r="E327" i="6"/>
  <c r="E124" i="6"/>
  <c r="E88" i="6"/>
  <c r="E67" i="6"/>
  <c r="E799" i="6"/>
  <c r="E672" i="6"/>
  <c r="E552" i="6"/>
  <c r="E488" i="6"/>
  <c r="E403" i="6"/>
  <c r="E270" i="6"/>
  <c r="E200" i="6"/>
  <c r="E131" i="6"/>
  <c r="E94" i="6"/>
  <c r="E658" i="6"/>
  <c r="E587" i="6"/>
  <c r="E510" i="6"/>
  <c r="E396" i="6"/>
  <c r="E326" i="6"/>
  <c r="E164" i="6"/>
  <c r="E138" i="6"/>
  <c r="E51" i="6"/>
  <c r="E791" i="6"/>
  <c r="E644" i="6"/>
  <c r="E544" i="6"/>
  <c r="E530" i="6"/>
  <c r="E439" i="6"/>
  <c r="E423" i="6"/>
  <c r="E14" i="6"/>
  <c r="E714" i="6"/>
  <c r="E692" i="6"/>
  <c r="E494" i="6"/>
  <c r="E318" i="6"/>
  <c r="E241" i="6"/>
  <c r="E6" i="6"/>
  <c r="E728" i="6"/>
  <c r="E543" i="6"/>
  <c r="E479" i="6"/>
  <c r="E438" i="6"/>
  <c r="E368" i="6"/>
  <c r="E332" i="6"/>
  <c r="E129" i="6"/>
  <c r="E706" i="6"/>
  <c r="E684" i="6"/>
  <c r="E650" i="6"/>
  <c r="E614" i="6"/>
  <c r="E508" i="6"/>
  <c r="E452" i="6"/>
  <c r="E303" i="6"/>
  <c r="E289" i="6"/>
  <c r="E226" i="6"/>
  <c r="E177" i="6"/>
  <c r="E57" i="6"/>
  <c r="E391" i="6"/>
  <c r="E371" i="6"/>
  <c r="E306" i="6"/>
  <c r="E617" i="6"/>
  <c r="E504" i="6"/>
  <c r="E425" i="6"/>
  <c r="E342" i="6"/>
  <c r="E313" i="6"/>
  <c r="E285" i="6"/>
  <c r="E250" i="6"/>
  <c r="E229" i="6"/>
  <c r="E201" i="6"/>
  <c r="E74" i="6"/>
  <c r="E581" i="6"/>
  <c r="E525" i="6"/>
  <c r="E376" i="6"/>
  <c r="E179" i="6"/>
  <c r="E693" i="6"/>
  <c r="E580" i="6"/>
  <c r="E524" i="6"/>
  <c r="E389" i="6"/>
  <c r="E291" i="6"/>
  <c r="E207" i="6"/>
  <c r="E116" i="6"/>
  <c r="E87" i="6"/>
  <c r="E537" i="6"/>
  <c r="E402" i="6"/>
  <c r="E311" i="6"/>
  <c r="E199" i="6"/>
  <c r="E130" i="6"/>
  <c r="E707" i="6"/>
  <c r="E502" i="6"/>
  <c r="E325" i="6"/>
  <c r="E248" i="6"/>
  <c r="E227" i="6"/>
  <c r="E185" i="6"/>
  <c r="E150" i="6"/>
  <c r="E137" i="6"/>
  <c r="E790" i="6"/>
  <c r="E536" i="6"/>
  <c r="E486" i="6"/>
  <c r="E472" i="6"/>
  <c r="E213" i="6"/>
  <c r="E107" i="6"/>
  <c r="E691" i="6"/>
  <c r="E593" i="6"/>
  <c r="E564" i="6"/>
  <c r="E501" i="6"/>
  <c r="E339" i="6"/>
  <c r="E282" i="6"/>
  <c r="E247" i="6"/>
  <c r="E233" i="6"/>
  <c r="E114" i="6"/>
  <c r="E99" i="6"/>
  <c r="E789" i="6"/>
  <c r="E763" i="6"/>
  <c r="E734" i="6"/>
  <c r="E727" i="6"/>
  <c r="E720" i="6"/>
  <c r="E698" i="6"/>
  <c r="E656" i="6"/>
  <c r="E642" i="6"/>
  <c r="E600" i="6"/>
  <c r="E535" i="6"/>
  <c r="E437" i="6"/>
  <c r="E387" i="6"/>
  <c r="E275" i="6"/>
  <c r="E267" i="6"/>
  <c r="E219" i="6"/>
  <c r="E169" i="6"/>
  <c r="E49" i="6"/>
  <c r="E42" i="6"/>
  <c r="E35" i="6"/>
  <c r="E363" i="6"/>
  <c r="E630" i="6"/>
  <c r="E531" i="6"/>
  <c r="E608" i="6"/>
  <c r="E643" i="6"/>
  <c r="E34" i="6"/>
  <c r="E680" i="6"/>
  <c r="E397" i="6"/>
  <c r="E30" i="6"/>
  <c r="E21" i="6"/>
  <c r="E719" i="6"/>
  <c r="E712" i="6"/>
  <c r="E662" i="6"/>
  <c r="E655" i="6"/>
  <c r="E627" i="6"/>
  <c r="E599" i="6"/>
  <c r="E484" i="6"/>
  <c r="E450" i="6"/>
  <c r="E436" i="6"/>
  <c r="E323" i="6"/>
  <c r="E308" i="6"/>
  <c r="E218" i="6"/>
  <c r="E105" i="6"/>
  <c r="E723" i="6"/>
  <c r="E659" i="6"/>
  <c r="E588" i="6"/>
  <c r="E390" i="6"/>
  <c r="E538" i="6"/>
  <c r="E594" i="6"/>
  <c r="E294" i="6"/>
  <c r="E182" i="6"/>
  <c r="E55" i="6"/>
  <c r="E800" i="6"/>
  <c r="E709" i="6"/>
  <c r="E23" i="6"/>
  <c r="E759" i="6"/>
  <c r="E481" i="6"/>
  <c r="E679" i="6"/>
  <c r="E22" i="6"/>
  <c r="E29" i="6"/>
  <c r="E677" i="6"/>
  <c r="E781" i="6"/>
  <c r="E718" i="6"/>
  <c r="E711" i="6"/>
  <c r="E682" i="6"/>
  <c r="E661" i="6"/>
  <c r="E640" i="6"/>
  <c r="E476" i="6"/>
  <c r="E427" i="6"/>
  <c r="E399" i="6"/>
  <c r="E322" i="6"/>
  <c r="E231" i="6"/>
  <c r="E919" i="6"/>
  <c r="E73" i="6"/>
  <c r="E886" i="6"/>
  <c r="E778" i="6"/>
  <c r="E758" i="6"/>
  <c r="E737" i="6"/>
  <c r="E704" i="6"/>
  <c r="E616" i="6"/>
  <c r="E272" i="6"/>
  <c r="E203" i="6"/>
  <c r="E80" i="6"/>
  <c r="E66" i="6"/>
  <c r="E8" i="6"/>
  <c r="E851" i="6"/>
  <c r="E784" i="6"/>
  <c r="E771" i="6"/>
  <c r="E636" i="6"/>
  <c r="E596" i="6"/>
  <c r="E361" i="6"/>
  <c r="E278" i="6"/>
  <c r="E237" i="6"/>
  <c r="E72" i="6"/>
  <c r="E824" i="6"/>
  <c r="E750" i="6"/>
  <c r="E710" i="6"/>
  <c r="E675" i="6"/>
  <c r="E560" i="6"/>
  <c r="E487" i="6"/>
  <c r="E407" i="6"/>
  <c r="E374" i="6"/>
  <c r="E312" i="6"/>
  <c r="E168" i="6"/>
  <c r="E15" i="6"/>
  <c r="E999" i="6"/>
  <c r="E944" i="6"/>
  <c r="E905" i="6"/>
  <c r="E837" i="6"/>
  <c r="E783" i="6"/>
  <c r="E716" i="6"/>
  <c r="E696" i="6"/>
  <c r="E635" i="6"/>
  <c r="E243" i="6"/>
  <c r="E752" i="6"/>
  <c r="E610" i="6"/>
  <c r="E211" i="6"/>
  <c r="E534" i="6"/>
  <c r="E442" i="6"/>
  <c r="E648" i="6"/>
  <c r="E849" i="6"/>
  <c r="E641" i="6"/>
  <c r="E70" i="6"/>
  <c r="E990" i="6"/>
  <c r="E963" i="6"/>
  <c r="E775" i="6"/>
  <c r="E647" i="6"/>
  <c r="E620" i="6"/>
  <c r="E579" i="6"/>
  <c r="E499" i="6"/>
  <c r="E424" i="6"/>
  <c r="E262" i="6"/>
  <c r="E255" i="6"/>
  <c r="E104" i="6"/>
  <c r="E27" i="6"/>
  <c r="E805" i="6"/>
  <c r="E590" i="6"/>
  <c r="E38" i="6"/>
  <c r="E984" i="6"/>
  <c r="E722" i="6"/>
  <c r="E28" i="6"/>
  <c r="E769" i="6"/>
  <c r="E478" i="6"/>
  <c r="E235" i="6"/>
  <c r="E868" i="6"/>
  <c r="E12" i="6"/>
  <c r="E839" i="6"/>
  <c r="E554" i="6"/>
  <c r="E393" i="6"/>
  <c r="E256" i="6"/>
  <c r="E297" i="6"/>
  <c r="E996" i="6"/>
  <c r="E666" i="6"/>
  <c r="E653" i="6"/>
  <c r="E578" i="6"/>
  <c r="E451" i="6"/>
  <c r="E206" i="6"/>
  <c r="E96" i="6"/>
  <c r="E873" i="6"/>
  <c r="E731" i="6"/>
  <c r="E568" i="6"/>
  <c r="E122" i="6"/>
  <c r="E998" i="6"/>
  <c r="E936" i="6"/>
  <c r="E492" i="6"/>
  <c r="E338" i="6"/>
  <c r="E827" i="6"/>
  <c r="E281" i="6"/>
  <c r="E40" i="6"/>
  <c r="E197" i="6"/>
  <c r="E845" i="6"/>
  <c r="E975" i="6"/>
  <c r="E955" i="6"/>
  <c r="E948" i="6"/>
  <c r="E888" i="6"/>
  <c r="E793" i="6"/>
  <c r="E739" i="6"/>
  <c r="E678" i="6"/>
  <c r="E156" i="6"/>
  <c r="E818" i="6"/>
  <c r="E772" i="6"/>
  <c r="E690" i="6"/>
  <c r="E547" i="6"/>
  <c r="E348" i="6"/>
  <c r="E856" i="6"/>
  <c r="E695" i="6"/>
  <c r="E432" i="6"/>
  <c r="E950" i="6"/>
  <c r="E968" i="6"/>
  <c r="E874" i="6"/>
  <c r="E833" i="6"/>
  <c r="E806" i="6"/>
  <c r="E753" i="6"/>
  <c r="E671" i="6"/>
  <c r="E604" i="6"/>
  <c r="E591" i="6"/>
  <c r="E584" i="6"/>
  <c r="E548" i="6"/>
  <c r="E469" i="6"/>
  <c r="E370" i="6"/>
  <c r="E280" i="6"/>
  <c r="E225" i="6"/>
  <c r="E144" i="6"/>
  <c r="E46" i="6"/>
  <c r="E362" i="6"/>
  <c r="E330" i="6"/>
  <c r="E298" i="6"/>
  <c r="E273" i="6"/>
  <c r="E186" i="6"/>
  <c r="E136" i="6"/>
  <c r="E78" i="6"/>
  <c r="E58" i="6"/>
  <c r="E39" i="6"/>
  <c r="E33" i="6"/>
  <c r="E26" i="6"/>
  <c r="E979" i="6"/>
  <c r="E973" i="6"/>
  <c r="E967" i="6"/>
  <c r="E961" i="6"/>
  <c r="E867" i="6"/>
  <c r="E819" i="6"/>
  <c r="E812" i="6"/>
  <c r="E776" i="6"/>
  <c r="E744" i="6"/>
  <c r="E664" i="6"/>
  <c r="E566" i="6"/>
  <c r="E498" i="6"/>
  <c r="E467" i="6"/>
  <c r="E461" i="6"/>
  <c r="E455" i="6"/>
  <c r="E449" i="6"/>
  <c r="E355" i="6"/>
  <c r="E310" i="6"/>
  <c r="E266" i="6"/>
  <c r="E160" i="6"/>
  <c r="E154" i="6"/>
  <c r="E84" i="6"/>
  <c r="E64" i="6"/>
  <c r="E45" i="6"/>
  <c r="E571" i="6"/>
  <c r="E215" i="6"/>
  <c r="E102" i="6"/>
  <c r="E76" i="6"/>
  <c r="E995" i="6"/>
  <c r="E947" i="6"/>
  <c r="E940" i="6"/>
  <c r="E904" i="6"/>
  <c r="E872" i="6"/>
  <c r="E792" i="6"/>
  <c r="E694" i="6"/>
  <c r="E626" i="6"/>
  <c r="E595" i="6"/>
  <c r="E589" i="6"/>
  <c r="E583" i="6"/>
  <c r="E577" i="6"/>
  <c r="E483" i="6"/>
  <c r="E435" i="6"/>
  <c r="E428" i="6"/>
  <c r="E392" i="6"/>
  <c r="E360" i="6"/>
  <c r="E328" i="6"/>
  <c r="E296" i="6"/>
  <c r="E290" i="6"/>
  <c r="E234" i="6"/>
  <c r="E202" i="6"/>
  <c r="E184" i="6"/>
  <c r="E115" i="6"/>
  <c r="E108" i="6"/>
  <c r="E56" i="6"/>
  <c r="E24" i="6"/>
  <c r="E11" i="6"/>
  <c r="E607" i="6"/>
  <c r="E490" i="6"/>
  <c r="E422" i="6"/>
  <c r="E284" i="6"/>
  <c r="E259" i="6"/>
  <c r="E209" i="6"/>
  <c r="E83" i="6"/>
  <c r="E891" i="6"/>
  <c r="E810" i="6"/>
  <c r="E742" i="6"/>
  <c r="E632" i="6"/>
  <c r="E612" i="6"/>
  <c r="E527" i="6"/>
  <c r="E515" i="6"/>
  <c r="E496" i="6"/>
  <c r="E415" i="6"/>
  <c r="E379" i="6"/>
  <c r="E264" i="6"/>
  <c r="E221" i="6"/>
  <c r="E171" i="6"/>
  <c r="E152" i="6"/>
  <c r="E82" i="6"/>
  <c r="E62" i="6"/>
  <c r="E10" i="6"/>
  <c r="E952" i="6"/>
  <c r="E932" i="6"/>
  <c r="E847" i="6"/>
  <c r="E835" i="6"/>
  <c r="E816" i="6"/>
  <c r="E735" i="6"/>
  <c r="E699" i="6"/>
  <c r="E618" i="6"/>
  <c r="E550" i="6"/>
  <c r="E440" i="6"/>
  <c r="E420" i="6"/>
  <c r="E346" i="6"/>
  <c r="E307" i="6"/>
  <c r="E251" i="6"/>
  <c r="E239" i="6"/>
  <c r="E195" i="6"/>
  <c r="E189" i="6"/>
  <c r="E170" i="6"/>
  <c r="E120" i="6"/>
  <c r="E100" i="6"/>
  <c r="E705" i="6"/>
  <c r="E408" i="6"/>
  <c r="E938" i="6"/>
  <c r="E870" i="6"/>
  <c r="E760" i="6"/>
  <c r="E740" i="6"/>
  <c r="E232" i="6"/>
  <c r="E163" i="6"/>
  <c r="E106" i="6"/>
  <c r="E943" i="6"/>
  <c r="E687" i="6"/>
  <c r="E205" i="6"/>
  <c r="E639" i="6"/>
  <c r="E575" i="6"/>
  <c r="E157" i="6"/>
  <c r="E877" i="6"/>
  <c r="E749" i="6"/>
  <c r="E621" i="6"/>
  <c r="E557" i="6"/>
  <c r="E493" i="6"/>
  <c r="E429" i="6"/>
  <c r="E365" i="6"/>
  <c r="E127" i="6"/>
  <c r="E109" i="6"/>
  <c r="E335" i="6"/>
  <c r="E317" i="6"/>
  <c r="E79" i="6"/>
  <c r="E287" i="6"/>
  <c r="E269" i="6"/>
  <c r="E879" i="6"/>
  <c r="E559" i="6"/>
  <c r="E431" i="6"/>
  <c r="E111" i="6"/>
  <c r="E93" i="6"/>
  <c r="E63" i="6"/>
  <c r="E925" i="6"/>
  <c r="E541" i="6"/>
  <c r="E253" i="6"/>
  <c r="E159" i="6"/>
  <c r="E495" i="6"/>
  <c r="E367" i="6"/>
  <c r="E733" i="6"/>
  <c r="E477" i="6"/>
  <c r="E319" i="6"/>
  <c r="E271" i="6"/>
  <c r="E223" i="6"/>
  <c r="E895" i="6"/>
  <c r="E383" i="6"/>
  <c r="E175" i="6"/>
  <c r="E31" i="6"/>
  <c r="E829" i="6"/>
  <c r="E765" i="6"/>
  <c r="E701" i="6"/>
  <c r="E445" i="6"/>
  <c r="E191" i="6"/>
  <c r="E125" i="6"/>
  <c r="E351" i="6"/>
  <c r="E333" i="6"/>
  <c r="E95" i="6"/>
  <c r="E751" i="6"/>
  <c r="E349" i="6"/>
  <c r="E989" i="6"/>
  <c r="E861" i="6"/>
  <c r="E669" i="6"/>
  <c r="E301" i="6"/>
  <c r="E13" i="6"/>
  <c r="E959" i="6"/>
  <c r="E831" i="6"/>
  <c r="E767" i="6"/>
  <c r="E703" i="6"/>
  <c r="E511" i="6"/>
  <c r="E447" i="6"/>
  <c r="E61" i="6"/>
  <c r="E957" i="6"/>
  <c r="E637" i="6"/>
  <c r="E509" i="6"/>
  <c r="E381" i="6"/>
  <c r="E173" i="6"/>
  <c r="E143" i="6"/>
  <c r="E991" i="6"/>
  <c r="E927" i="6"/>
  <c r="E141" i="6"/>
  <c r="E815" i="6"/>
  <c r="E623" i="6"/>
  <c r="E797" i="6"/>
  <c r="E605" i="6"/>
  <c r="E413" i="6"/>
  <c r="E941" i="6"/>
  <c r="E813" i="6"/>
  <c r="E685" i="6"/>
  <c r="E893" i="6"/>
  <c r="E573" i="6"/>
  <c r="E77" i="6"/>
  <c r="E47" i="6"/>
</calcChain>
</file>

<file path=xl/sharedStrings.xml><?xml version="1.0" encoding="utf-8"?>
<sst xmlns="http://schemas.openxmlformats.org/spreadsheetml/2006/main" count="21110" uniqueCount="519">
  <si>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</si>
  <si>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</si>
  <si>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</si>
  <si>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</si>
  <si>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</si>
  <si>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</si>
  <si>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</si>
  <si>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</si>
  <si>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</si>
  <si>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</si>
  <si>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</si>
  <si>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</si>
  <si>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</si>
  <si>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</si>
  <si>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</si>
  <si>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</si>
  <si>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</si>
  <si>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</si>
  <si>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</si>
  <si>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</si>
  <si>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</si>
  <si>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</si>
  <si>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</si>
  <si>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</si>
  <si>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</si>
  <si>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</si>
  <si>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</si>
  <si>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</si>
  <si>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</si>
  <si>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</si>
  <si>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</si>
  <si>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</si>
  <si>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</si>
  <si>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</si>
  <si>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</si>
  <si>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</si>
  <si>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</si>
  <si>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</si>
  <si>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</si>
  <si>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</si>
  <si>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</si>
  <si>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</si>
  <si>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</si>
  <si>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</si>
  <si>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</si>
  <si>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</si>
  <si>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</si>
  <si>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</si>
  <si>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</si>
  <si>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</si>
  <si>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</si>
  <si>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</si>
  <si>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</si>
  <si>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</si>
  <si>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</si>
  <si>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</si>
  <si>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</si>
  <si>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</si>
  <si>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</si>
  <si>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</si>
  <si>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</si>
  <si>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</si>
  <si>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</si>
  <si>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</si>
  <si>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</si>
  <si>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</si>
  <si>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</si>
  <si>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</si>
  <si>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</si>
  <si>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</si>
  <si>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</si>
  <si>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</si>
  <si>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</si>
  <si>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</si>
  <si>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</si>
  <si>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</si>
  <si>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</si>
  <si>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</si>
  <si>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</si>
  <si>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</si>
  <si>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</si>
  <si>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</si>
  <si>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</si>
  <si>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</si>
  <si>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</si>
  <si>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</si>
  <si>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</si>
  <si>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</si>
  <si>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</si>
  <si>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</si>
  <si>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</si>
  <si>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</si>
  <si>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</si>
  <si>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</si>
  <si>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</si>
  <si>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</si>
  <si>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</si>
  <si>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</si>
  <si>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</si>
  <si>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</si>
  <si>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</si>
  <si>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</si>
  <si>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</si>
  <si>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</si>
  <si>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</si>
  <si>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</si>
  <si>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</si>
  <si>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</si>
  <si>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</si>
  <si>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</si>
  <si>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</si>
  <si>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</si>
  <si>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</si>
  <si>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</si>
  <si>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</si>
  <si>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</si>
  <si>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</si>
  <si>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</si>
  <si>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</si>
  <si>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</si>
  <si>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</si>
  <si>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</si>
  <si>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</si>
  <si>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</si>
  <si>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</si>
  <si>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</si>
  <si>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</si>
  <si>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</si>
  <si>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</si>
  <si>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</si>
  <si>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</si>
  <si>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</si>
  <si>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</si>
  <si>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</si>
  <si>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</si>
  <si>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</si>
  <si>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</si>
  <si>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</si>
  <si>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</si>
  <si>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</si>
  <si>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</si>
  <si>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</si>
  <si>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</si>
  <si>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</si>
  <si>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</si>
  <si>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</si>
  <si>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</si>
  <si>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</si>
  <si>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</si>
  <si>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</si>
  <si>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</si>
  <si>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</si>
  <si>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</si>
  <si>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</si>
  <si>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</si>
  <si>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</si>
  <si>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</si>
  <si>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</si>
  <si>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</si>
  <si>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</si>
  <si>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</si>
  <si>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</si>
  <si>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</si>
  <si>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</si>
  <si>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</si>
  <si>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</si>
  <si>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</si>
  <si>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</si>
  <si>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</si>
  <si>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</si>
  <si>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</si>
  <si>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</si>
  <si>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</si>
  <si>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</si>
  <si>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</si>
  <si>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</si>
  <si>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</si>
  <si>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</si>
  <si>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</si>
  <si>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</si>
  <si>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</si>
  <si>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</si>
  <si>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</si>
  <si>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</si>
  <si>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</si>
  <si>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</si>
  <si>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</si>
  <si>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</si>
  <si>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</si>
  <si>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</si>
  <si>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</si>
  <si>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</si>
  <si>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</si>
  <si>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</si>
  <si>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</si>
  <si>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</si>
  <si>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</si>
  <si>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</si>
  <si>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</si>
  <si>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</si>
  <si>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</si>
  <si>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</si>
  <si>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</si>
  <si>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</si>
  <si>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</si>
  <si>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</si>
  <si>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</si>
  <si>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</si>
  <si>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</si>
  <si>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</si>
  <si>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</si>
  <si>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</si>
  <si>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</si>
  <si>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</si>
  <si>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</si>
  <si>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</si>
  <si>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</si>
  <si>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</si>
  <si>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</si>
  <si>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</si>
  <si>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</si>
  <si>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</si>
  <si>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</si>
  <si>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</si>
  <si>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</si>
  <si>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</si>
  <si>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</si>
  <si>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</si>
  <si>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</si>
  <si>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</si>
  <si>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</si>
  <si>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</si>
  <si>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</si>
  <si>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</si>
  <si>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</si>
  <si>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</si>
  <si>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</si>
  <si>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</si>
  <si>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</si>
  <si>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</si>
  <si>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</si>
  <si>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</si>
  <si>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</si>
  <si>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</si>
  <si>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</si>
  <si>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</si>
  <si>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</si>
  <si>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</si>
  <si>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</si>
  <si>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</si>
  <si>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</si>
  <si>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</si>
  <si>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</si>
  <si>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</si>
  <si>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</si>
  <si>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</si>
  <si>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</si>
  <si>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</si>
  <si>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</si>
  <si>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</si>
  <si>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</si>
  <si>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</si>
  <si>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</si>
  <si>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</si>
  <si>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</si>
  <si>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</si>
  <si>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</si>
  <si>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</si>
  <si>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</si>
  <si>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</si>
  <si>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</si>
  <si>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</si>
  <si>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</si>
  <si>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</si>
  <si>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</si>
  <si>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</si>
  <si>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</si>
  <si>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</si>
  <si>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</si>
  <si>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</si>
  <si>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</si>
  <si>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</si>
  <si>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</si>
  <si>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</si>
  <si>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</si>
  <si>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</si>
  <si>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</si>
  <si>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</si>
  <si>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</si>
  <si>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</si>
  <si>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</si>
  <si>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</si>
  <si>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</si>
  <si>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</si>
  <si>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</si>
  <si>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</si>
  <si>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</si>
  <si>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</si>
  <si>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</si>
  <si>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</si>
  <si>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</si>
  <si>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</si>
  <si>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</si>
  <si>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</si>
  <si>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</si>
  <si>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</si>
  <si>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</si>
  <si>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</si>
  <si>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</si>
  <si>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</si>
  <si>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</si>
  <si>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</si>
  <si>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</si>
  <si>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</si>
  <si>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</si>
  <si>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</si>
  <si>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</si>
  <si>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</si>
  <si>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</si>
  <si>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</si>
  <si>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</si>
  <si>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</si>
  <si>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</si>
  <si>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</si>
  <si>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</si>
  <si>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</si>
  <si>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</si>
  <si>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</si>
  <si>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</si>
  <si>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</si>
  <si>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</si>
  <si>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</si>
  <si>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</si>
  <si>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</si>
  <si>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</si>
  <si>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</si>
  <si>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</si>
  <si>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</si>
  <si>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</si>
  <si>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</si>
  <si>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</si>
  <si>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</si>
  <si>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</si>
  <si>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</si>
  <si>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</si>
  <si>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</si>
  <si>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</si>
  <si>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</si>
  <si>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</si>
  <si>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</si>
  <si>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</si>
  <si>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</si>
  <si>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</si>
  <si>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</si>
  <si>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</si>
  <si>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</si>
  <si>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</si>
  <si>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</si>
  <si>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</si>
  <si>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</si>
  <si>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</si>
  <si>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</si>
  <si>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</si>
  <si>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</si>
  <si>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</si>
  <si>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</si>
  <si>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</si>
  <si>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</si>
  <si>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</si>
  <si>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</si>
  <si>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</si>
  <si>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</si>
  <si>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</si>
  <si>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</si>
  <si>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</si>
  <si>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</si>
  <si>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</si>
  <si>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</si>
  <si>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</si>
  <si>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</si>
  <si>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</si>
  <si>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</si>
  <si>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</si>
  <si>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</si>
  <si>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</si>
  <si>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</si>
  <si>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</si>
  <si>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</si>
  <si>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</si>
  <si>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</si>
  <si>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</si>
  <si>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</si>
  <si>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</si>
  <si>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</si>
  <si>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</si>
  <si>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</si>
  <si>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</si>
  <si>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</si>
  <si>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</si>
  <si>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</si>
  <si>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</si>
  <si>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</si>
  <si>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</si>
  <si>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</si>
  <si>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</si>
  <si>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</si>
  <si>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</si>
  <si>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</si>
  <si>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</si>
  <si>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</si>
  <si>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</si>
  <si>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</si>
  <si>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</si>
  <si>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</si>
  <si>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</si>
  <si>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</si>
  <si>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</si>
  <si>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</si>
  <si>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</si>
  <si>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</si>
  <si>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</si>
  <si>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</si>
  <si>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</si>
  <si>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</si>
  <si>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</si>
  <si>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</si>
  <si>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</si>
  <si>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</si>
  <si>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</si>
  <si>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</si>
  <si>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</si>
  <si>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</si>
  <si>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</si>
  <si>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</si>
  <si>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</si>
  <si>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</si>
  <si>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</si>
  <si>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</si>
  <si>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</si>
  <si>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</si>
  <si>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</si>
  <si>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</si>
  <si>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</si>
  <si>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</si>
  <si>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</si>
  <si>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</si>
  <si>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</si>
  <si>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</si>
  <si>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</si>
  <si>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</si>
  <si>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</si>
  <si>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</si>
  <si>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</si>
  <si>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</si>
  <si>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</si>
  <si>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</si>
  <si>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</si>
  <si>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</si>
  <si>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</si>
  <si>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</si>
  <si>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</si>
  <si>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</si>
  <si>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</si>
  <si>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</si>
  <si>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</si>
  <si>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</si>
  <si>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</si>
  <si>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</si>
  <si>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</si>
  <si>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</si>
  <si>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</si>
  <si>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</si>
  <si>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</si>
  <si>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</si>
  <si>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</si>
  <si>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</si>
  <si>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</si>
  <si>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</si>
  <si>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</si>
  <si>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</si>
  <si>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</si>
  <si>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</si>
  <si>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</si>
  <si>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</si>
  <si>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</si>
  <si>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</si>
  <si>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</si>
  <si>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</si>
  <si>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</si>
  <si>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</si>
  <si>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</si>
  <si>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</si>
  <si>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</si>
  <si>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</si>
  <si>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</si>
  <si>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</si>
  <si>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</si>
  <si>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</si>
  <si>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</si>
  <si>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</si>
  <si>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</si>
  <si>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</si>
  <si>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</si>
  <si>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</si>
  <si>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</si>
  <si>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</si>
  <si>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 xml:space="preserve"> </t>
  </si>
  <si>
    <t>первый проект</t>
  </si>
  <si>
    <t>последний проект</t>
  </si>
  <si>
    <t>менеджер клиент</t>
  </si>
  <si>
    <t>менеджер и клиент</t>
  </si>
  <si>
    <t>дни</t>
  </si>
  <si>
    <t>проекты</t>
  </si>
  <si>
    <t>сумма</t>
  </si>
  <si>
    <t>менеджеры</t>
  </si>
  <si>
    <t>год</t>
  </si>
  <si>
    <t>месяц</t>
  </si>
  <si>
    <t>год-месяц</t>
  </si>
  <si>
    <t>кол-во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</si>
</sst>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7" fillId="0" borderId="0" xfId="0" quotePrefix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  <xf numFmtId="9" fontId="2" fillId="3" borderId="1" xfId="2" applyNumberFormat="1" applyFill="1" applyBorder="1" applyAlignment="1">
      <alignment horizontal="left"/>
    </xf>
    <xf numFmtId="164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zoomScale="85" zoomScaleNormal="85" workbookViewId="0">
      <selection sqref="A1:E1048576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25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25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25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25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25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25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25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25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25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25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25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25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25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25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25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25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25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25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25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25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25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25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25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25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25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25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25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25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25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25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25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25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25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25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25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25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25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25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25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25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25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25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25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25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25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25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25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25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25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25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25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25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25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25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25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25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25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25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25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25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25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25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25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25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25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25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25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25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25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25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25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25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25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25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25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25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25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25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25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25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25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25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25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25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25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25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25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25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25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25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25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25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25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25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25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25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25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25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25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25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25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25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25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25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25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25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25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25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25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25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25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25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25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25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25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25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25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25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25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25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25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25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25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25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25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25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25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25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25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25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25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25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25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25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25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25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25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25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25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25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25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25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25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25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25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25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25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25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25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25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25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25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25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25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25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25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25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25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25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25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25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25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25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25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25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25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25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25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25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25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25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25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25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25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25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25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25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25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25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25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25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25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25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25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25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25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25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25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25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25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25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25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25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25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25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25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25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25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25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25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25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25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25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25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25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25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25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25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25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25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25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25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25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25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25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25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25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25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25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25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25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25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25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25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25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25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25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25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25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25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25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25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25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25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25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25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25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25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25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25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25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25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25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25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25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25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25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25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25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25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25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25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25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25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25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25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25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25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25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25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25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25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25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25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25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25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25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25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25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25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25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25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25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25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25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25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25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25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25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25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25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25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25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25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25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25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25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25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25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25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25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25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25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25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25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25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25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25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25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25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25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25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25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25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25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25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25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25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25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25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25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25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25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25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25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25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25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25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25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25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25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25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25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25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25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25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25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25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25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25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25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25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25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25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25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25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25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25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25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25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25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25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25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25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25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25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25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25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25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25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25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25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25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25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25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25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25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25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25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25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25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25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25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25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25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25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25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25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25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25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25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25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25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25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25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25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25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25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25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25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25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25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25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25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25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25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25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25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25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25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25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25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25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25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25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25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25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25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25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25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25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25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25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25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25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25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25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25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25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25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25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25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25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25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25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25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25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25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25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25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25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25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25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25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25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25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25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25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25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25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25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25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25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25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25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25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25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25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25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25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25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25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25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25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25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25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25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25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25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25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25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25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25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25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25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25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25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25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25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25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25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25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25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25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25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25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25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25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25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25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25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25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25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25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25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25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25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25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25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25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25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25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25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25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25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25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25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25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25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25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25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25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25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25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25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25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25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25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25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25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25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25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25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25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25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25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25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25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25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25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25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25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25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25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25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25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25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25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25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25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25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25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25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25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25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25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25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25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25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25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25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25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25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25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25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25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25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25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25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25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25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25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25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25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25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25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25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25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25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25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25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25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25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25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25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25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25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25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25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25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25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25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25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25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25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25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25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25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25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25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25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25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25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25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25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25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25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25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25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25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25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25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25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25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25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25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25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25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25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25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25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25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25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25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25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25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25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25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25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25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25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25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25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25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25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25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25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25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25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25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25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25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25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25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25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25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25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25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25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25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25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25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25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25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25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25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25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25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25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25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25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25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25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25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25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25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25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25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25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25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25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25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25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25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25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25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25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25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25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25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25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25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25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25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25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25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25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25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25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25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25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25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25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25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25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25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25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25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25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25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25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25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25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25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25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25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25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25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25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25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25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25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25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25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25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25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25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25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25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25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25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25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25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25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25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25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25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25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25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25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25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25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25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25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25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25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25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25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25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25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25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25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25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25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25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25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25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25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25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25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25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25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25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25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25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25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25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25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25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25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25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25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25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25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25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25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25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25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25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25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25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25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25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25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25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25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25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25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25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25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25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25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25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25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25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25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25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25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25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25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25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25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25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25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25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25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25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25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25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25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25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25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25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25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25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25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25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25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25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25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25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25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25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25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25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25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25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25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25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25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25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25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25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25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25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25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25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25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25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25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25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25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25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25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25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25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25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25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25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25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25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25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25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25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25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25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25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25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25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25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25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25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25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25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25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25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25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25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25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25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25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25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25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25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25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25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25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25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25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25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25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25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25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25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25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25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25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25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25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25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25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25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25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25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25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25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25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25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25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25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25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25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25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25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25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25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25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25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25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25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25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25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25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25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25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25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25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25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25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25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25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25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25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25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25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25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25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25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25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25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25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25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25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25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25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25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25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25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25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25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25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25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25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25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25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25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25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25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25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25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25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25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25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25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25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25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25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25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25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25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25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25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25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25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25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25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25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25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25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25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25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25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25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25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25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25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25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25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25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25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25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25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25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25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25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25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25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25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25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25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25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25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25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25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25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25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25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25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25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25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25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25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25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25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25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25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25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25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25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25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25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25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25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25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25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25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25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25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25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25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25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25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25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25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25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25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25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25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25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25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25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25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25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25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25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25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25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25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80DB-73A8-47DF-A843-367624AB7C46}">
  <dimension ref="A1:Q1001"/>
  <sheetViews>
    <sheetView topLeftCell="C1" zoomScale="80" zoomScaleNormal="80" workbookViewId="0">
      <selection activeCell="H32" sqref="H32"/>
    </sheetView>
  </sheetViews>
  <sheetFormatPr defaultRowHeight="15" x14ac:dyDescent="0.25"/>
  <cols>
    <col min="1" max="1" width="33" customWidth="1"/>
    <col min="4" max="4" width="33" customWidth="1"/>
    <col min="5" max="5" width="35.42578125" bestFit="1" customWidth="1"/>
    <col min="6" max="6" width="17" customWidth="1"/>
    <col min="7" max="7" width="18.7109375" customWidth="1"/>
    <col min="8" max="8" width="24.140625" customWidth="1"/>
    <col min="10" max="10" width="53" hidden="1" customWidth="1"/>
    <col min="11" max="12" width="33" hidden="1" customWidth="1"/>
    <col min="13" max="13" width="12" hidden="1" customWidth="1"/>
    <col min="14" max="14" width="62.85546875" bestFit="1" customWidth="1"/>
    <col min="15" max="16" width="33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1" t="s">
        <v>507</v>
      </c>
      <c r="G1" s="21" t="s">
        <v>508</v>
      </c>
      <c r="H1" s="21" t="s">
        <v>511</v>
      </c>
      <c r="J1" s="21" t="s">
        <v>509</v>
      </c>
      <c r="K1" s="1" t="s">
        <v>0</v>
      </c>
      <c r="L1" s="1" t="s">
        <v>1</v>
      </c>
      <c r="M1" s="1" t="s">
        <v>2</v>
      </c>
      <c r="N1" s="21" t="s">
        <v>510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8</v>
      </c>
      <c r="D2" t="s">
        <v>8</v>
      </c>
      <c r="E2" t="s">
        <v>64</v>
      </c>
      <c r="F2" t="str">
        <f>VLOOKUP(D2&amp;E2,J:M,4,0)</f>
        <v>2024-02-08</v>
      </c>
      <c r="G2" t="str">
        <f>VLOOKUP(D2&amp;E2,N:Q,4,0)</f>
        <v>2024-02-08</v>
      </c>
      <c r="H2">
        <f>G2-F2</f>
        <v>0</v>
      </c>
      <c r="J2" t="str">
        <f>K2&amp;L2</f>
        <v>Ткаченко Андрей ОлеговичЛебедев Павел Кириллович</v>
      </c>
      <c r="K2" t="s">
        <v>5</v>
      </c>
      <c r="L2" t="s">
        <v>6</v>
      </c>
      <c r="M2" t="s">
        <v>7</v>
      </c>
      <c r="N2" t="str">
        <f>O2&amp;P2</f>
        <v>Иванова Анна СергеевнаАлексеева Виктория Александровна</v>
      </c>
      <c r="O2" t="s">
        <v>48</v>
      </c>
      <c r="P2" t="s">
        <v>195</v>
      </c>
      <c r="Q2" t="s">
        <v>454</v>
      </c>
    </row>
    <row r="3" spans="1:17" x14ac:dyDescent="0.25">
      <c r="A3" t="s">
        <v>15</v>
      </c>
      <c r="D3" t="s">
        <v>8</v>
      </c>
      <c r="E3" t="s">
        <v>195</v>
      </c>
      <c r="F3" t="str">
        <f t="shared" ref="F3:F66" si="0">VLOOKUP(D3&amp;E3,J:M,4,0)</f>
        <v>2024-05-20</v>
      </c>
      <c r="G3" t="str">
        <f t="shared" ref="G3:G66" si="1">VLOOKUP(D3&amp;E3,N:Q,4,0)</f>
        <v>2024-05-20</v>
      </c>
      <c r="H3">
        <f t="shared" ref="H3:H66" si="2">G3-F3</f>
        <v>0</v>
      </c>
      <c r="J3" t="str">
        <f t="shared" ref="J3:J66" si="3">K3&amp;L3</f>
        <v>Белов Алексей КонстантиновичПопова Ольга Егоровна</v>
      </c>
      <c r="K3" t="s">
        <v>8</v>
      </c>
      <c r="L3" t="s">
        <v>9</v>
      </c>
      <c r="M3" t="s">
        <v>7</v>
      </c>
      <c r="N3" t="str">
        <f t="shared" ref="N3:N66" si="4">O3&amp;P3</f>
        <v>Иванова Анна СергеевнаСидоров Михаил Артемович</v>
      </c>
      <c r="O3" t="s">
        <v>48</v>
      </c>
      <c r="P3" t="s">
        <v>185</v>
      </c>
      <c r="Q3" t="s">
        <v>454</v>
      </c>
    </row>
    <row r="4" spans="1:17" x14ac:dyDescent="0.25">
      <c r="A4" t="s">
        <v>48</v>
      </c>
      <c r="D4" t="s">
        <v>8</v>
      </c>
      <c r="E4" t="s">
        <v>60</v>
      </c>
      <c r="F4" t="str">
        <f t="shared" si="0"/>
        <v>2023-11-27</v>
      </c>
      <c r="G4" t="str">
        <f t="shared" si="1"/>
        <v>2023-11-27</v>
      </c>
      <c r="H4">
        <f t="shared" si="2"/>
        <v>0</v>
      </c>
      <c r="J4" t="str">
        <f t="shared" si="3"/>
        <v>Новикова Ольга ПетровнаПопова Екатерина Владимировна</v>
      </c>
      <c r="K4" t="s">
        <v>10</v>
      </c>
      <c r="L4" t="s">
        <v>11</v>
      </c>
      <c r="M4" t="s">
        <v>7</v>
      </c>
      <c r="N4" t="str">
        <f t="shared" si="4"/>
        <v>Ткаченко Андрей ОлеговичИванова Александра Никитична</v>
      </c>
      <c r="O4" t="s">
        <v>5</v>
      </c>
      <c r="P4" t="s">
        <v>264</v>
      </c>
      <c r="Q4" t="s">
        <v>454</v>
      </c>
    </row>
    <row r="5" spans="1:17" x14ac:dyDescent="0.25">
      <c r="A5" t="s">
        <v>23</v>
      </c>
      <c r="D5" t="s">
        <v>8</v>
      </c>
      <c r="E5" t="s">
        <v>158</v>
      </c>
      <c r="F5" t="str">
        <f t="shared" si="0"/>
        <v>2024-04-29</v>
      </c>
      <c r="G5" t="str">
        <f t="shared" si="1"/>
        <v>2024-04-29</v>
      </c>
      <c r="H5">
        <f t="shared" si="2"/>
        <v>0</v>
      </c>
      <c r="J5" t="str">
        <f t="shared" si="3"/>
        <v>Сидорова Елена ВасильевнаСидоров Артем Викторович</v>
      </c>
      <c r="K5" t="s">
        <v>12</v>
      </c>
      <c r="L5" t="s">
        <v>13</v>
      </c>
      <c r="M5" t="s">
        <v>14</v>
      </c>
      <c r="N5" t="str">
        <f t="shared" si="4"/>
        <v>Новикова Ольга ПетровнаСмирнов Дмитрий Александрович</v>
      </c>
      <c r="O5" t="s">
        <v>10</v>
      </c>
      <c r="P5" t="s">
        <v>20</v>
      </c>
      <c r="Q5" t="s">
        <v>453</v>
      </c>
    </row>
    <row r="6" spans="1:17" x14ac:dyDescent="0.25">
      <c r="A6" t="s">
        <v>10</v>
      </c>
      <c r="D6" t="s">
        <v>8</v>
      </c>
      <c r="E6" t="s">
        <v>148</v>
      </c>
      <c r="F6" t="str">
        <f t="shared" si="0"/>
        <v>2024-06-05</v>
      </c>
      <c r="G6" t="str">
        <f t="shared" si="1"/>
        <v>2024-06-05</v>
      </c>
      <c r="H6">
        <f t="shared" si="2"/>
        <v>0</v>
      </c>
      <c r="J6" t="str">
        <f t="shared" si="3"/>
        <v>Громова Мария ИльиничнаНовиков Алексей Александрович</v>
      </c>
      <c r="K6" t="s">
        <v>15</v>
      </c>
      <c r="L6" t="s">
        <v>16</v>
      </c>
      <c r="M6" t="s">
        <v>14</v>
      </c>
      <c r="N6" t="str">
        <f t="shared" si="4"/>
        <v>Новикова Ольга ПетровнаФедорова Полина Павловна</v>
      </c>
      <c r="O6" t="s">
        <v>10</v>
      </c>
      <c r="P6" t="s">
        <v>244</v>
      </c>
      <c r="Q6" t="s">
        <v>453</v>
      </c>
    </row>
    <row r="7" spans="1:17" x14ac:dyDescent="0.25">
      <c r="A7" t="s">
        <v>17</v>
      </c>
      <c r="D7" t="s">
        <v>8</v>
      </c>
      <c r="E7" t="s">
        <v>95</v>
      </c>
      <c r="F7" t="str">
        <f t="shared" si="0"/>
        <v>2023-10-16</v>
      </c>
      <c r="G7" t="str">
        <f t="shared" si="1"/>
        <v>2023-10-16</v>
      </c>
      <c r="H7">
        <f t="shared" si="2"/>
        <v>0</v>
      </c>
      <c r="J7" t="str">
        <f t="shared" si="3"/>
        <v>Орлов Павел ДенисовичСидорова Полина Александровна</v>
      </c>
      <c r="K7" t="s">
        <v>17</v>
      </c>
      <c r="L7" t="s">
        <v>18</v>
      </c>
      <c r="M7" t="s">
        <v>14</v>
      </c>
      <c r="N7" t="str">
        <f t="shared" si="4"/>
        <v>Яковлев Артем ИгоревичКозлов Артур Андреевич</v>
      </c>
      <c r="O7" t="s">
        <v>52</v>
      </c>
      <c r="P7" t="s">
        <v>63</v>
      </c>
      <c r="Q7" t="s">
        <v>453</v>
      </c>
    </row>
    <row r="8" spans="1:17" x14ac:dyDescent="0.25">
      <c r="A8" t="s">
        <v>36</v>
      </c>
      <c r="D8" t="s">
        <v>8</v>
      </c>
      <c r="E8" t="s">
        <v>47</v>
      </c>
      <c r="F8" t="str">
        <f t="shared" si="0"/>
        <v>2023-10-26</v>
      </c>
      <c r="G8" t="str">
        <f t="shared" si="1"/>
        <v>2024-01-30</v>
      </c>
      <c r="H8">
        <f t="shared" si="2"/>
        <v>96</v>
      </c>
      <c r="J8" t="str">
        <f t="shared" si="3"/>
        <v>Белов Алексей КонстантиновичЕгорова Полина Сергеевна</v>
      </c>
      <c r="K8" t="s">
        <v>8</v>
      </c>
      <c r="L8" t="s">
        <v>19</v>
      </c>
      <c r="M8" t="s">
        <v>14</v>
      </c>
      <c r="N8" t="str">
        <f t="shared" si="4"/>
        <v>Кузнецов Дмитрий ЛьвовичИванова Анна Викторовна</v>
      </c>
      <c r="O8" t="s">
        <v>23</v>
      </c>
      <c r="P8" t="s">
        <v>281</v>
      </c>
      <c r="Q8" t="s">
        <v>452</v>
      </c>
    </row>
    <row r="9" spans="1:17" x14ac:dyDescent="0.25">
      <c r="A9" t="s">
        <v>46</v>
      </c>
      <c r="D9" t="s">
        <v>8</v>
      </c>
      <c r="E9" t="s">
        <v>116</v>
      </c>
      <c r="F9" t="str">
        <f t="shared" si="0"/>
        <v>2024-05-31</v>
      </c>
      <c r="G9" t="str">
        <f t="shared" si="1"/>
        <v>2024-05-31</v>
      </c>
      <c r="H9">
        <f t="shared" si="2"/>
        <v>0</v>
      </c>
      <c r="J9" t="str">
        <f t="shared" si="3"/>
        <v>Новикова Ольга ПетровнаСмирнов Дмитрий Александрович</v>
      </c>
      <c r="K9" t="s">
        <v>10</v>
      </c>
      <c r="L9" t="s">
        <v>20</v>
      </c>
      <c r="M9" t="s">
        <v>21</v>
      </c>
      <c r="N9" t="str">
        <f t="shared" si="4"/>
        <v>Орлов Павел ДенисовичПавлов Константин Никитич</v>
      </c>
      <c r="O9" t="s">
        <v>17</v>
      </c>
      <c r="P9" t="s">
        <v>232</v>
      </c>
      <c r="Q9" t="s">
        <v>452</v>
      </c>
    </row>
    <row r="10" spans="1:17" x14ac:dyDescent="0.25">
      <c r="A10" t="s">
        <v>12</v>
      </c>
      <c r="D10" t="s">
        <v>8</v>
      </c>
      <c r="E10" t="s">
        <v>37</v>
      </c>
      <c r="F10" t="str">
        <f t="shared" si="0"/>
        <v>2023-12-27</v>
      </c>
      <c r="G10" t="str">
        <f t="shared" si="1"/>
        <v>2023-12-27</v>
      </c>
      <c r="H10">
        <f t="shared" si="2"/>
        <v>0</v>
      </c>
      <c r="J10" t="str">
        <f t="shared" si="3"/>
        <v>Новикова Ольга ПетровнаВолкова Татьяна Егоровна</v>
      </c>
      <c r="K10" t="s">
        <v>10</v>
      </c>
      <c r="L10" t="s">
        <v>22</v>
      </c>
      <c r="M10" t="s">
        <v>21</v>
      </c>
      <c r="N10" t="str">
        <f t="shared" si="4"/>
        <v>Громова Мария ИльиничнаИванов Андрей Михайлович</v>
      </c>
      <c r="O10" t="s">
        <v>15</v>
      </c>
      <c r="P10" t="s">
        <v>229</v>
      </c>
      <c r="Q10" t="s">
        <v>452</v>
      </c>
    </row>
    <row r="11" spans="1:17" x14ac:dyDescent="0.25">
      <c r="A11" t="s">
        <v>5</v>
      </c>
      <c r="D11" t="s">
        <v>8</v>
      </c>
      <c r="E11" t="s">
        <v>75</v>
      </c>
      <c r="F11" t="str">
        <f t="shared" si="0"/>
        <v>2023-11-06</v>
      </c>
      <c r="G11" t="str">
        <f t="shared" si="1"/>
        <v>2023-11-06</v>
      </c>
      <c r="H11">
        <f t="shared" si="2"/>
        <v>0</v>
      </c>
      <c r="J11" t="str">
        <f t="shared" si="3"/>
        <v>Кузнецов Дмитрий ЛьвовичПетрова Дарья Егоровна</v>
      </c>
      <c r="K11" t="s">
        <v>23</v>
      </c>
      <c r="L11" t="s">
        <v>24</v>
      </c>
      <c r="M11" t="s">
        <v>21</v>
      </c>
      <c r="N11" t="str">
        <f t="shared" si="4"/>
        <v>Ткаченко Андрей ОлеговичЛебедев Роман Станиславович</v>
      </c>
      <c r="O11" t="s">
        <v>5</v>
      </c>
      <c r="P11" t="s">
        <v>62</v>
      </c>
      <c r="Q11" t="s">
        <v>452</v>
      </c>
    </row>
    <row r="12" spans="1:17" x14ac:dyDescent="0.25">
      <c r="A12" t="s">
        <v>27</v>
      </c>
      <c r="D12" t="s">
        <v>8</v>
      </c>
      <c r="E12" t="s">
        <v>22</v>
      </c>
      <c r="F12" t="str">
        <f t="shared" si="0"/>
        <v>2024-07-24</v>
      </c>
      <c r="G12" t="str">
        <f t="shared" si="1"/>
        <v>2024-07-24</v>
      </c>
      <c r="H12">
        <f t="shared" si="2"/>
        <v>0</v>
      </c>
      <c r="J12" t="str">
        <f t="shared" si="3"/>
        <v>Сидорова Елена ВасильевнаСмирнова София Ивановна</v>
      </c>
      <c r="K12" t="s">
        <v>12</v>
      </c>
      <c r="L12" t="s">
        <v>25</v>
      </c>
      <c r="M12" t="s">
        <v>26</v>
      </c>
      <c r="N12" t="str">
        <f t="shared" si="4"/>
        <v>Кузнецов Дмитрий ЛьвовичФедорова Полина Павловна</v>
      </c>
      <c r="O12" t="s">
        <v>23</v>
      </c>
      <c r="P12" t="s">
        <v>244</v>
      </c>
      <c r="Q12" t="s">
        <v>452</v>
      </c>
    </row>
    <row r="13" spans="1:17" x14ac:dyDescent="0.25">
      <c r="A13" t="s">
        <v>52</v>
      </c>
      <c r="D13" t="s">
        <v>8</v>
      </c>
      <c r="E13" t="s">
        <v>19</v>
      </c>
      <c r="F13" t="str">
        <f t="shared" si="0"/>
        <v>2023-09-04</v>
      </c>
      <c r="G13" t="str">
        <f t="shared" si="1"/>
        <v>2023-09-04</v>
      </c>
      <c r="H13">
        <f t="shared" si="2"/>
        <v>0</v>
      </c>
      <c r="J13" t="str">
        <f t="shared" si="3"/>
        <v>Фролов Сергей ВикторовичСмирнов Михаил Алексеевич</v>
      </c>
      <c r="K13" t="s">
        <v>27</v>
      </c>
      <c r="L13" t="s">
        <v>28</v>
      </c>
      <c r="M13" t="s">
        <v>26</v>
      </c>
      <c r="N13" t="str">
        <f t="shared" si="4"/>
        <v>Иванова Анна СергеевнаИванова Анна Викторовна</v>
      </c>
      <c r="O13" t="s">
        <v>48</v>
      </c>
      <c r="P13" t="s">
        <v>281</v>
      </c>
      <c r="Q13" t="s">
        <v>452</v>
      </c>
    </row>
    <row r="14" spans="1:17" x14ac:dyDescent="0.25">
      <c r="D14" t="s">
        <v>8</v>
      </c>
      <c r="E14" t="s">
        <v>170</v>
      </c>
      <c r="F14" t="str">
        <f t="shared" si="0"/>
        <v>2024-06-17</v>
      </c>
      <c r="G14" t="str">
        <f t="shared" si="1"/>
        <v>2024-07-23</v>
      </c>
      <c r="H14">
        <f t="shared" si="2"/>
        <v>36</v>
      </c>
      <c r="J14" t="str">
        <f t="shared" si="3"/>
        <v>Белов Алексей КонстантиновичПетрова Людмила Ильинична</v>
      </c>
      <c r="K14" t="s">
        <v>8</v>
      </c>
      <c r="L14" t="s">
        <v>29</v>
      </c>
      <c r="M14" t="s">
        <v>30</v>
      </c>
      <c r="N14" t="str">
        <f t="shared" si="4"/>
        <v>Кузнецов Дмитрий ЛьвовичНиколаев Артур Никитич</v>
      </c>
      <c r="O14" t="s">
        <v>23</v>
      </c>
      <c r="P14" t="s">
        <v>129</v>
      </c>
      <c r="Q14" t="s">
        <v>451</v>
      </c>
    </row>
    <row r="15" spans="1:17" x14ac:dyDescent="0.25">
      <c r="D15" t="s">
        <v>8</v>
      </c>
      <c r="E15" t="s">
        <v>281</v>
      </c>
      <c r="F15" t="str">
        <f t="shared" si="0"/>
        <v>2024-07-29</v>
      </c>
      <c r="G15" t="str">
        <f t="shared" si="1"/>
        <v>2024-07-29</v>
      </c>
      <c r="H15">
        <f t="shared" si="2"/>
        <v>0</v>
      </c>
      <c r="J15" t="str">
        <f t="shared" si="3"/>
        <v>Орлов Павел ДенисовичФедорова Наталья Александровна</v>
      </c>
      <c r="K15" t="s">
        <v>17</v>
      </c>
      <c r="L15" t="s">
        <v>31</v>
      </c>
      <c r="M15" t="s">
        <v>30</v>
      </c>
      <c r="N15" t="str">
        <f t="shared" si="4"/>
        <v>Яковлев Артем ИгоревичВасильева Наталья Никитична</v>
      </c>
      <c r="O15" t="s">
        <v>52</v>
      </c>
      <c r="P15" t="s">
        <v>116</v>
      </c>
      <c r="Q15" t="s">
        <v>450</v>
      </c>
    </row>
    <row r="16" spans="1:17" x14ac:dyDescent="0.25">
      <c r="D16" t="s">
        <v>8</v>
      </c>
      <c r="E16" t="s">
        <v>63</v>
      </c>
      <c r="F16" t="str">
        <f t="shared" si="0"/>
        <v>2024-01-08</v>
      </c>
      <c r="G16" t="str">
        <f t="shared" si="1"/>
        <v>2024-01-08</v>
      </c>
      <c r="H16">
        <f t="shared" si="2"/>
        <v>0</v>
      </c>
      <c r="J16" t="str">
        <f t="shared" si="3"/>
        <v>Белов Алексей КонстантиновичМорозов Дмитрий Кириллович</v>
      </c>
      <c r="K16" t="s">
        <v>8</v>
      </c>
      <c r="L16" t="s">
        <v>32</v>
      </c>
      <c r="M16" t="s">
        <v>33</v>
      </c>
      <c r="N16" t="str">
        <f t="shared" si="4"/>
        <v>Семенова Ирина ВалерьевнаВасильев Кирилл Михайлович</v>
      </c>
      <c r="O16" t="s">
        <v>46</v>
      </c>
      <c r="P16" t="s">
        <v>95</v>
      </c>
      <c r="Q16" t="s">
        <v>450</v>
      </c>
    </row>
    <row r="17" spans="4:17" x14ac:dyDescent="0.25">
      <c r="D17" t="s">
        <v>8</v>
      </c>
      <c r="E17" t="s">
        <v>71</v>
      </c>
      <c r="F17" t="str">
        <f t="shared" si="0"/>
        <v>2023-09-19</v>
      </c>
      <c r="G17" t="str">
        <f t="shared" si="1"/>
        <v>2023-09-19</v>
      </c>
      <c r="H17">
        <f t="shared" si="2"/>
        <v>0</v>
      </c>
      <c r="J17" t="str">
        <f t="shared" si="3"/>
        <v>Ткаченко Андрей ОлеговичОрлова Александра Викторовна</v>
      </c>
      <c r="K17" t="s">
        <v>5</v>
      </c>
      <c r="L17" t="s">
        <v>34</v>
      </c>
      <c r="M17" t="s">
        <v>33</v>
      </c>
      <c r="N17" t="str">
        <f t="shared" si="4"/>
        <v>Ткаченко Андрей ОлеговичВасильева Мария Дмитриевна</v>
      </c>
      <c r="O17" t="s">
        <v>5</v>
      </c>
      <c r="P17" t="s">
        <v>304</v>
      </c>
      <c r="Q17" t="s">
        <v>450</v>
      </c>
    </row>
    <row r="18" spans="4:17" x14ac:dyDescent="0.25">
      <c r="D18" t="s">
        <v>8</v>
      </c>
      <c r="E18" t="s">
        <v>120</v>
      </c>
      <c r="F18" t="str">
        <f t="shared" si="0"/>
        <v>2023-10-09</v>
      </c>
      <c r="G18" t="str">
        <f t="shared" si="1"/>
        <v>2023-10-09</v>
      </c>
      <c r="H18">
        <f t="shared" si="2"/>
        <v>0</v>
      </c>
      <c r="J18" t="str">
        <f t="shared" si="3"/>
        <v>Сидорова Елена ВасильевнаКозлов Дмитрий Викторович</v>
      </c>
      <c r="K18" t="s">
        <v>12</v>
      </c>
      <c r="L18" t="s">
        <v>35</v>
      </c>
      <c r="M18" t="s">
        <v>33</v>
      </c>
      <c r="N18" t="str">
        <f t="shared" si="4"/>
        <v>Орлов Павел ДенисовичПопов Дмитрий Ильич</v>
      </c>
      <c r="O18" t="s">
        <v>17</v>
      </c>
      <c r="P18" t="s">
        <v>105</v>
      </c>
      <c r="Q18" t="s">
        <v>450</v>
      </c>
    </row>
    <row r="19" spans="4:17" x14ac:dyDescent="0.25">
      <c r="D19" t="s">
        <v>8</v>
      </c>
      <c r="E19" t="s">
        <v>258</v>
      </c>
      <c r="F19" t="str">
        <f t="shared" si="0"/>
        <v>2024-04-08</v>
      </c>
      <c r="G19" t="str">
        <f t="shared" si="1"/>
        <v>2024-04-08</v>
      </c>
      <c r="H19">
        <f t="shared" si="2"/>
        <v>0</v>
      </c>
      <c r="J19" t="str">
        <f t="shared" si="3"/>
        <v>Петров Владимир КирилловичВасильева Татьяна Геннадьевна</v>
      </c>
      <c r="K19" t="s">
        <v>36</v>
      </c>
      <c r="L19" t="s">
        <v>37</v>
      </c>
      <c r="M19" t="s">
        <v>33</v>
      </c>
      <c r="N19" t="str">
        <f t="shared" si="4"/>
        <v>Фролов Сергей ВикторовичПетров Алексей Артемович</v>
      </c>
      <c r="O19" t="s">
        <v>27</v>
      </c>
      <c r="P19" t="s">
        <v>151</v>
      </c>
      <c r="Q19" t="s">
        <v>448</v>
      </c>
    </row>
    <row r="20" spans="4:17" x14ac:dyDescent="0.25">
      <c r="D20" t="s">
        <v>8</v>
      </c>
      <c r="E20" t="s">
        <v>99</v>
      </c>
      <c r="F20" t="str">
        <f t="shared" si="0"/>
        <v>2023-09-28</v>
      </c>
      <c r="G20" t="str">
        <f t="shared" si="1"/>
        <v>2023-09-28</v>
      </c>
      <c r="H20">
        <f t="shared" si="2"/>
        <v>0</v>
      </c>
      <c r="J20" t="str">
        <f t="shared" si="3"/>
        <v>Кузнецов Дмитрий ЛьвовичЛебедева Полина Артемовна</v>
      </c>
      <c r="K20" t="s">
        <v>23</v>
      </c>
      <c r="L20" t="s">
        <v>38</v>
      </c>
      <c r="M20" t="s">
        <v>33</v>
      </c>
      <c r="N20" t="str">
        <f t="shared" si="4"/>
        <v>Фролов Сергей ВикторовичВолкова Наталья Александровна</v>
      </c>
      <c r="O20" t="s">
        <v>27</v>
      </c>
      <c r="P20" t="s">
        <v>115</v>
      </c>
      <c r="Q20" t="s">
        <v>448</v>
      </c>
    </row>
    <row r="21" spans="4:17" x14ac:dyDescent="0.25">
      <c r="D21" t="s">
        <v>8</v>
      </c>
      <c r="E21" t="s">
        <v>90</v>
      </c>
      <c r="F21" t="str">
        <f t="shared" si="0"/>
        <v>2023-09-25</v>
      </c>
      <c r="G21" t="str">
        <f t="shared" si="1"/>
        <v>2023-09-25</v>
      </c>
      <c r="H21">
        <f t="shared" si="2"/>
        <v>0</v>
      </c>
      <c r="J21" t="str">
        <f t="shared" si="3"/>
        <v>Сидорова Елена ВасильевнаЕгоров Георгий Никитич</v>
      </c>
      <c r="K21" t="s">
        <v>12</v>
      </c>
      <c r="L21" t="s">
        <v>39</v>
      </c>
      <c r="M21" t="s">
        <v>33</v>
      </c>
      <c r="N21" t="str">
        <f t="shared" si="4"/>
        <v>Орлов Павел ДенисовичСеменов Дмитрий Павлович</v>
      </c>
      <c r="O21" t="s">
        <v>17</v>
      </c>
      <c r="P21" t="s">
        <v>449</v>
      </c>
      <c r="Q21" t="s">
        <v>448</v>
      </c>
    </row>
    <row r="22" spans="4:17" x14ac:dyDescent="0.25">
      <c r="D22" t="s">
        <v>8</v>
      </c>
      <c r="E22" t="s">
        <v>32</v>
      </c>
      <c r="F22" t="str">
        <f t="shared" si="0"/>
        <v>2023-09-08</v>
      </c>
      <c r="G22" t="str">
        <f t="shared" si="1"/>
        <v>2024-05-03</v>
      </c>
      <c r="H22">
        <f t="shared" si="2"/>
        <v>238</v>
      </c>
      <c r="J22" t="str">
        <f t="shared" si="3"/>
        <v>Новикова Ольга ПетровнаВолкова Виктория Михайловна</v>
      </c>
      <c r="K22" t="s">
        <v>10</v>
      </c>
      <c r="L22" t="s">
        <v>40</v>
      </c>
      <c r="M22" t="s">
        <v>33</v>
      </c>
      <c r="N22" t="str">
        <f t="shared" si="4"/>
        <v>Новикова Ольга ПетровнаИванова Анна Викторовна</v>
      </c>
      <c r="O22" t="s">
        <v>10</v>
      </c>
      <c r="P22" t="s">
        <v>281</v>
      </c>
      <c r="Q22" t="s">
        <v>448</v>
      </c>
    </row>
    <row r="23" spans="4:17" x14ac:dyDescent="0.25">
      <c r="D23" t="s">
        <v>8</v>
      </c>
      <c r="E23" t="s">
        <v>335</v>
      </c>
      <c r="F23" t="str">
        <f t="shared" si="0"/>
        <v>2024-03-21</v>
      </c>
      <c r="G23" t="str">
        <f t="shared" si="1"/>
        <v>2024-03-21</v>
      </c>
      <c r="H23">
        <f t="shared" si="2"/>
        <v>0</v>
      </c>
      <c r="J23" t="str">
        <f t="shared" si="3"/>
        <v>Ткаченко Андрей ОлеговичСтепанов Дмитрий Владимирович</v>
      </c>
      <c r="K23" t="s">
        <v>5</v>
      </c>
      <c r="L23" t="s">
        <v>41</v>
      </c>
      <c r="M23" t="s">
        <v>42</v>
      </c>
      <c r="N23" t="str">
        <f t="shared" si="4"/>
        <v>Яковлев Артем ИгоревичПетрова София Алексеевна</v>
      </c>
      <c r="O23" t="s">
        <v>52</v>
      </c>
      <c r="P23" t="s">
        <v>59</v>
      </c>
      <c r="Q23" t="s">
        <v>448</v>
      </c>
    </row>
    <row r="24" spans="4:17" x14ac:dyDescent="0.25">
      <c r="D24" t="s">
        <v>8</v>
      </c>
      <c r="E24" t="s">
        <v>150</v>
      </c>
      <c r="F24" t="str">
        <f t="shared" si="0"/>
        <v>2024-03-18</v>
      </c>
      <c r="G24" t="str">
        <f t="shared" si="1"/>
        <v>2024-03-18</v>
      </c>
      <c r="H24">
        <f t="shared" si="2"/>
        <v>0</v>
      </c>
      <c r="J24" t="str">
        <f t="shared" si="3"/>
        <v>Фролов Сергей ВикторовичСтепанова Виктория Алексеевна</v>
      </c>
      <c r="K24" t="s">
        <v>27</v>
      </c>
      <c r="L24" t="s">
        <v>43</v>
      </c>
      <c r="M24" t="s">
        <v>42</v>
      </c>
      <c r="N24" t="str">
        <f t="shared" si="4"/>
        <v>Кузнецов Дмитрий ЛьвовичЛебедева Полина Артемовна</v>
      </c>
      <c r="O24" t="s">
        <v>23</v>
      </c>
      <c r="P24" t="s">
        <v>38</v>
      </c>
      <c r="Q24" t="s">
        <v>448</v>
      </c>
    </row>
    <row r="25" spans="4:17" x14ac:dyDescent="0.25">
      <c r="D25" t="s">
        <v>8</v>
      </c>
      <c r="E25" t="s">
        <v>200</v>
      </c>
      <c r="F25" t="str">
        <f t="shared" si="0"/>
        <v>2023-11-24</v>
      </c>
      <c r="G25" t="str">
        <f t="shared" si="1"/>
        <v>2023-11-24</v>
      </c>
      <c r="H25">
        <f t="shared" si="2"/>
        <v>0</v>
      </c>
      <c r="J25" t="str">
        <f t="shared" si="3"/>
        <v>Ткаченко Андрей ОлеговичМорозова Людмила Юрьевна</v>
      </c>
      <c r="K25" t="s">
        <v>5</v>
      </c>
      <c r="L25" t="s">
        <v>44</v>
      </c>
      <c r="M25" t="s">
        <v>42</v>
      </c>
      <c r="N25" t="str">
        <f t="shared" si="4"/>
        <v>Иванова Анна СергеевнаСеменов Андрей Кириллович</v>
      </c>
      <c r="O25" t="s">
        <v>48</v>
      </c>
      <c r="P25" t="s">
        <v>93</v>
      </c>
      <c r="Q25" t="s">
        <v>448</v>
      </c>
    </row>
    <row r="26" spans="4:17" x14ac:dyDescent="0.25">
      <c r="D26" t="s">
        <v>8</v>
      </c>
      <c r="E26" t="s">
        <v>140</v>
      </c>
      <c r="F26" t="str">
        <f t="shared" si="0"/>
        <v>2023-10-16</v>
      </c>
      <c r="G26" t="str">
        <f t="shared" si="1"/>
        <v>2023-10-16</v>
      </c>
      <c r="H26">
        <f t="shared" si="2"/>
        <v>0</v>
      </c>
      <c r="J26" t="str">
        <f t="shared" si="3"/>
        <v>Сидорова Елена ВасильевнаПетров Кирилл Владимирович</v>
      </c>
      <c r="K26" t="s">
        <v>12</v>
      </c>
      <c r="L26" t="s">
        <v>45</v>
      </c>
      <c r="M26" t="s">
        <v>42</v>
      </c>
      <c r="N26" t="str">
        <f t="shared" si="4"/>
        <v>Сидорова Елена ВасильевнаОрлов Владимир Геннадьевич</v>
      </c>
      <c r="O26" t="s">
        <v>12</v>
      </c>
      <c r="P26" t="s">
        <v>272</v>
      </c>
      <c r="Q26" t="s">
        <v>448</v>
      </c>
    </row>
    <row r="27" spans="4:17" x14ac:dyDescent="0.25">
      <c r="D27" t="s">
        <v>8</v>
      </c>
      <c r="E27" t="s">
        <v>129</v>
      </c>
      <c r="F27" t="str">
        <f t="shared" si="0"/>
        <v>2024-05-30</v>
      </c>
      <c r="G27" t="str">
        <f t="shared" si="1"/>
        <v>2024-05-30</v>
      </c>
      <c r="H27">
        <f t="shared" si="2"/>
        <v>0</v>
      </c>
      <c r="J27" t="str">
        <f t="shared" si="3"/>
        <v>Семенова Ирина ВалерьевнаВасильев Никита Викторович</v>
      </c>
      <c r="K27" t="s">
        <v>46</v>
      </c>
      <c r="L27" t="s">
        <v>47</v>
      </c>
      <c r="M27" t="s">
        <v>42</v>
      </c>
      <c r="N27" t="str">
        <f t="shared" si="4"/>
        <v>Фролов Сергей ВикторовичКузнецов Никита Сергеевич</v>
      </c>
      <c r="O27" t="s">
        <v>27</v>
      </c>
      <c r="P27" t="s">
        <v>248</v>
      </c>
      <c r="Q27" t="s">
        <v>448</v>
      </c>
    </row>
    <row r="28" spans="4:17" x14ac:dyDescent="0.25">
      <c r="D28" t="s">
        <v>8</v>
      </c>
      <c r="E28" t="s">
        <v>127</v>
      </c>
      <c r="F28" t="str">
        <f t="shared" si="0"/>
        <v>2024-02-20</v>
      </c>
      <c r="G28" t="str">
        <f t="shared" si="1"/>
        <v>2024-02-20</v>
      </c>
      <c r="H28">
        <f t="shared" si="2"/>
        <v>0</v>
      </c>
      <c r="J28" t="str">
        <f t="shared" si="3"/>
        <v>Иванова Анна СергеевнаСтепанов Дмитрий Владимирович</v>
      </c>
      <c r="K28" t="s">
        <v>48</v>
      </c>
      <c r="L28" t="s">
        <v>41</v>
      </c>
      <c r="M28" t="s">
        <v>49</v>
      </c>
      <c r="N28" t="str">
        <f t="shared" si="4"/>
        <v>Новикова Ольга ПетровнаОрлов Максим Егорович</v>
      </c>
      <c r="O28" t="s">
        <v>10</v>
      </c>
      <c r="P28" t="s">
        <v>87</v>
      </c>
      <c r="Q28" t="s">
        <v>447</v>
      </c>
    </row>
    <row r="29" spans="4:17" x14ac:dyDescent="0.25">
      <c r="D29" t="s">
        <v>8</v>
      </c>
      <c r="E29" t="s">
        <v>175</v>
      </c>
      <c r="F29" t="str">
        <f t="shared" si="0"/>
        <v>2024-01-15</v>
      </c>
      <c r="G29" t="str">
        <f t="shared" si="1"/>
        <v>2024-01-15</v>
      </c>
      <c r="H29">
        <f t="shared" si="2"/>
        <v>0</v>
      </c>
      <c r="J29" t="str">
        <f t="shared" si="3"/>
        <v>Ткаченко Андрей ОлеговичМорозова Людмила Юрьевна</v>
      </c>
      <c r="K29" t="s">
        <v>5</v>
      </c>
      <c r="L29" t="s">
        <v>44</v>
      </c>
      <c r="M29" t="s">
        <v>50</v>
      </c>
      <c r="N29" t="str">
        <f t="shared" si="4"/>
        <v>Громова Мария ИльиничнаФедоров Александр Дмитриевич</v>
      </c>
      <c r="O29" t="s">
        <v>15</v>
      </c>
      <c r="P29" t="s">
        <v>136</v>
      </c>
      <c r="Q29" t="s">
        <v>447</v>
      </c>
    </row>
    <row r="30" spans="4:17" x14ac:dyDescent="0.25">
      <c r="D30" t="s">
        <v>8</v>
      </c>
      <c r="E30" t="s">
        <v>235</v>
      </c>
      <c r="F30" t="str">
        <f t="shared" si="0"/>
        <v>2024-01-23</v>
      </c>
      <c r="G30" t="str">
        <f t="shared" si="1"/>
        <v>2024-08-13</v>
      </c>
      <c r="H30">
        <f t="shared" si="2"/>
        <v>203</v>
      </c>
      <c r="J30" t="str">
        <f t="shared" si="3"/>
        <v>Ткаченко Андрей ОлеговичМорозова София Михайловна</v>
      </c>
      <c r="K30" t="s">
        <v>5</v>
      </c>
      <c r="L30" t="s">
        <v>51</v>
      </c>
      <c r="M30" t="s">
        <v>50</v>
      </c>
      <c r="N30" t="str">
        <f t="shared" si="4"/>
        <v>Яковлев Артем ИгоревичПопова Светлана Владимировна</v>
      </c>
      <c r="O30" t="s">
        <v>52</v>
      </c>
      <c r="P30" t="s">
        <v>316</v>
      </c>
      <c r="Q30" t="s">
        <v>446</v>
      </c>
    </row>
    <row r="31" spans="4:17" x14ac:dyDescent="0.25">
      <c r="D31" t="s">
        <v>8</v>
      </c>
      <c r="E31" t="s">
        <v>330</v>
      </c>
      <c r="F31" t="str">
        <f t="shared" si="0"/>
        <v>2024-08-13</v>
      </c>
      <c r="G31" t="str">
        <f t="shared" si="1"/>
        <v>2024-08-13</v>
      </c>
      <c r="H31">
        <f t="shared" si="2"/>
        <v>0</v>
      </c>
      <c r="J31" t="str">
        <f t="shared" si="3"/>
        <v>Яковлев Артем ИгоревичОрлов Алексей Сергеевич</v>
      </c>
      <c r="K31" t="s">
        <v>52</v>
      </c>
      <c r="L31" t="s">
        <v>53</v>
      </c>
      <c r="M31" t="s">
        <v>54</v>
      </c>
      <c r="N31" t="str">
        <f t="shared" si="4"/>
        <v>Громова Мария ИльиничнаМорозов Андрей Александрович</v>
      </c>
      <c r="O31" t="s">
        <v>15</v>
      </c>
      <c r="P31" t="s">
        <v>187</v>
      </c>
      <c r="Q31" t="s">
        <v>445</v>
      </c>
    </row>
    <row r="32" spans="4:17" x14ac:dyDescent="0.25">
      <c r="D32" t="s">
        <v>8</v>
      </c>
      <c r="E32" t="s">
        <v>138</v>
      </c>
      <c r="F32" t="str">
        <f t="shared" si="0"/>
        <v>2024-03-22</v>
      </c>
      <c r="G32" t="str">
        <f t="shared" si="1"/>
        <v>2024-05-07</v>
      </c>
      <c r="H32">
        <f t="shared" si="2"/>
        <v>46</v>
      </c>
      <c r="J32" t="str">
        <f t="shared" si="3"/>
        <v>Фролов Сергей ВикторовичВолкова Валерия Олеговна</v>
      </c>
      <c r="K32" t="s">
        <v>27</v>
      </c>
      <c r="L32" t="s">
        <v>55</v>
      </c>
      <c r="M32" t="s">
        <v>54</v>
      </c>
      <c r="N32" t="str">
        <f t="shared" si="4"/>
        <v>Семенова Ирина ВалерьевнаНиколаева Ирина Владимировна</v>
      </c>
      <c r="O32" t="s">
        <v>46</v>
      </c>
      <c r="P32" t="s">
        <v>66</v>
      </c>
      <c r="Q32" t="s">
        <v>445</v>
      </c>
    </row>
    <row r="33" spans="4:17" x14ac:dyDescent="0.25">
      <c r="D33" t="s">
        <v>8</v>
      </c>
      <c r="E33" t="s">
        <v>252</v>
      </c>
      <c r="F33" t="str">
        <f t="shared" si="0"/>
        <v>2024-01-22</v>
      </c>
      <c r="G33" t="str">
        <f t="shared" si="1"/>
        <v>2024-01-22</v>
      </c>
      <c r="H33">
        <f t="shared" si="2"/>
        <v>0</v>
      </c>
      <c r="J33" t="str">
        <f t="shared" si="3"/>
        <v>Новикова Ольга ПетровнаМорозова Ольга Геннадьевна</v>
      </c>
      <c r="K33" t="s">
        <v>10</v>
      </c>
      <c r="L33" t="s">
        <v>56</v>
      </c>
      <c r="M33" t="s">
        <v>54</v>
      </c>
      <c r="N33" t="str">
        <f t="shared" si="4"/>
        <v>Иванова Анна СергеевнаСидорова Виктория Ильинична</v>
      </c>
      <c r="O33" t="s">
        <v>48</v>
      </c>
      <c r="P33" t="s">
        <v>270</v>
      </c>
      <c r="Q33" t="s">
        <v>445</v>
      </c>
    </row>
    <row r="34" spans="4:17" x14ac:dyDescent="0.25">
      <c r="D34" t="s">
        <v>8</v>
      </c>
      <c r="E34" t="s">
        <v>272</v>
      </c>
      <c r="F34" t="str">
        <f t="shared" si="0"/>
        <v>2024-03-25</v>
      </c>
      <c r="G34" t="str">
        <f t="shared" si="1"/>
        <v>2024-03-25</v>
      </c>
      <c r="H34">
        <f t="shared" si="2"/>
        <v>0</v>
      </c>
      <c r="J34" t="str">
        <f t="shared" si="3"/>
        <v>Фролов Сергей ВикторовичПавлова Екатерина Павловна</v>
      </c>
      <c r="K34" t="s">
        <v>27</v>
      </c>
      <c r="L34" t="s">
        <v>57</v>
      </c>
      <c r="M34" t="s">
        <v>58</v>
      </c>
      <c r="N34" t="str">
        <f t="shared" si="4"/>
        <v>Белов Алексей КонстантиновичОрлов Кирилл Владимирович</v>
      </c>
      <c r="O34" t="s">
        <v>8</v>
      </c>
      <c r="P34" t="s">
        <v>79</v>
      </c>
      <c r="Q34" t="s">
        <v>445</v>
      </c>
    </row>
    <row r="35" spans="4:17" x14ac:dyDescent="0.25">
      <c r="D35" t="s">
        <v>8</v>
      </c>
      <c r="E35" t="s">
        <v>79</v>
      </c>
      <c r="F35" t="str">
        <f t="shared" si="0"/>
        <v>2024-06-07</v>
      </c>
      <c r="G35" t="str">
        <f t="shared" si="1"/>
        <v>2024-08-21</v>
      </c>
      <c r="H35">
        <f t="shared" si="2"/>
        <v>75</v>
      </c>
      <c r="J35" t="str">
        <f t="shared" si="3"/>
        <v>Фролов Сергей ВикторовичПетрова София Алексеевна</v>
      </c>
      <c r="K35" t="s">
        <v>27</v>
      </c>
      <c r="L35" t="s">
        <v>59</v>
      </c>
      <c r="M35" t="s">
        <v>58</v>
      </c>
      <c r="N35" t="str">
        <f t="shared" si="4"/>
        <v>Ткаченко Андрей ОлеговичСидоров Павел Андреевич</v>
      </c>
      <c r="O35" t="s">
        <v>5</v>
      </c>
      <c r="P35" t="s">
        <v>287</v>
      </c>
      <c r="Q35" t="s">
        <v>445</v>
      </c>
    </row>
    <row r="36" spans="4:17" x14ac:dyDescent="0.25">
      <c r="D36" t="s">
        <v>8</v>
      </c>
      <c r="E36" t="s">
        <v>165</v>
      </c>
      <c r="F36" t="str">
        <f t="shared" si="0"/>
        <v>2024-01-30</v>
      </c>
      <c r="G36" t="str">
        <f t="shared" si="1"/>
        <v>2024-01-30</v>
      </c>
      <c r="H36">
        <f t="shared" si="2"/>
        <v>0</v>
      </c>
      <c r="J36" t="str">
        <f t="shared" si="3"/>
        <v>Новикова Ольга ПетровнаАлексеева Людмила Никитична</v>
      </c>
      <c r="K36" t="s">
        <v>10</v>
      </c>
      <c r="L36" t="s">
        <v>60</v>
      </c>
      <c r="M36" t="s">
        <v>58</v>
      </c>
      <c r="N36" t="str">
        <f t="shared" si="4"/>
        <v>Фролов Сергей ВикторовичВолков Никита Кириллович</v>
      </c>
      <c r="O36" t="s">
        <v>27</v>
      </c>
      <c r="P36" t="s">
        <v>240</v>
      </c>
      <c r="Q36" t="s">
        <v>445</v>
      </c>
    </row>
    <row r="37" spans="4:17" x14ac:dyDescent="0.25">
      <c r="D37" t="s">
        <v>8</v>
      </c>
      <c r="E37" t="s">
        <v>207</v>
      </c>
      <c r="F37" t="str">
        <f t="shared" si="0"/>
        <v>2024-07-22</v>
      </c>
      <c r="G37" t="str">
        <f t="shared" si="1"/>
        <v>2024-07-22</v>
      </c>
      <c r="H37">
        <f t="shared" si="2"/>
        <v>0</v>
      </c>
      <c r="J37" t="str">
        <f t="shared" si="3"/>
        <v>Новикова Ольга ПетровнаСеменова Вероника Павловна</v>
      </c>
      <c r="K37" t="s">
        <v>10</v>
      </c>
      <c r="L37" t="s">
        <v>61</v>
      </c>
      <c r="M37" t="s">
        <v>58</v>
      </c>
      <c r="N37" t="str">
        <f t="shared" si="4"/>
        <v>Громова Мария ИльиничнаОрлов Алексей Юрьевич</v>
      </c>
      <c r="O37" t="s">
        <v>15</v>
      </c>
      <c r="P37" t="s">
        <v>252</v>
      </c>
      <c r="Q37" t="s">
        <v>444</v>
      </c>
    </row>
    <row r="38" spans="4:17" x14ac:dyDescent="0.25">
      <c r="D38" t="s">
        <v>8</v>
      </c>
      <c r="E38" t="s">
        <v>191</v>
      </c>
      <c r="F38" t="str">
        <f t="shared" si="0"/>
        <v>2023-11-20</v>
      </c>
      <c r="G38" t="str">
        <f t="shared" si="1"/>
        <v>2023-11-20</v>
      </c>
      <c r="H38">
        <f t="shared" si="2"/>
        <v>0</v>
      </c>
      <c r="J38" t="str">
        <f t="shared" si="3"/>
        <v>Яковлев Артем ИгоревичЛебедев Роман Станиславович</v>
      </c>
      <c r="K38" t="s">
        <v>52</v>
      </c>
      <c r="L38" t="s">
        <v>62</v>
      </c>
      <c r="M38" t="s">
        <v>58</v>
      </c>
      <c r="N38" t="str">
        <f t="shared" si="4"/>
        <v>Кузнецов Дмитрий ЛьвовичМорозова Наталья Никитична</v>
      </c>
      <c r="O38" t="s">
        <v>23</v>
      </c>
      <c r="P38" t="s">
        <v>144</v>
      </c>
      <c r="Q38" t="s">
        <v>444</v>
      </c>
    </row>
    <row r="39" spans="4:17" x14ac:dyDescent="0.25">
      <c r="D39" t="s">
        <v>8</v>
      </c>
      <c r="E39" t="s">
        <v>171</v>
      </c>
      <c r="F39" t="str">
        <f t="shared" si="0"/>
        <v>2024-03-06</v>
      </c>
      <c r="G39" t="str">
        <f t="shared" si="1"/>
        <v>2024-03-06</v>
      </c>
      <c r="H39">
        <f t="shared" si="2"/>
        <v>0</v>
      </c>
      <c r="J39" t="str">
        <f t="shared" si="3"/>
        <v>Яковлев Артем ИгоревичКозлов Артур Андреевич</v>
      </c>
      <c r="K39" t="s">
        <v>52</v>
      </c>
      <c r="L39" t="s">
        <v>63</v>
      </c>
      <c r="M39" t="s">
        <v>58</v>
      </c>
      <c r="N39" t="str">
        <f t="shared" si="4"/>
        <v>Новикова Ольга ПетровнаОрлов Алексей Сергеевич</v>
      </c>
      <c r="O39" t="s">
        <v>10</v>
      </c>
      <c r="P39" t="s">
        <v>53</v>
      </c>
      <c r="Q39" t="s">
        <v>443</v>
      </c>
    </row>
    <row r="40" spans="4:17" x14ac:dyDescent="0.25">
      <c r="D40" t="s">
        <v>8</v>
      </c>
      <c r="E40" t="s">
        <v>256</v>
      </c>
      <c r="F40" t="str">
        <f t="shared" si="0"/>
        <v>2024-07-26</v>
      </c>
      <c r="G40" t="str">
        <f t="shared" si="1"/>
        <v>2024-07-26</v>
      </c>
      <c r="H40">
        <f t="shared" si="2"/>
        <v>0</v>
      </c>
      <c r="J40" t="str">
        <f t="shared" si="3"/>
        <v>Ткаченко Андрей ОлеговичАлексеева Алиса Ильинична</v>
      </c>
      <c r="K40" t="s">
        <v>5</v>
      </c>
      <c r="L40" t="s">
        <v>64</v>
      </c>
      <c r="M40" t="s">
        <v>65</v>
      </c>
      <c r="N40" t="str">
        <f t="shared" si="4"/>
        <v>Орлов Павел ДенисовичПопова Ольга Егоровна</v>
      </c>
      <c r="O40" t="s">
        <v>17</v>
      </c>
      <c r="P40" t="s">
        <v>9</v>
      </c>
      <c r="Q40" t="s">
        <v>443</v>
      </c>
    </row>
    <row r="41" spans="4:17" x14ac:dyDescent="0.25">
      <c r="D41" t="s">
        <v>8</v>
      </c>
      <c r="E41" t="s">
        <v>29</v>
      </c>
      <c r="F41" t="str">
        <f t="shared" si="0"/>
        <v>2023-09-07</v>
      </c>
      <c r="G41" t="str">
        <f t="shared" si="1"/>
        <v>2023-09-07</v>
      </c>
      <c r="H41">
        <f t="shared" si="2"/>
        <v>0</v>
      </c>
      <c r="J41" t="str">
        <f t="shared" si="3"/>
        <v>Семенова Ирина ВалерьевнаНиколаева Ирина Владимировна</v>
      </c>
      <c r="K41" t="s">
        <v>46</v>
      </c>
      <c r="L41" t="s">
        <v>66</v>
      </c>
      <c r="M41" t="s">
        <v>65</v>
      </c>
      <c r="N41" t="str">
        <f t="shared" si="4"/>
        <v>Громова Мария ИльиничнаЛебедева Ирина Михайловна</v>
      </c>
      <c r="O41" t="s">
        <v>15</v>
      </c>
      <c r="P41" t="s">
        <v>302</v>
      </c>
      <c r="Q41" t="s">
        <v>443</v>
      </c>
    </row>
    <row r="42" spans="4:17" x14ac:dyDescent="0.25">
      <c r="D42" t="s">
        <v>8</v>
      </c>
      <c r="E42" t="s">
        <v>109</v>
      </c>
      <c r="F42" t="str">
        <f t="shared" si="0"/>
        <v>2024-08-01</v>
      </c>
      <c r="G42" t="str">
        <f t="shared" si="1"/>
        <v>2024-08-01</v>
      </c>
      <c r="H42">
        <f t="shared" si="2"/>
        <v>0</v>
      </c>
      <c r="J42" t="str">
        <f t="shared" si="3"/>
        <v>Сидорова Елена ВасильевнаКозлова Полина Кирилловна</v>
      </c>
      <c r="K42" t="s">
        <v>12</v>
      </c>
      <c r="L42" t="s">
        <v>67</v>
      </c>
      <c r="M42" t="s">
        <v>65</v>
      </c>
      <c r="N42" t="str">
        <f t="shared" si="4"/>
        <v>Фролов Сергей ВикторовичСидоров Павел Андреевич</v>
      </c>
      <c r="O42" t="s">
        <v>27</v>
      </c>
      <c r="P42" t="s">
        <v>287</v>
      </c>
      <c r="Q42" t="s">
        <v>443</v>
      </c>
    </row>
    <row r="43" spans="4:17" x14ac:dyDescent="0.25">
      <c r="D43" t="s">
        <v>8</v>
      </c>
      <c r="E43" t="s">
        <v>59</v>
      </c>
      <c r="F43" t="str">
        <f t="shared" si="0"/>
        <v>2024-04-01</v>
      </c>
      <c r="G43" t="str">
        <f t="shared" si="1"/>
        <v>2024-04-01</v>
      </c>
      <c r="H43">
        <f t="shared" si="2"/>
        <v>0</v>
      </c>
      <c r="J43" t="str">
        <f t="shared" si="3"/>
        <v>Сидорова Елена ВасильевнаСтепанов Никита Михайлович</v>
      </c>
      <c r="K43" t="s">
        <v>12</v>
      </c>
      <c r="L43" t="s">
        <v>68</v>
      </c>
      <c r="M43" t="s">
        <v>65</v>
      </c>
      <c r="N43" t="str">
        <f t="shared" si="4"/>
        <v>Фролов Сергей ВикторовичВасильев Артур Дмитриевич</v>
      </c>
      <c r="O43" t="s">
        <v>27</v>
      </c>
      <c r="P43" t="s">
        <v>77</v>
      </c>
      <c r="Q43" t="s">
        <v>443</v>
      </c>
    </row>
    <row r="44" spans="4:17" x14ac:dyDescent="0.25">
      <c r="D44" t="s">
        <v>8</v>
      </c>
      <c r="E44" t="s">
        <v>118</v>
      </c>
      <c r="F44" t="str">
        <f t="shared" si="0"/>
        <v>2024-03-05</v>
      </c>
      <c r="G44" t="str">
        <f t="shared" si="1"/>
        <v>2024-03-05</v>
      </c>
      <c r="H44">
        <f t="shared" si="2"/>
        <v>0</v>
      </c>
      <c r="J44" t="str">
        <f t="shared" si="3"/>
        <v>Сидорова Елена ВасильевнаВасильева Татьяна Геннадьевна</v>
      </c>
      <c r="K44" t="s">
        <v>12</v>
      </c>
      <c r="L44" t="s">
        <v>37</v>
      </c>
      <c r="M44" t="s">
        <v>65</v>
      </c>
      <c r="N44" t="str">
        <f t="shared" si="4"/>
        <v>Сидорова Елена ВасильевнаПетров Сергей Викторович</v>
      </c>
      <c r="O44" t="s">
        <v>12</v>
      </c>
      <c r="P44" t="s">
        <v>98</v>
      </c>
      <c r="Q44" t="s">
        <v>443</v>
      </c>
    </row>
    <row r="45" spans="4:17" x14ac:dyDescent="0.25">
      <c r="D45" t="s">
        <v>8</v>
      </c>
      <c r="E45" t="s">
        <v>282</v>
      </c>
      <c r="F45" t="str">
        <f t="shared" si="0"/>
        <v>2024-03-12</v>
      </c>
      <c r="G45" t="str">
        <f t="shared" si="1"/>
        <v>2024-03-12</v>
      </c>
      <c r="H45">
        <f t="shared" si="2"/>
        <v>0</v>
      </c>
      <c r="J45" t="str">
        <f t="shared" si="3"/>
        <v>Орлов Павел ДенисовичМорозова Александра Дмитриевна</v>
      </c>
      <c r="K45" t="s">
        <v>17</v>
      </c>
      <c r="L45" t="s">
        <v>69</v>
      </c>
      <c r="M45" t="s">
        <v>65</v>
      </c>
      <c r="N45" t="str">
        <f t="shared" si="4"/>
        <v>Семенова Ирина ВалерьевнаПетрова Наталья Геннадьевна</v>
      </c>
      <c r="O45" t="s">
        <v>46</v>
      </c>
      <c r="P45" t="s">
        <v>82</v>
      </c>
      <c r="Q45" t="s">
        <v>443</v>
      </c>
    </row>
    <row r="46" spans="4:17" x14ac:dyDescent="0.25">
      <c r="D46" t="s">
        <v>8</v>
      </c>
      <c r="E46" t="s">
        <v>9</v>
      </c>
      <c r="F46" t="str">
        <f t="shared" si="0"/>
        <v>2023-09-01</v>
      </c>
      <c r="G46" t="str">
        <f t="shared" si="1"/>
        <v>2024-01-19</v>
      </c>
      <c r="H46">
        <f t="shared" si="2"/>
        <v>140</v>
      </c>
      <c r="J46" t="str">
        <f t="shared" si="3"/>
        <v>Кузнецов Дмитрий ЛьвовичПетрова Людмила Олеговна</v>
      </c>
      <c r="K46" t="s">
        <v>23</v>
      </c>
      <c r="L46" t="s">
        <v>70</v>
      </c>
      <c r="M46" t="s">
        <v>65</v>
      </c>
      <c r="N46" t="str">
        <f t="shared" si="4"/>
        <v>Ткаченко Андрей ОлеговичНовиков Павел Никитич</v>
      </c>
      <c r="O46" t="s">
        <v>5</v>
      </c>
      <c r="P46" t="s">
        <v>153</v>
      </c>
      <c r="Q46" t="s">
        <v>443</v>
      </c>
    </row>
    <row r="47" spans="4:17" x14ac:dyDescent="0.25">
      <c r="D47" t="s">
        <v>8</v>
      </c>
      <c r="E47" t="s">
        <v>300</v>
      </c>
      <c r="F47" t="str">
        <f t="shared" si="0"/>
        <v>2024-06-17</v>
      </c>
      <c r="G47" t="str">
        <f t="shared" si="1"/>
        <v>2024-06-17</v>
      </c>
      <c r="H47">
        <f t="shared" si="2"/>
        <v>0</v>
      </c>
      <c r="J47" t="str">
        <f t="shared" si="3"/>
        <v>Белов Алексей КонстантиновичКузнецова Валерия Романовна</v>
      </c>
      <c r="K47" t="s">
        <v>8</v>
      </c>
      <c r="L47" t="s">
        <v>71</v>
      </c>
      <c r="M47" t="s">
        <v>72</v>
      </c>
      <c r="N47" t="str">
        <f t="shared" si="4"/>
        <v>Орлов Павел ДенисовичАлексеева Виктория Александровна</v>
      </c>
      <c r="O47" t="s">
        <v>17</v>
      </c>
      <c r="P47" t="s">
        <v>195</v>
      </c>
      <c r="Q47" t="s">
        <v>443</v>
      </c>
    </row>
    <row r="48" spans="4:17" x14ac:dyDescent="0.25">
      <c r="D48" t="s">
        <v>8</v>
      </c>
      <c r="E48" t="s">
        <v>61</v>
      </c>
      <c r="F48" t="str">
        <f t="shared" si="0"/>
        <v>2023-12-04</v>
      </c>
      <c r="G48" t="str">
        <f t="shared" si="1"/>
        <v>2023-12-04</v>
      </c>
      <c r="H48">
        <f t="shared" si="2"/>
        <v>0</v>
      </c>
      <c r="J48" t="str">
        <f t="shared" si="3"/>
        <v>Петров Владимир КирилловичСеменова Виктория Владимировна</v>
      </c>
      <c r="K48" t="s">
        <v>36</v>
      </c>
      <c r="L48" t="s">
        <v>73</v>
      </c>
      <c r="M48" t="s">
        <v>72</v>
      </c>
      <c r="N48" t="str">
        <f t="shared" si="4"/>
        <v>Кузнецов Дмитрий ЛьвовичНиколаева Ксения Владимировна</v>
      </c>
      <c r="O48" t="s">
        <v>23</v>
      </c>
      <c r="P48" t="s">
        <v>330</v>
      </c>
      <c r="Q48" t="s">
        <v>442</v>
      </c>
    </row>
    <row r="49" spans="4:17" x14ac:dyDescent="0.25">
      <c r="D49" t="s">
        <v>8</v>
      </c>
      <c r="E49" t="s">
        <v>73</v>
      </c>
      <c r="F49" t="str">
        <f t="shared" si="0"/>
        <v>2023-11-02</v>
      </c>
      <c r="G49" t="str">
        <f t="shared" si="1"/>
        <v>2023-11-10</v>
      </c>
      <c r="H49">
        <f t="shared" si="2"/>
        <v>8</v>
      </c>
      <c r="J49" t="str">
        <f t="shared" si="3"/>
        <v>Орлов Павел ДенисовичИванова Ксения Романовна</v>
      </c>
      <c r="K49" t="s">
        <v>17</v>
      </c>
      <c r="L49" t="s">
        <v>74</v>
      </c>
      <c r="M49" t="s">
        <v>72</v>
      </c>
      <c r="N49" t="str">
        <f t="shared" si="4"/>
        <v>Громова Мария ИльиничнаПопова Светлана Владимировна</v>
      </c>
      <c r="O49" t="s">
        <v>15</v>
      </c>
      <c r="P49" t="s">
        <v>316</v>
      </c>
      <c r="Q49" t="s">
        <v>442</v>
      </c>
    </row>
    <row r="50" spans="4:17" x14ac:dyDescent="0.25">
      <c r="D50" t="s">
        <v>8</v>
      </c>
      <c r="E50" t="s">
        <v>185</v>
      </c>
      <c r="F50" t="str">
        <f t="shared" si="0"/>
        <v>2024-01-22</v>
      </c>
      <c r="G50" t="str">
        <f t="shared" si="1"/>
        <v>2024-01-22</v>
      </c>
      <c r="H50">
        <f t="shared" si="2"/>
        <v>0</v>
      </c>
      <c r="J50" t="str">
        <f t="shared" si="3"/>
        <v>Громова Мария ИльиничнаВолков Роман Иванович</v>
      </c>
      <c r="K50" t="s">
        <v>15</v>
      </c>
      <c r="L50" t="s">
        <v>75</v>
      </c>
      <c r="M50" t="s">
        <v>76</v>
      </c>
      <c r="N50" t="str">
        <f t="shared" si="4"/>
        <v>Иванова Анна СергеевнаМорозов Никита Иванович</v>
      </c>
      <c r="O50" t="s">
        <v>48</v>
      </c>
      <c r="P50" t="s">
        <v>335</v>
      </c>
      <c r="Q50" t="s">
        <v>442</v>
      </c>
    </row>
    <row r="51" spans="4:17" x14ac:dyDescent="0.25">
      <c r="D51" t="s">
        <v>8</v>
      </c>
      <c r="E51" t="s">
        <v>101</v>
      </c>
      <c r="F51" t="str">
        <f t="shared" si="0"/>
        <v>2023-09-28</v>
      </c>
      <c r="G51" t="str">
        <f t="shared" si="1"/>
        <v>2023-09-28</v>
      </c>
      <c r="H51">
        <f t="shared" si="2"/>
        <v>0</v>
      </c>
      <c r="J51" t="str">
        <f t="shared" si="3"/>
        <v>Яковлев Артем ИгоревичВасильев Артур Дмитриевич</v>
      </c>
      <c r="K51" t="s">
        <v>52</v>
      </c>
      <c r="L51" t="s">
        <v>77</v>
      </c>
      <c r="M51" t="s">
        <v>78</v>
      </c>
      <c r="N51" t="str">
        <f t="shared" si="4"/>
        <v>Новикова Ольга ПетровнаНиколаева Вероника Юрьевна</v>
      </c>
      <c r="O51" t="s">
        <v>10</v>
      </c>
      <c r="P51" t="s">
        <v>202</v>
      </c>
      <c r="Q51" t="s">
        <v>442</v>
      </c>
    </row>
    <row r="52" spans="4:17" x14ac:dyDescent="0.25">
      <c r="D52" t="s">
        <v>8</v>
      </c>
      <c r="E52" t="s">
        <v>20</v>
      </c>
      <c r="F52" t="str">
        <f t="shared" si="0"/>
        <v>2023-11-13</v>
      </c>
      <c r="G52" t="str">
        <f t="shared" si="1"/>
        <v>2024-03-15</v>
      </c>
      <c r="H52">
        <f t="shared" si="2"/>
        <v>123</v>
      </c>
      <c r="J52" t="str">
        <f t="shared" si="3"/>
        <v>Новикова Ольга ПетровнаОрлов Кирилл Владимирович</v>
      </c>
      <c r="K52" t="s">
        <v>10</v>
      </c>
      <c r="L52" t="s">
        <v>79</v>
      </c>
      <c r="M52" t="s">
        <v>78</v>
      </c>
      <c r="N52" t="str">
        <f t="shared" si="4"/>
        <v>Петров Владимир КирилловичПопов Михаил Александрович</v>
      </c>
      <c r="O52" t="s">
        <v>36</v>
      </c>
      <c r="P52" t="s">
        <v>271</v>
      </c>
      <c r="Q52" t="s">
        <v>441</v>
      </c>
    </row>
    <row r="53" spans="4:17" x14ac:dyDescent="0.25">
      <c r="D53" t="s">
        <v>8</v>
      </c>
      <c r="E53" t="s">
        <v>296</v>
      </c>
      <c r="F53" t="str">
        <f t="shared" si="0"/>
        <v>2024-07-08</v>
      </c>
      <c r="G53" t="str">
        <f t="shared" si="1"/>
        <v>2024-07-08</v>
      </c>
      <c r="H53">
        <f t="shared" si="2"/>
        <v>0</v>
      </c>
      <c r="J53" t="str">
        <f t="shared" si="3"/>
        <v>Фролов Сергей ВикторовичНиколаев Александр Романович</v>
      </c>
      <c r="K53" t="s">
        <v>27</v>
      </c>
      <c r="L53" t="s">
        <v>80</v>
      </c>
      <c r="M53" t="s">
        <v>78</v>
      </c>
      <c r="N53" t="str">
        <f t="shared" si="4"/>
        <v>Сидорова Елена ВасильевнаПетров Максим Александрович</v>
      </c>
      <c r="O53" t="s">
        <v>12</v>
      </c>
      <c r="P53" t="s">
        <v>171</v>
      </c>
      <c r="Q53" t="s">
        <v>440</v>
      </c>
    </row>
    <row r="54" spans="4:17" x14ac:dyDescent="0.25">
      <c r="D54" t="s">
        <v>8</v>
      </c>
      <c r="E54" t="s">
        <v>25</v>
      </c>
      <c r="F54" t="str">
        <f t="shared" si="0"/>
        <v>2023-12-18</v>
      </c>
      <c r="G54" t="str">
        <f t="shared" si="1"/>
        <v>2024-01-31</v>
      </c>
      <c r="H54">
        <f t="shared" si="2"/>
        <v>44</v>
      </c>
      <c r="J54" t="str">
        <f t="shared" si="3"/>
        <v>Фролов Сергей ВикторовичОрлова Валерия Юрьевна</v>
      </c>
      <c r="K54" t="s">
        <v>27</v>
      </c>
      <c r="L54" t="s">
        <v>81</v>
      </c>
      <c r="M54" t="s">
        <v>78</v>
      </c>
      <c r="N54" t="str">
        <f t="shared" si="4"/>
        <v>Семенова Ирина ВалерьевнаСмирнов Константин Михайлович</v>
      </c>
      <c r="O54" t="s">
        <v>46</v>
      </c>
      <c r="P54" t="s">
        <v>85</v>
      </c>
      <c r="Q54" t="s">
        <v>440</v>
      </c>
    </row>
    <row r="55" spans="4:17" x14ac:dyDescent="0.25">
      <c r="D55" t="s">
        <v>8</v>
      </c>
      <c r="E55" t="s">
        <v>160</v>
      </c>
      <c r="F55" t="str">
        <f t="shared" si="0"/>
        <v>2024-04-19</v>
      </c>
      <c r="G55" t="str">
        <f t="shared" si="1"/>
        <v>2024-04-19</v>
      </c>
      <c r="H55">
        <f t="shared" si="2"/>
        <v>0</v>
      </c>
      <c r="J55" t="str">
        <f t="shared" si="3"/>
        <v>Громова Мария ИльиничнаПетрова Наталья Геннадьевна</v>
      </c>
      <c r="K55" t="s">
        <v>15</v>
      </c>
      <c r="L55" t="s">
        <v>82</v>
      </c>
      <c r="M55" t="s">
        <v>83</v>
      </c>
      <c r="N55" t="str">
        <f t="shared" si="4"/>
        <v>Семенова Ирина ВалерьевнаИванова Анна Викторовна</v>
      </c>
      <c r="O55" t="s">
        <v>46</v>
      </c>
      <c r="P55" t="s">
        <v>281</v>
      </c>
      <c r="Q55" t="s">
        <v>439</v>
      </c>
    </row>
    <row r="56" spans="4:17" x14ac:dyDescent="0.25">
      <c r="D56" t="s">
        <v>8</v>
      </c>
      <c r="E56" t="s">
        <v>206</v>
      </c>
      <c r="F56" t="str">
        <f t="shared" si="0"/>
        <v>2023-11-29</v>
      </c>
      <c r="G56" t="str">
        <f t="shared" si="1"/>
        <v>2023-11-29</v>
      </c>
      <c r="H56">
        <f t="shared" si="2"/>
        <v>0</v>
      </c>
      <c r="J56" t="str">
        <f t="shared" si="3"/>
        <v>Орлов Павел ДенисовичВолков Константин Алексеевич</v>
      </c>
      <c r="K56" t="s">
        <v>17</v>
      </c>
      <c r="L56" t="s">
        <v>84</v>
      </c>
      <c r="M56" t="s">
        <v>83</v>
      </c>
      <c r="N56" t="str">
        <f t="shared" si="4"/>
        <v>Громова Мария ИльиничнаВасильев Георгий Станиславович</v>
      </c>
      <c r="O56" t="s">
        <v>15</v>
      </c>
      <c r="P56" t="s">
        <v>243</v>
      </c>
      <c r="Q56" t="s">
        <v>439</v>
      </c>
    </row>
    <row r="57" spans="4:17" x14ac:dyDescent="0.25">
      <c r="D57" t="s">
        <v>8</v>
      </c>
      <c r="E57" t="s">
        <v>328</v>
      </c>
      <c r="F57" t="str">
        <f t="shared" si="0"/>
        <v>2024-04-26</v>
      </c>
      <c r="G57" t="str">
        <f t="shared" si="1"/>
        <v>2024-04-26</v>
      </c>
      <c r="H57">
        <f t="shared" si="2"/>
        <v>0</v>
      </c>
      <c r="J57" t="str">
        <f t="shared" si="3"/>
        <v>Фролов Сергей ВикторовичНиколаева Ирина Владимировна</v>
      </c>
      <c r="K57" t="s">
        <v>27</v>
      </c>
      <c r="L57" t="s">
        <v>66</v>
      </c>
      <c r="M57" t="s">
        <v>83</v>
      </c>
      <c r="N57" t="str">
        <f t="shared" si="4"/>
        <v>Кузнецов Дмитрий ЛьвовичАлексеева Алиса Александровна</v>
      </c>
      <c r="O57" t="s">
        <v>23</v>
      </c>
      <c r="P57" t="s">
        <v>89</v>
      </c>
      <c r="Q57" t="s">
        <v>439</v>
      </c>
    </row>
    <row r="58" spans="4:17" x14ac:dyDescent="0.25">
      <c r="D58" t="s">
        <v>8</v>
      </c>
      <c r="E58" t="s">
        <v>108</v>
      </c>
      <c r="F58" t="str">
        <f t="shared" si="0"/>
        <v>2024-05-06</v>
      </c>
      <c r="G58" t="str">
        <f t="shared" si="1"/>
        <v>2024-05-06</v>
      </c>
      <c r="H58">
        <f t="shared" si="2"/>
        <v>0</v>
      </c>
      <c r="J58" t="str">
        <f t="shared" si="3"/>
        <v>Фролов Сергей ВикторовичСмирнов Константин Михайлович</v>
      </c>
      <c r="K58" t="s">
        <v>27</v>
      </c>
      <c r="L58" t="s">
        <v>85</v>
      </c>
      <c r="M58" t="s">
        <v>83</v>
      </c>
      <c r="N58" t="str">
        <f t="shared" si="4"/>
        <v>Белов Алексей КонстантиновичНиколаев Павел Артемович</v>
      </c>
      <c r="O58" t="s">
        <v>8</v>
      </c>
      <c r="P58" t="s">
        <v>235</v>
      </c>
      <c r="Q58" t="s">
        <v>439</v>
      </c>
    </row>
    <row r="59" spans="4:17" x14ac:dyDescent="0.25">
      <c r="D59" t="s">
        <v>8</v>
      </c>
      <c r="E59" t="s">
        <v>172</v>
      </c>
      <c r="F59" t="str">
        <f t="shared" si="0"/>
        <v>2024-03-20</v>
      </c>
      <c r="G59" t="str">
        <f t="shared" si="1"/>
        <v>2024-03-20</v>
      </c>
      <c r="H59">
        <f t="shared" si="2"/>
        <v>0</v>
      </c>
      <c r="J59" t="str">
        <f t="shared" si="3"/>
        <v>Орлов Павел ДенисовичКузнецова София Сергеевна</v>
      </c>
      <c r="K59" t="s">
        <v>17</v>
      </c>
      <c r="L59" t="s">
        <v>86</v>
      </c>
      <c r="M59" t="s">
        <v>83</v>
      </c>
      <c r="N59" t="str">
        <f t="shared" si="4"/>
        <v>Иванова Анна СергеевнаВасильев Александр Иванович</v>
      </c>
      <c r="O59" t="s">
        <v>48</v>
      </c>
      <c r="P59" t="s">
        <v>158</v>
      </c>
      <c r="Q59" t="s">
        <v>439</v>
      </c>
    </row>
    <row r="60" spans="4:17" x14ac:dyDescent="0.25">
      <c r="D60" t="s">
        <v>8</v>
      </c>
      <c r="E60" t="s">
        <v>136</v>
      </c>
      <c r="F60" t="str">
        <f t="shared" si="0"/>
        <v>2023-11-07</v>
      </c>
      <c r="G60" t="str">
        <f t="shared" si="1"/>
        <v>2023-11-07</v>
      </c>
      <c r="H60">
        <f t="shared" si="2"/>
        <v>0</v>
      </c>
      <c r="J60" t="str">
        <f t="shared" si="3"/>
        <v>Фролов Сергей ВикторовичОрлов Максим Егорович</v>
      </c>
      <c r="K60" t="s">
        <v>27</v>
      </c>
      <c r="L60" t="s">
        <v>87</v>
      </c>
      <c r="M60" t="s">
        <v>88</v>
      </c>
      <c r="N60" t="str">
        <f t="shared" si="4"/>
        <v>Белов Алексей КонстантиновичНиколаева Ксения Владимировна</v>
      </c>
      <c r="O60" t="s">
        <v>8</v>
      </c>
      <c r="P60" t="s">
        <v>330</v>
      </c>
      <c r="Q60" t="s">
        <v>439</v>
      </c>
    </row>
    <row r="61" spans="4:17" x14ac:dyDescent="0.25">
      <c r="D61" t="s">
        <v>8</v>
      </c>
      <c r="E61" t="s">
        <v>157</v>
      </c>
      <c r="F61" t="str">
        <f t="shared" si="0"/>
        <v>2024-07-03</v>
      </c>
      <c r="G61" t="str">
        <f t="shared" si="1"/>
        <v>2024-07-03</v>
      </c>
      <c r="H61">
        <f t="shared" si="2"/>
        <v>0</v>
      </c>
      <c r="J61" t="str">
        <f t="shared" si="3"/>
        <v>Петров Владимир КирилловичАлексеева Алиса Александровна</v>
      </c>
      <c r="K61" t="s">
        <v>36</v>
      </c>
      <c r="L61" t="s">
        <v>89</v>
      </c>
      <c r="M61" t="s">
        <v>88</v>
      </c>
      <c r="N61" t="str">
        <f t="shared" si="4"/>
        <v>Сидорова Елена ВасильевнаПетров Михаил Юрьевич</v>
      </c>
      <c r="O61" t="s">
        <v>12</v>
      </c>
      <c r="P61" t="s">
        <v>256</v>
      </c>
      <c r="Q61" t="s">
        <v>437</v>
      </c>
    </row>
    <row r="62" spans="4:17" x14ac:dyDescent="0.25">
      <c r="D62" t="s">
        <v>8</v>
      </c>
      <c r="E62" t="s">
        <v>107</v>
      </c>
      <c r="F62" t="str">
        <f t="shared" si="0"/>
        <v>2024-02-08</v>
      </c>
      <c r="G62" t="str">
        <f t="shared" si="1"/>
        <v>2024-02-08</v>
      </c>
      <c r="H62">
        <f t="shared" si="2"/>
        <v>0</v>
      </c>
      <c r="J62" t="str">
        <f t="shared" si="3"/>
        <v>Белов Алексей КонстантиновичМорозов Андрей Иванович</v>
      </c>
      <c r="K62" t="s">
        <v>8</v>
      </c>
      <c r="L62" t="s">
        <v>90</v>
      </c>
      <c r="M62" t="s">
        <v>88</v>
      </c>
      <c r="N62" t="str">
        <f t="shared" si="4"/>
        <v>Орлов Павел ДенисовичАлексеев Дмитрий Станиславович</v>
      </c>
      <c r="O62" t="s">
        <v>17</v>
      </c>
      <c r="P62" t="s">
        <v>438</v>
      </c>
      <c r="Q62" t="s">
        <v>437</v>
      </c>
    </row>
    <row r="63" spans="4:17" x14ac:dyDescent="0.25">
      <c r="D63" t="s">
        <v>8</v>
      </c>
      <c r="E63" t="s">
        <v>31</v>
      </c>
      <c r="F63" t="str">
        <f t="shared" si="0"/>
        <v>2023-10-11</v>
      </c>
      <c r="G63" t="str">
        <f t="shared" si="1"/>
        <v>2023-10-11</v>
      </c>
      <c r="H63">
        <f t="shared" si="2"/>
        <v>0</v>
      </c>
      <c r="J63" t="str">
        <f t="shared" si="3"/>
        <v>Кузнецов Дмитрий ЛьвовичМорозова Александра Дмитриевна</v>
      </c>
      <c r="K63" t="s">
        <v>23</v>
      </c>
      <c r="L63" t="s">
        <v>69</v>
      </c>
      <c r="M63" t="s">
        <v>88</v>
      </c>
      <c r="N63" t="str">
        <f t="shared" si="4"/>
        <v>Петров Владимир КирилловичСеменов Сергей Дмитриевич</v>
      </c>
      <c r="O63" t="s">
        <v>36</v>
      </c>
      <c r="P63" t="s">
        <v>293</v>
      </c>
      <c r="Q63" t="s">
        <v>437</v>
      </c>
    </row>
    <row r="64" spans="4:17" x14ac:dyDescent="0.25">
      <c r="D64" t="s">
        <v>8</v>
      </c>
      <c r="E64" t="s">
        <v>292</v>
      </c>
      <c r="F64" t="str">
        <f t="shared" si="0"/>
        <v>2024-02-08</v>
      </c>
      <c r="G64" t="str">
        <f t="shared" si="1"/>
        <v>2024-02-08</v>
      </c>
      <c r="H64">
        <f t="shared" si="2"/>
        <v>0</v>
      </c>
      <c r="J64" t="str">
        <f t="shared" si="3"/>
        <v>Кузнецов Дмитрий ЛьвовичКузнецова Валерия Романовна</v>
      </c>
      <c r="K64" t="s">
        <v>23</v>
      </c>
      <c r="L64" t="s">
        <v>71</v>
      </c>
      <c r="M64" t="s">
        <v>88</v>
      </c>
      <c r="N64" t="str">
        <f t="shared" si="4"/>
        <v>Кузнецов Дмитрий ЛьвовичАлексеева Виктория Александровна</v>
      </c>
      <c r="O64" t="s">
        <v>23</v>
      </c>
      <c r="P64" t="s">
        <v>195</v>
      </c>
      <c r="Q64" t="s">
        <v>437</v>
      </c>
    </row>
    <row r="65" spans="4:17" x14ac:dyDescent="0.25">
      <c r="D65" t="s">
        <v>15</v>
      </c>
      <c r="E65" t="s">
        <v>168</v>
      </c>
      <c r="F65" t="str">
        <f t="shared" si="0"/>
        <v>2024-05-01</v>
      </c>
      <c r="G65" t="str">
        <f t="shared" si="1"/>
        <v>2024-05-01</v>
      </c>
      <c r="H65">
        <f t="shared" si="2"/>
        <v>0</v>
      </c>
      <c r="J65" t="str">
        <f t="shared" si="3"/>
        <v>Петров Владимир КирилловичМорозов Константин Романович</v>
      </c>
      <c r="K65" t="s">
        <v>36</v>
      </c>
      <c r="L65" t="s">
        <v>91</v>
      </c>
      <c r="M65" t="s">
        <v>88</v>
      </c>
      <c r="N65" t="str">
        <f t="shared" si="4"/>
        <v>Иванова Анна СергеевнаПопова Александра Юрьевна</v>
      </c>
      <c r="O65" t="s">
        <v>48</v>
      </c>
      <c r="P65" t="s">
        <v>118</v>
      </c>
      <c r="Q65" t="s">
        <v>437</v>
      </c>
    </row>
    <row r="66" spans="4:17" x14ac:dyDescent="0.25">
      <c r="D66" t="s">
        <v>15</v>
      </c>
      <c r="E66" t="s">
        <v>195</v>
      </c>
      <c r="F66" t="str">
        <f t="shared" si="0"/>
        <v>2024-05-03</v>
      </c>
      <c r="G66" t="str">
        <f t="shared" si="1"/>
        <v>2024-05-03</v>
      </c>
      <c r="H66">
        <f t="shared" si="2"/>
        <v>0</v>
      </c>
      <c r="J66" t="str">
        <f t="shared" si="3"/>
        <v>Ткаченко Андрей ОлеговичОрлов Кирилл Владимирович</v>
      </c>
      <c r="K66" t="s">
        <v>5</v>
      </c>
      <c r="L66" t="s">
        <v>79</v>
      </c>
      <c r="M66" t="s">
        <v>88</v>
      </c>
      <c r="N66" t="str">
        <f t="shared" si="4"/>
        <v>Новикова Ольга ПетровнаВасильев Егор Владимирович</v>
      </c>
      <c r="O66" t="s">
        <v>10</v>
      </c>
      <c r="P66" t="s">
        <v>148</v>
      </c>
      <c r="Q66" t="s">
        <v>437</v>
      </c>
    </row>
    <row r="67" spans="4:17" x14ac:dyDescent="0.25">
      <c r="D67" t="s">
        <v>15</v>
      </c>
      <c r="E67" t="s">
        <v>60</v>
      </c>
      <c r="F67" t="str">
        <f t="shared" ref="F67:F130" si="5">VLOOKUP(D67&amp;E67,J:M,4,0)</f>
        <v>2024-03-26</v>
      </c>
      <c r="G67" t="str">
        <f t="shared" ref="G67:G130" si="6">VLOOKUP(D67&amp;E67,N:Q,4,0)</f>
        <v>2024-03-26</v>
      </c>
      <c r="H67">
        <f t="shared" ref="H67:H130" si="7">G67-F67</f>
        <v>0</v>
      </c>
      <c r="J67" t="str">
        <f t="shared" ref="J67:J130" si="8">K67&amp;L67</f>
        <v>Петров Владимир КирилловичСеменова Виктория Владимировна</v>
      </c>
      <c r="K67" t="s">
        <v>36</v>
      </c>
      <c r="L67" t="s">
        <v>73</v>
      </c>
      <c r="M67" t="s">
        <v>88</v>
      </c>
      <c r="N67" t="str">
        <f t="shared" ref="N67:N130" si="9">O67&amp;P67</f>
        <v>Новикова Ольга ПетровнаСеменов Андрей Андреевич</v>
      </c>
      <c r="O67" t="s">
        <v>10</v>
      </c>
      <c r="P67" t="s">
        <v>428</v>
      </c>
      <c r="Q67" t="s">
        <v>437</v>
      </c>
    </row>
    <row r="68" spans="4:17" x14ac:dyDescent="0.25">
      <c r="D68" t="s">
        <v>15</v>
      </c>
      <c r="E68" t="s">
        <v>180</v>
      </c>
      <c r="F68" t="str">
        <f t="shared" si="5"/>
        <v>2023-11-13</v>
      </c>
      <c r="G68" t="str">
        <f t="shared" si="6"/>
        <v>2023-11-22</v>
      </c>
      <c r="H68">
        <f t="shared" si="7"/>
        <v>9</v>
      </c>
      <c r="J68" t="str">
        <f t="shared" si="8"/>
        <v>Кузнецов Дмитрий ЛьвовичАлексеев Матвей Кириллович</v>
      </c>
      <c r="K68" t="s">
        <v>23</v>
      </c>
      <c r="L68" t="s">
        <v>92</v>
      </c>
      <c r="M68" t="s">
        <v>88</v>
      </c>
      <c r="N68" t="str">
        <f t="shared" si="9"/>
        <v>Орлов Павел ДенисовичНиколаев Егор Станиславович</v>
      </c>
      <c r="O68" t="s">
        <v>17</v>
      </c>
      <c r="P68" t="s">
        <v>175</v>
      </c>
      <c r="Q68" t="s">
        <v>437</v>
      </c>
    </row>
    <row r="69" spans="4:17" x14ac:dyDescent="0.25">
      <c r="D69" t="s">
        <v>15</v>
      </c>
      <c r="E69" t="s">
        <v>243</v>
      </c>
      <c r="F69" t="str">
        <f t="shared" si="5"/>
        <v>2024-08-13</v>
      </c>
      <c r="G69" t="str">
        <f t="shared" si="6"/>
        <v>2024-08-13</v>
      </c>
      <c r="H69">
        <f t="shared" si="7"/>
        <v>0</v>
      </c>
      <c r="J69" t="str">
        <f t="shared" si="8"/>
        <v>Ткаченко Андрей ОлеговичСеменов Андрей Кириллович</v>
      </c>
      <c r="K69" t="s">
        <v>5</v>
      </c>
      <c r="L69" t="s">
        <v>93</v>
      </c>
      <c r="M69" t="s">
        <v>88</v>
      </c>
      <c r="N69" t="str">
        <f t="shared" si="9"/>
        <v>Иванова Анна СергеевнаВасильев Никита Викторович</v>
      </c>
      <c r="O69" t="s">
        <v>48</v>
      </c>
      <c r="P69" t="s">
        <v>47</v>
      </c>
      <c r="Q69" t="s">
        <v>437</v>
      </c>
    </row>
    <row r="70" spans="4:17" x14ac:dyDescent="0.25">
      <c r="D70" t="s">
        <v>15</v>
      </c>
      <c r="E70" t="s">
        <v>148</v>
      </c>
      <c r="F70" t="str">
        <f t="shared" si="5"/>
        <v>2024-07-03</v>
      </c>
      <c r="G70" t="str">
        <f t="shared" si="6"/>
        <v>2024-07-03</v>
      </c>
      <c r="H70">
        <f t="shared" si="7"/>
        <v>0</v>
      </c>
      <c r="J70" t="str">
        <f t="shared" si="8"/>
        <v>Яковлев Артем ИгоревичПетрова Людмила Ильинична</v>
      </c>
      <c r="K70" t="s">
        <v>52</v>
      </c>
      <c r="L70" t="s">
        <v>29</v>
      </c>
      <c r="M70" t="s">
        <v>94</v>
      </c>
      <c r="N70" t="str">
        <f t="shared" si="9"/>
        <v>Сидорова Елена ВасильевнаКозлов Алексей Иванович</v>
      </c>
      <c r="O70" t="s">
        <v>12</v>
      </c>
      <c r="P70" t="s">
        <v>149</v>
      </c>
      <c r="Q70" t="s">
        <v>437</v>
      </c>
    </row>
    <row r="71" spans="4:17" x14ac:dyDescent="0.25">
      <c r="D71" t="s">
        <v>15</v>
      </c>
      <c r="E71" t="s">
        <v>116</v>
      </c>
      <c r="F71" t="str">
        <f t="shared" si="5"/>
        <v>2024-07-29</v>
      </c>
      <c r="G71" t="str">
        <f t="shared" si="6"/>
        <v>2024-07-29</v>
      </c>
      <c r="H71">
        <f t="shared" si="7"/>
        <v>0</v>
      </c>
      <c r="J71" t="str">
        <f t="shared" si="8"/>
        <v>Иванова Анна СергеевнаОрлов Максим Егорович</v>
      </c>
      <c r="K71" t="s">
        <v>48</v>
      </c>
      <c r="L71" t="s">
        <v>87</v>
      </c>
      <c r="M71" t="s">
        <v>94</v>
      </c>
      <c r="N71" t="str">
        <f t="shared" si="9"/>
        <v>Орлов Павел ДенисовичНиколаева Ирина Романовна</v>
      </c>
      <c r="O71" t="s">
        <v>17</v>
      </c>
      <c r="P71" t="s">
        <v>268</v>
      </c>
      <c r="Q71" t="s">
        <v>437</v>
      </c>
    </row>
    <row r="72" spans="4:17" x14ac:dyDescent="0.25">
      <c r="D72" t="s">
        <v>15</v>
      </c>
      <c r="E72" t="s">
        <v>37</v>
      </c>
      <c r="F72" t="str">
        <f t="shared" si="5"/>
        <v>2024-05-31</v>
      </c>
      <c r="G72" t="str">
        <f t="shared" si="6"/>
        <v>2024-05-31</v>
      </c>
      <c r="H72">
        <f t="shared" si="7"/>
        <v>0</v>
      </c>
      <c r="J72" t="str">
        <f t="shared" si="8"/>
        <v>Кузнецов Дмитрий ЛьвовичВасильев Кирилл Михайлович</v>
      </c>
      <c r="K72" t="s">
        <v>23</v>
      </c>
      <c r="L72" t="s">
        <v>95</v>
      </c>
      <c r="M72" t="s">
        <v>96</v>
      </c>
      <c r="N72" t="str">
        <f t="shared" si="9"/>
        <v>Иванова Анна СергеевнаМорозова София Михайловна</v>
      </c>
      <c r="O72" t="s">
        <v>48</v>
      </c>
      <c r="P72" t="s">
        <v>51</v>
      </c>
      <c r="Q72" t="s">
        <v>436</v>
      </c>
    </row>
    <row r="73" spans="4:17" x14ac:dyDescent="0.25">
      <c r="D73" t="s">
        <v>15</v>
      </c>
      <c r="E73" t="s">
        <v>111</v>
      </c>
      <c r="F73" t="str">
        <f t="shared" si="5"/>
        <v>2024-02-26</v>
      </c>
      <c r="G73" t="str">
        <f t="shared" si="6"/>
        <v>2024-07-02</v>
      </c>
      <c r="H73">
        <f t="shared" si="7"/>
        <v>127</v>
      </c>
      <c r="J73" t="str">
        <f t="shared" si="8"/>
        <v>Иванова Анна СергеевнаСтепанов Александр Юрьевич</v>
      </c>
      <c r="K73" t="s">
        <v>48</v>
      </c>
      <c r="L73" t="s">
        <v>97</v>
      </c>
      <c r="M73" t="s">
        <v>96</v>
      </c>
      <c r="N73" t="str">
        <f t="shared" si="9"/>
        <v>Сидорова Елена ВасильевнаФедорова Вероника Ивановна</v>
      </c>
      <c r="O73" t="s">
        <v>12</v>
      </c>
      <c r="P73" t="s">
        <v>107</v>
      </c>
      <c r="Q73" t="s">
        <v>436</v>
      </c>
    </row>
    <row r="74" spans="4:17" x14ac:dyDescent="0.25">
      <c r="D74" t="s">
        <v>15</v>
      </c>
      <c r="E74" t="s">
        <v>75</v>
      </c>
      <c r="F74" t="str">
        <f t="shared" si="5"/>
        <v>2023-09-20</v>
      </c>
      <c r="G74" t="str">
        <f t="shared" si="6"/>
        <v>2023-09-20</v>
      </c>
      <c r="H74">
        <f t="shared" si="7"/>
        <v>0</v>
      </c>
      <c r="J74" t="str">
        <f t="shared" si="8"/>
        <v>Иванова Анна СергеевнаПетров Сергей Викторович</v>
      </c>
      <c r="K74" t="s">
        <v>48</v>
      </c>
      <c r="L74" t="s">
        <v>98</v>
      </c>
      <c r="M74" t="s">
        <v>96</v>
      </c>
      <c r="N74" t="str">
        <f t="shared" si="9"/>
        <v>Орлов Павел ДенисовичПавлов Роман Александрович</v>
      </c>
      <c r="O74" t="s">
        <v>17</v>
      </c>
      <c r="P74" t="s">
        <v>134</v>
      </c>
      <c r="Q74" t="s">
        <v>435</v>
      </c>
    </row>
    <row r="75" spans="4:17" x14ac:dyDescent="0.25">
      <c r="D75" t="s">
        <v>15</v>
      </c>
      <c r="E75" t="s">
        <v>19</v>
      </c>
      <c r="F75" t="str">
        <f t="shared" si="5"/>
        <v>2024-01-24</v>
      </c>
      <c r="G75" t="str">
        <f t="shared" si="6"/>
        <v>2024-01-24</v>
      </c>
      <c r="H75">
        <f t="shared" si="7"/>
        <v>0</v>
      </c>
      <c r="J75" t="str">
        <f t="shared" si="8"/>
        <v>Белов Алексей КонстантиновичЛебедев Сергей Иванович</v>
      </c>
      <c r="K75" t="s">
        <v>8</v>
      </c>
      <c r="L75" t="s">
        <v>99</v>
      </c>
      <c r="M75" t="s">
        <v>100</v>
      </c>
      <c r="N75" t="str">
        <f t="shared" si="9"/>
        <v>Ткаченко Андрей ОлеговичПавлова Ольга Юрьевна</v>
      </c>
      <c r="O75" t="s">
        <v>5</v>
      </c>
      <c r="P75" t="s">
        <v>112</v>
      </c>
      <c r="Q75" t="s">
        <v>434</v>
      </c>
    </row>
    <row r="76" spans="4:17" x14ac:dyDescent="0.25">
      <c r="D76" t="s">
        <v>15</v>
      </c>
      <c r="E76" t="s">
        <v>229</v>
      </c>
      <c r="F76" t="str">
        <f t="shared" si="5"/>
        <v>2024-08-29</v>
      </c>
      <c r="G76" t="str">
        <f t="shared" si="6"/>
        <v>2024-08-29</v>
      </c>
      <c r="H76">
        <f t="shared" si="7"/>
        <v>0</v>
      </c>
      <c r="J76" t="str">
        <f t="shared" si="8"/>
        <v>Белов Алексей КонстантиновичСмирнов Александр Владимирович</v>
      </c>
      <c r="K76" t="s">
        <v>8</v>
      </c>
      <c r="L76" t="s">
        <v>101</v>
      </c>
      <c r="M76" t="s">
        <v>100</v>
      </c>
      <c r="N76" t="str">
        <f t="shared" si="9"/>
        <v>Семенова Ирина ВалерьевнаЛебедев Павел Кириллович</v>
      </c>
      <c r="O76" t="s">
        <v>46</v>
      </c>
      <c r="P76" t="s">
        <v>6</v>
      </c>
      <c r="Q76" t="s">
        <v>434</v>
      </c>
    </row>
    <row r="77" spans="4:17" x14ac:dyDescent="0.25">
      <c r="D77" t="s">
        <v>15</v>
      </c>
      <c r="E77" t="s">
        <v>74</v>
      </c>
      <c r="F77" t="str">
        <f t="shared" si="5"/>
        <v>2024-07-15</v>
      </c>
      <c r="G77" t="str">
        <f t="shared" si="6"/>
        <v>2024-07-15</v>
      </c>
      <c r="H77">
        <f t="shared" si="7"/>
        <v>0</v>
      </c>
      <c r="J77" t="str">
        <f t="shared" si="8"/>
        <v>Новикова Ольга ПетровнаНовикова Алиса Юрьевна</v>
      </c>
      <c r="K77" t="s">
        <v>10</v>
      </c>
      <c r="L77" t="s">
        <v>102</v>
      </c>
      <c r="M77" t="s">
        <v>100</v>
      </c>
      <c r="N77" t="str">
        <f t="shared" si="9"/>
        <v>Орлов Павел ДенисовичПетрова София Алексеевна</v>
      </c>
      <c r="O77" t="s">
        <v>17</v>
      </c>
      <c r="P77" t="s">
        <v>59</v>
      </c>
      <c r="Q77" t="s">
        <v>434</v>
      </c>
    </row>
    <row r="78" spans="4:17" x14ac:dyDescent="0.25">
      <c r="D78" t="s">
        <v>15</v>
      </c>
      <c r="E78" t="s">
        <v>63</v>
      </c>
      <c r="F78" t="str">
        <f t="shared" si="5"/>
        <v>2023-11-13</v>
      </c>
      <c r="G78" t="str">
        <f t="shared" si="6"/>
        <v>2023-11-13</v>
      </c>
      <c r="H78">
        <f t="shared" si="7"/>
        <v>0</v>
      </c>
      <c r="J78" t="str">
        <f t="shared" si="8"/>
        <v>Фролов Сергей ВикторовичПавлов Матвей Дмитриевич</v>
      </c>
      <c r="K78" t="s">
        <v>27</v>
      </c>
      <c r="L78" t="s">
        <v>103</v>
      </c>
      <c r="M78" t="s">
        <v>104</v>
      </c>
      <c r="N78" t="str">
        <f t="shared" si="9"/>
        <v>Семенова Ирина ВалерьевнаПавлова Анна Михайловна</v>
      </c>
      <c r="O78" t="s">
        <v>46</v>
      </c>
      <c r="P78" t="s">
        <v>191</v>
      </c>
      <c r="Q78" t="s">
        <v>434</v>
      </c>
    </row>
    <row r="79" spans="4:17" x14ac:dyDescent="0.25">
      <c r="D79" t="s">
        <v>15</v>
      </c>
      <c r="E79" t="s">
        <v>173</v>
      </c>
      <c r="F79" t="str">
        <f t="shared" si="5"/>
        <v>2024-03-12</v>
      </c>
      <c r="G79" t="str">
        <f t="shared" si="6"/>
        <v>2024-04-18</v>
      </c>
      <c r="H79">
        <f t="shared" si="7"/>
        <v>37</v>
      </c>
      <c r="J79" t="str">
        <f t="shared" si="8"/>
        <v>Новикова Ольга ПетровнаСидоров Артем Викторович</v>
      </c>
      <c r="K79" t="s">
        <v>10</v>
      </c>
      <c r="L79" t="s">
        <v>13</v>
      </c>
      <c r="M79" t="s">
        <v>104</v>
      </c>
      <c r="N79" t="str">
        <f t="shared" si="9"/>
        <v>Орлов Павел ДенисовичНовиков Алексей Александрович</v>
      </c>
      <c r="O79" t="s">
        <v>17</v>
      </c>
      <c r="P79" t="s">
        <v>16</v>
      </c>
      <c r="Q79" t="s">
        <v>434</v>
      </c>
    </row>
    <row r="80" spans="4:17" x14ac:dyDescent="0.25">
      <c r="D80" t="s">
        <v>15</v>
      </c>
      <c r="E80" t="s">
        <v>67</v>
      </c>
      <c r="F80" t="str">
        <f t="shared" si="5"/>
        <v>2024-03-07</v>
      </c>
      <c r="G80" t="str">
        <f t="shared" si="6"/>
        <v>2024-03-07</v>
      </c>
      <c r="H80">
        <f t="shared" si="7"/>
        <v>0</v>
      </c>
      <c r="J80" t="str">
        <f t="shared" si="8"/>
        <v>Иванова Анна СергеевнаПопов Дмитрий Ильич</v>
      </c>
      <c r="K80" t="s">
        <v>48</v>
      </c>
      <c r="L80" t="s">
        <v>105</v>
      </c>
      <c r="M80" t="s">
        <v>104</v>
      </c>
      <c r="N80" t="str">
        <f t="shared" si="9"/>
        <v>Яковлев Артем ИгоревичФедорова Татьяна Никитична</v>
      </c>
      <c r="O80" t="s">
        <v>52</v>
      </c>
      <c r="P80" t="s">
        <v>292</v>
      </c>
      <c r="Q80" t="s">
        <v>434</v>
      </c>
    </row>
    <row r="81" spans="4:17" x14ac:dyDescent="0.25">
      <c r="D81" t="s">
        <v>15</v>
      </c>
      <c r="E81" t="s">
        <v>188</v>
      </c>
      <c r="F81" t="str">
        <f t="shared" si="5"/>
        <v>2023-11-20</v>
      </c>
      <c r="G81" t="str">
        <f t="shared" si="6"/>
        <v>2023-11-20</v>
      </c>
      <c r="H81">
        <f t="shared" si="7"/>
        <v>0</v>
      </c>
      <c r="J81" t="str">
        <f t="shared" si="8"/>
        <v>Орлов Павел ДенисовичСмирнов Дмитрий Александрович</v>
      </c>
      <c r="K81" t="s">
        <v>17</v>
      </c>
      <c r="L81" t="s">
        <v>20</v>
      </c>
      <c r="M81" t="s">
        <v>104</v>
      </c>
      <c r="N81" t="str">
        <f t="shared" si="9"/>
        <v>Петров Владимир КирилловичВолкова Валерия Олеговна</v>
      </c>
      <c r="O81" t="s">
        <v>36</v>
      </c>
      <c r="P81" t="s">
        <v>55</v>
      </c>
      <c r="Q81" t="s">
        <v>433</v>
      </c>
    </row>
    <row r="82" spans="4:17" x14ac:dyDescent="0.25">
      <c r="D82" t="s">
        <v>15</v>
      </c>
      <c r="E82" t="s">
        <v>248</v>
      </c>
      <c r="F82" t="str">
        <f t="shared" si="5"/>
        <v>2024-01-01</v>
      </c>
      <c r="G82" t="str">
        <f t="shared" si="6"/>
        <v>2024-04-08</v>
      </c>
      <c r="H82">
        <f t="shared" si="7"/>
        <v>98</v>
      </c>
      <c r="J82" t="str">
        <f t="shared" si="8"/>
        <v>Ткаченко Андрей ОлеговичСеменова Виктория Владимировна</v>
      </c>
      <c r="K82" t="s">
        <v>5</v>
      </c>
      <c r="L82" t="s">
        <v>73</v>
      </c>
      <c r="M82" t="s">
        <v>106</v>
      </c>
      <c r="N82" t="str">
        <f t="shared" si="9"/>
        <v>Семенова Ирина ВалерьевнаИванова Анна Викторовна</v>
      </c>
      <c r="O82" t="s">
        <v>46</v>
      </c>
      <c r="P82" t="s">
        <v>281</v>
      </c>
      <c r="Q82" t="s">
        <v>433</v>
      </c>
    </row>
    <row r="83" spans="4:17" x14ac:dyDescent="0.25">
      <c r="D83" t="s">
        <v>15</v>
      </c>
      <c r="E83" t="s">
        <v>320</v>
      </c>
      <c r="F83" t="str">
        <f t="shared" si="5"/>
        <v>2024-03-06</v>
      </c>
      <c r="G83" t="str">
        <f t="shared" si="6"/>
        <v>2024-03-06</v>
      </c>
      <c r="H83">
        <f t="shared" si="7"/>
        <v>0</v>
      </c>
      <c r="J83" t="str">
        <f t="shared" si="8"/>
        <v>Ткаченко Андрей ОлеговичФедорова Вероника Ивановна</v>
      </c>
      <c r="K83" t="s">
        <v>5</v>
      </c>
      <c r="L83" t="s">
        <v>107</v>
      </c>
      <c r="M83" t="s">
        <v>106</v>
      </c>
      <c r="N83" t="str">
        <f t="shared" si="9"/>
        <v>Иванова Анна СергеевнаЛебедева Людмила Юрьевна</v>
      </c>
      <c r="O83" t="s">
        <v>48</v>
      </c>
      <c r="P83" t="s">
        <v>238</v>
      </c>
      <c r="Q83" t="s">
        <v>432</v>
      </c>
    </row>
    <row r="84" spans="4:17" x14ac:dyDescent="0.25">
      <c r="D84" t="s">
        <v>15</v>
      </c>
      <c r="E84" t="s">
        <v>86</v>
      </c>
      <c r="F84" t="str">
        <f t="shared" si="5"/>
        <v>2023-12-12</v>
      </c>
      <c r="G84" t="str">
        <f t="shared" si="6"/>
        <v>2024-04-18</v>
      </c>
      <c r="H84">
        <f t="shared" si="7"/>
        <v>128</v>
      </c>
      <c r="J84" t="str">
        <f t="shared" si="8"/>
        <v>Кузнецов Дмитрий ЛьвовичСтепанова Анна Никитична</v>
      </c>
      <c r="K84" t="s">
        <v>23</v>
      </c>
      <c r="L84" t="s">
        <v>108</v>
      </c>
      <c r="M84" t="s">
        <v>106</v>
      </c>
      <c r="N84" t="str">
        <f t="shared" si="9"/>
        <v>Белов Алексей КонстантиновичПетрова Полина Дмитриевна</v>
      </c>
      <c r="O84" t="s">
        <v>8</v>
      </c>
      <c r="P84" t="s">
        <v>109</v>
      </c>
      <c r="Q84" t="s">
        <v>432</v>
      </c>
    </row>
    <row r="85" spans="4:17" x14ac:dyDescent="0.25">
      <c r="D85" t="s">
        <v>15</v>
      </c>
      <c r="E85" t="s">
        <v>325</v>
      </c>
      <c r="F85" t="str">
        <f t="shared" si="5"/>
        <v>2024-07-15</v>
      </c>
      <c r="G85" t="str">
        <f t="shared" si="6"/>
        <v>2024-07-15</v>
      </c>
      <c r="H85">
        <f t="shared" si="7"/>
        <v>0</v>
      </c>
      <c r="J85" t="str">
        <f t="shared" si="8"/>
        <v>Петров Владимир КирилловичПетрова Полина Дмитриевна</v>
      </c>
      <c r="K85" t="s">
        <v>36</v>
      </c>
      <c r="L85" t="s">
        <v>109</v>
      </c>
      <c r="M85" t="s">
        <v>106</v>
      </c>
      <c r="N85" t="str">
        <f t="shared" si="9"/>
        <v>Ткаченко Андрей ОлеговичПавлов Константин Никитич</v>
      </c>
      <c r="O85" t="s">
        <v>5</v>
      </c>
      <c r="P85" t="s">
        <v>232</v>
      </c>
      <c r="Q85" t="s">
        <v>432</v>
      </c>
    </row>
    <row r="86" spans="4:17" x14ac:dyDescent="0.25">
      <c r="D86" t="s">
        <v>15</v>
      </c>
      <c r="E86" t="s">
        <v>258</v>
      </c>
      <c r="F86" t="str">
        <f t="shared" si="5"/>
        <v>2024-01-09</v>
      </c>
      <c r="G86" t="str">
        <f t="shared" si="6"/>
        <v>2024-01-09</v>
      </c>
      <c r="H86">
        <f t="shared" si="7"/>
        <v>0</v>
      </c>
      <c r="J86" t="str">
        <f t="shared" si="8"/>
        <v>Фролов Сергей ВикторовичОрлова Валерия Юрьевна</v>
      </c>
      <c r="K86" t="s">
        <v>27</v>
      </c>
      <c r="L86" t="s">
        <v>81</v>
      </c>
      <c r="M86" t="s">
        <v>110</v>
      </c>
      <c r="N86" t="str">
        <f t="shared" si="9"/>
        <v>Фролов Сергей ВикторовичСмирнов Егор Никитич</v>
      </c>
      <c r="O86" t="s">
        <v>27</v>
      </c>
      <c r="P86" t="s">
        <v>296</v>
      </c>
      <c r="Q86" t="s">
        <v>431</v>
      </c>
    </row>
    <row r="87" spans="4:17" x14ac:dyDescent="0.25">
      <c r="D87" t="s">
        <v>15</v>
      </c>
      <c r="E87" t="s">
        <v>302</v>
      </c>
      <c r="F87" t="str">
        <f t="shared" si="5"/>
        <v>2024-08-19</v>
      </c>
      <c r="G87" t="str">
        <f t="shared" si="6"/>
        <v>2024-08-19</v>
      </c>
      <c r="H87">
        <f t="shared" si="7"/>
        <v>0</v>
      </c>
      <c r="J87" t="str">
        <f t="shared" si="8"/>
        <v>Петров Владимир КирилловичВолков Алексей Артемович</v>
      </c>
      <c r="K87" t="s">
        <v>36</v>
      </c>
      <c r="L87" t="s">
        <v>111</v>
      </c>
      <c r="M87" t="s">
        <v>110</v>
      </c>
      <c r="N87" t="str">
        <f t="shared" si="9"/>
        <v>Иванова Анна СергеевнаМорозова Наталья Геннадьевна</v>
      </c>
      <c r="O87" t="s">
        <v>48</v>
      </c>
      <c r="P87" t="s">
        <v>133</v>
      </c>
      <c r="Q87" t="s">
        <v>431</v>
      </c>
    </row>
    <row r="88" spans="4:17" x14ac:dyDescent="0.25">
      <c r="D88" t="s">
        <v>15</v>
      </c>
      <c r="E88" t="s">
        <v>187</v>
      </c>
      <c r="F88" t="str">
        <f t="shared" si="5"/>
        <v>2024-08-21</v>
      </c>
      <c r="G88" t="str">
        <f t="shared" si="6"/>
        <v>2024-08-21</v>
      </c>
      <c r="H88">
        <f t="shared" si="7"/>
        <v>0</v>
      </c>
      <c r="J88" t="str">
        <f t="shared" si="8"/>
        <v>Яковлев Артем ИгоревичВасильев Кирилл Михайлович</v>
      </c>
      <c r="K88" t="s">
        <v>52</v>
      </c>
      <c r="L88" t="s">
        <v>95</v>
      </c>
      <c r="M88" t="s">
        <v>110</v>
      </c>
      <c r="N88" t="str">
        <f t="shared" si="9"/>
        <v>Орлов Павел ДенисовичНиколаев Егор Станиславович</v>
      </c>
      <c r="O88" t="s">
        <v>17</v>
      </c>
      <c r="P88" t="s">
        <v>175</v>
      </c>
      <c r="Q88" t="s">
        <v>431</v>
      </c>
    </row>
    <row r="89" spans="4:17" x14ac:dyDescent="0.25">
      <c r="D89" t="s">
        <v>15</v>
      </c>
      <c r="E89" t="s">
        <v>150</v>
      </c>
      <c r="F89" t="str">
        <f t="shared" si="5"/>
        <v>2023-12-07</v>
      </c>
      <c r="G89" t="str">
        <f t="shared" si="6"/>
        <v>2023-12-07</v>
      </c>
      <c r="H89">
        <f t="shared" si="7"/>
        <v>0</v>
      </c>
      <c r="J89" t="str">
        <f t="shared" si="8"/>
        <v>Семенова Ирина ВалерьевнаПавлова Ольга Юрьевна</v>
      </c>
      <c r="K89" t="s">
        <v>46</v>
      </c>
      <c r="L89" t="s">
        <v>112</v>
      </c>
      <c r="M89" t="s">
        <v>110</v>
      </c>
      <c r="N89" t="str">
        <f t="shared" si="9"/>
        <v>Яковлев Артем ИгоревичПетрова Людмила Олеговна</v>
      </c>
      <c r="O89" t="s">
        <v>52</v>
      </c>
      <c r="P89" t="s">
        <v>70</v>
      </c>
      <c r="Q89" t="s">
        <v>431</v>
      </c>
    </row>
    <row r="90" spans="4:17" x14ac:dyDescent="0.25">
      <c r="D90" t="s">
        <v>15</v>
      </c>
      <c r="E90" t="s">
        <v>125</v>
      </c>
      <c r="F90" t="str">
        <f t="shared" si="5"/>
        <v>2024-02-28</v>
      </c>
      <c r="G90" t="str">
        <f t="shared" si="6"/>
        <v>2024-02-28</v>
      </c>
      <c r="H90">
        <f t="shared" si="7"/>
        <v>0</v>
      </c>
      <c r="J90" t="str">
        <f t="shared" si="8"/>
        <v>Яковлев Артем ИгоревичКозлов Артем Владимирович</v>
      </c>
      <c r="K90" t="s">
        <v>52</v>
      </c>
      <c r="L90" t="s">
        <v>113</v>
      </c>
      <c r="M90" t="s">
        <v>110</v>
      </c>
      <c r="N90" t="str">
        <f t="shared" si="9"/>
        <v>Петров Владимир КирилловичАлексеева Ксения Андреевна</v>
      </c>
      <c r="O90" t="s">
        <v>36</v>
      </c>
      <c r="P90" t="s">
        <v>184</v>
      </c>
      <c r="Q90" t="s">
        <v>430</v>
      </c>
    </row>
    <row r="91" spans="4:17" x14ac:dyDescent="0.25">
      <c r="D91" t="s">
        <v>15</v>
      </c>
      <c r="E91" t="s">
        <v>133</v>
      </c>
      <c r="F91" t="str">
        <f t="shared" si="5"/>
        <v>2023-10-12</v>
      </c>
      <c r="G91" t="str">
        <f t="shared" si="6"/>
        <v>2023-10-12</v>
      </c>
      <c r="H91">
        <f t="shared" si="7"/>
        <v>0</v>
      </c>
      <c r="J91" t="str">
        <f t="shared" si="8"/>
        <v>Иванова Анна СергеевнаКузнецова Валерия Романовна</v>
      </c>
      <c r="K91" t="s">
        <v>48</v>
      </c>
      <c r="L91" t="s">
        <v>71</v>
      </c>
      <c r="M91" t="s">
        <v>110</v>
      </c>
      <c r="N91" t="str">
        <f t="shared" si="9"/>
        <v>Семенова Ирина ВалерьевнаСеменов Никита Михайлович</v>
      </c>
      <c r="O91" t="s">
        <v>46</v>
      </c>
      <c r="P91" t="s">
        <v>300</v>
      </c>
      <c r="Q91" t="s">
        <v>430</v>
      </c>
    </row>
    <row r="92" spans="4:17" x14ac:dyDescent="0.25">
      <c r="D92" t="s">
        <v>15</v>
      </c>
      <c r="E92" t="s">
        <v>144</v>
      </c>
      <c r="F92" t="str">
        <f t="shared" si="5"/>
        <v>2023-10-20</v>
      </c>
      <c r="G92" t="str">
        <f t="shared" si="6"/>
        <v>2023-10-20</v>
      </c>
      <c r="H92">
        <f t="shared" si="7"/>
        <v>0</v>
      </c>
      <c r="J92" t="str">
        <f t="shared" si="8"/>
        <v>Кузнецов Дмитрий ЛьвовичВолков Роман Иванович</v>
      </c>
      <c r="K92" t="s">
        <v>23</v>
      </c>
      <c r="L92" t="s">
        <v>75</v>
      </c>
      <c r="M92" t="s">
        <v>114</v>
      </c>
      <c r="N92" t="str">
        <f t="shared" si="9"/>
        <v>Новикова Ольга ПетровнаФедорова Вероника Ивановна</v>
      </c>
      <c r="O92" t="s">
        <v>10</v>
      </c>
      <c r="P92" t="s">
        <v>107</v>
      </c>
      <c r="Q92" t="s">
        <v>427</v>
      </c>
    </row>
    <row r="93" spans="4:17" x14ac:dyDescent="0.25">
      <c r="D93" t="s">
        <v>15</v>
      </c>
      <c r="E93" t="s">
        <v>80</v>
      </c>
      <c r="F93" t="str">
        <f t="shared" si="5"/>
        <v>2024-01-10</v>
      </c>
      <c r="G93" t="str">
        <f t="shared" si="6"/>
        <v>2024-01-10</v>
      </c>
      <c r="H93">
        <f t="shared" si="7"/>
        <v>0</v>
      </c>
      <c r="J93" t="str">
        <f t="shared" si="8"/>
        <v>Петров Владимир КирилловичВолкова Наталья Александровна</v>
      </c>
      <c r="K93" t="s">
        <v>36</v>
      </c>
      <c r="L93" t="s">
        <v>115</v>
      </c>
      <c r="M93" t="s">
        <v>114</v>
      </c>
      <c r="N93" t="str">
        <f t="shared" si="9"/>
        <v>Иванова Анна СергеевнаВасильева Мария Дмитриевна</v>
      </c>
      <c r="O93" t="s">
        <v>48</v>
      </c>
      <c r="P93" t="s">
        <v>304</v>
      </c>
      <c r="Q93" t="s">
        <v>427</v>
      </c>
    </row>
    <row r="94" spans="4:17" x14ac:dyDescent="0.25">
      <c r="D94" t="s">
        <v>15</v>
      </c>
      <c r="E94" t="s">
        <v>129</v>
      </c>
      <c r="F94" t="str">
        <f t="shared" si="5"/>
        <v>2024-07-04</v>
      </c>
      <c r="G94" t="str">
        <f t="shared" si="6"/>
        <v>2024-07-04</v>
      </c>
      <c r="H94">
        <f t="shared" si="7"/>
        <v>0</v>
      </c>
      <c r="J94" t="str">
        <f t="shared" si="8"/>
        <v>Кузнецов Дмитрий ЛьвовичПавлова Екатерина Павловна</v>
      </c>
      <c r="K94" t="s">
        <v>23</v>
      </c>
      <c r="L94" t="s">
        <v>57</v>
      </c>
      <c r="M94" t="s">
        <v>114</v>
      </c>
      <c r="N94" t="str">
        <f t="shared" si="9"/>
        <v>Орлов Павел ДенисовичЛебедева Полина Артемовна</v>
      </c>
      <c r="O94" t="s">
        <v>17</v>
      </c>
      <c r="P94" t="s">
        <v>38</v>
      </c>
      <c r="Q94" t="s">
        <v>427</v>
      </c>
    </row>
    <row r="95" spans="4:17" x14ac:dyDescent="0.25">
      <c r="D95" t="s">
        <v>15</v>
      </c>
      <c r="E95" t="s">
        <v>127</v>
      </c>
      <c r="F95" t="str">
        <f t="shared" si="5"/>
        <v>2023-10-11</v>
      </c>
      <c r="G95" t="str">
        <f t="shared" si="6"/>
        <v>2023-10-11</v>
      </c>
      <c r="H95">
        <f t="shared" si="7"/>
        <v>0</v>
      </c>
      <c r="J95" t="str">
        <f t="shared" si="8"/>
        <v>Ткаченко Андрей ОлеговичВасильева Наталья Никитична</v>
      </c>
      <c r="K95" t="s">
        <v>5</v>
      </c>
      <c r="L95" t="s">
        <v>116</v>
      </c>
      <c r="M95" t="s">
        <v>117</v>
      </c>
      <c r="N95" t="str">
        <f t="shared" si="9"/>
        <v>Громова Мария ИльиничнаВасильева Наталья Никитична</v>
      </c>
      <c r="O95" t="s">
        <v>15</v>
      </c>
      <c r="P95" t="s">
        <v>116</v>
      </c>
      <c r="Q95" t="s">
        <v>427</v>
      </c>
    </row>
    <row r="96" spans="4:17" x14ac:dyDescent="0.25">
      <c r="D96" t="s">
        <v>15</v>
      </c>
      <c r="E96" t="s">
        <v>66</v>
      </c>
      <c r="F96" t="str">
        <f t="shared" si="5"/>
        <v>2024-07-08</v>
      </c>
      <c r="G96" t="str">
        <f t="shared" si="6"/>
        <v>2024-07-08</v>
      </c>
      <c r="H96">
        <f t="shared" si="7"/>
        <v>0</v>
      </c>
      <c r="J96" t="str">
        <f t="shared" si="8"/>
        <v>Новикова Ольга ПетровнаСтепанов Никита Михайлович</v>
      </c>
      <c r="K96" t="s">
        <v>10</v>
      </c>
      <c r="L96" t="s">
        <v>68</v>
      </c>
      <c r="M96" t="s">
        <v>117</v>
      </c>
      <c r="N96" t="str">
        <f t="shared" si="9"/>
        <v>Новикова Ольга ПетровнаСеменов Андрей Андреевич</v>
      </c>
      <c r="O96" t="s">
        <v>10</v>
      </c>
      <c r="P96" t="s">
        <v>428</v>
      </c>
      <c r="Q96" t="s">
        <v>427</v>
      </c>
    </row>
    <row r="97" spans="4:17" x14ac:dyDescent="0.25">
      <c r="D97" t="s">
        <v>15</v>
      </c>
      <c r="E97" t="s">
        <v>16</v>
      </c>
      <c r="F97" t="str">
        <f t="shared" si="5"/>
        <v>2023-09-04</v>
      </c>
      <c r="G97" t="str">
        <f t="shared" si="6"/>
        <v>2023-10-13</v>
      </c>
      <c r="H97">
        <f t="shared" si="7"/>
        <v>39</v>
      </c>
      <c r="J97" t="str">
        <f t="shared" si="8"/>
        <v>Фролов Сергей ВикторовичПопова Александра Юрьевна</v>
      </c>
      <c r="K97" t="s">
        <v>27</v>
      </c>
      <c r="L97" t="s">
        <v>118</v>
      </c>
      <c r="M97" t="s">
        <v>119</v>
      </c>
      <c r="N97" t="str">
        <f t="shared" si="9"/>
        <v>Петров Владимир КирилловичПетров Павел Михайлович</v>
      </c>
      <c r="O97" t="s">
        <v>36</v>
      </c>
      <c r="P97" t="s">
        <v>429</v>
      </c>
      <c r="Q97" t="s">
        <v>427</v>
      </c>
    </row>
    <row r="98" spans="4:17" x14ac:dyDescent="0.25">
      <c r="D98" t="s">
        <v>15</v>
      </c>
      <c r="E98" t="s">
        <v>181</v>
      </c>
      <c r="F98" t="str">
        <f t="shared" si="5"/>
        <v>2023-11-13</v>
      </c>
      <c r="G98" t="str">
        <f t="shared" si="6"/>
        <v>2023-12-04</v>
      </c>
      <c r="H98">
        <f t="shared" si="7"/>
        <v>21</v>
      </c>
      <c r="J98" t="str">
        <f t="shared" si="8"/>
        <v>Белов Алексей КонстантиновичКузнецова Ксения Кирилловна</v>
      </c>
      <c r="K98" t="s">
        <v>8</v>
      </c>
      <c r="L98" t="s">
        <v>120</v>
      </c>
      <c r="M98" t="s">
        <v>119</v>
      </c>
      <c r="N98" t="str">
        <f t="shared" si="9"/>
        <v>Белов Алексей КонстантиновичИванова Анна Викторовна</v>
      </c>
      <c r="O98" t="s">
        <v>8</v>
      </c>
      <c r="P98" t="s">
        <v>281</v>
      </c>
      <c r="Q98" t="s">
        <v>427</v>
      </c>
    </row>
    <row r="99" spans="4:17" x14ac:dyDescent="0.25">
      <c r="D99" t="s">
        <v>15</v>
      </c>
      <c r="E99" t="s">
        <v>121</v>
      </c>
      <c r="F99" t="str">
        <f t="shared" si="5"/>
        <v>2024-03-11</v>
      </c>
      <c r="G99" t="str">
        <f t="shared" si="6"/>
        <v>2024-03-11</v>
      </c>
      <c r="H99">
        <f t="shared" si="7"/>
        <v>0</v>
      </c>
      <c r="J99" t="str">
        <f t="shared" si="8"/>
        <v>Семенова Ирина ВалерьевнаСмирнов Александр Владимирович</v>
      </c>
      <c r="K99" t="s">
        <v>46</v>
      </c>
      <c r="L99" t="s">
        <v>101</v>
      </c>
      <c r="M99" t="s">
        <v>119</v>
      </c>
      <c r="N99" t="str">
        <f t="shared" si="9"/>
        <v>Ткаченко Андрей ОлеговичСтепанов Роман Павлович</v>
      </c>
      <c r="O99" t="s">
        <v>5</v>
      </c>
      <c r="P99" t="s">
        <v>190</v>
      </c>
      <c r="Q99" t="s">
        <v>427</v>
      </c>
    </row>
    <row r="100" spans="4:17" x14ac:dyDescent="0.25">
      <c r="D100" t="s">
        <v>15</v>
      </c>
      <c r="E100" t="s">
        <v>312</v>
      </c>
      <c r="F100" t="str">
        <f t="shared" si="5"/>
        <v>2024-06-03</v>
      </c>
      <c r="G100" t="str">
        <f t="shared" si="6"/>
        <v>2024-06-03</v>
      </c>
      <c r="H100">
        <f t="shared" si="7"/>
        <v>0</v>
      </c>
      <c r="J100" t="str">
        <f t="shared" si="8"/>
        <v>Новикова Ольга ПетровнаВолков Роман Иванович</v>
      </c>
      <c r="K100" t="s">
        <v>10</v>
      </c>
      <c r="L100" t="s">
        <v>75</v>
      </c>
      <c r="M100" t="s">
        <v>119</v>
      </c>
      <c r="N100" t="str">
        <f t="shared" si="9"/>
        <v>Семенова Ирина ВалерьевнаИванова Екатерина Егоровна</v>
      </c>
      <c r="O100" t="s">
        <v>46</v>
      </c>
      <c r="P100" t="s">
        <v>131</v>
      </c>
      <c r="Q100" t="s">
        <v>427</v>
      </c>
    </row>
    <row r="101" spans="4:17" x14ac:dyDescent="0.25">
      <c r="D101" t="s">
        <v>15</v>
      </c>
      <c r="E101" t="s">
        <v>252</v>
      </c>
      <c r="F101" t="str">
        <f t="shared" si="5"/>
        <v>2024-08-20</v>
      </c>
      <c r="G101" t="str">
        <f t="shared" si="6"/>
        <v>2024-08-20</v>
      </c>
      <c r="H101">
        <f t="shared" si="7"/>
        <v>0</v>
      </c>
      <c r="J101" t="str">
        <f t="shared" si="8"/>
        <v>Сидорова Елена ВасильевнаНовикова Елена Михайловна</v>
      </c>
      <c r="K101" t="s">
        <v>12</v>
      </c>
      <c r="L101" t="s">
        <v>121</v>
      </c>
      <c r="M101" t="s">
        <v>119</v>
      </c>
      <c r="N101" t="str">
        <f t="shared" si="9"/>
        <v>Фролов Сергей ВикторовичВолков Роман Иванович</v>
      </c>
      <c r="O101" t="s">
        <v>27</v>
      </c>
      <c r="P101" t="s">
        <v>75</v>
      </c>
      <c r="Q101" t="s">
        <v>427</v>
      </c>
    </row>
    <row r="102" spans="4:17" x14ac:dyDescent="0.25">
      <c r="D102" t="s">
        <v>15</v>
      </c>
      <c r="E102" t="s">
        <v>34</v>
      </c>
      <c r="F102" t="str">
        <f t="shared" si="5"/>
        <v>2023-12-11</v>
      </c>
      <c r="G102" t="str">
        <f t="shared" si="6"/>
        <v>2023-12-11</v>
      </c>
      <c r="H102">
        <f t="shared" si="7"/>
        <v>0</v>
      </c>
      <c r="J102" t="str">
        <f t="shared" si="8"/>
        <v>Новикова Ольга ПетровнаКозлова Ирина Павловна</v>
      </c>
      <c r="K102" t="s">
        <v>10</v>
      </c>
      <c r="L102" t="s">
        <v>122</v>
      </c>
      <c r="M102" t="s">
        <v>119</v>
      </c>
      <c r="N102" t="str">
        <f t="shared" si="9"/>
        <v>Иванова Анна СергеевнаСмирнов Кирилл Сергеевич</v>
      </c>
      <c r="O102" t="s">
        <v>48</v>
      </c>
      <c r="P102" t="s">
        <v>146</v>
      </c>
      <c r="Q102" t="s">
        <v>427</v>
      </c>
    </row>
    <row r="103" spans="4:17" x14ac:dyDescent="0.25">
      <c r="D103" t="s">
        <v>15</v>
      </c>
      <c r="E103" t="s">
        <v>165</v>
      </c>
      <c r="F103" t="str">
        <f t="shared" si="5"/>
        <v>2024-02-28</v>
      </c>
      <c r="G103" t="str">
        <f t="shared" si="6"/>
        <v>2024-06-17</v>
      </c>
      <c r="H103">
        <f t="shared" si="7"/>
        <v>110</v>
      </c>
      <c r="J103" t="str">
        <f t="shared" si="8"/>
        <v>Сидорова Елена ВасильевнаПетрова Елена Сергеевна</v>
      </c>
      <c r="K103" t="s">
        <v>12</v>
      </c>
      <c r="L103" t="s">
        <v>123</v>
      </c>
      <c r="M103" t="s">
        <v>119</v>
      </c>
      <c r="N103" t="str">
        <f t="shared" si="9"/>
        <v>Ткаченко Андрей ОлеговичОрлов Алексей Сергеевич</v>
      </c>
      <c r="O103" t="s">
        <v>5</v>
      </c>
      <c r="P103" t="s">
        <v>53</v>
      </c>
      <c r="Q103" t="s">
        <v>427</v>
      </c>
    </row>
    <row r="104" spans="4:17" x14ac:dyDescent="0.25">
      <c r="D104" t="s">
        <v>15</v>
      </c>
      <c r="E104" t="s">
        <v>81</v>
      </c>
      <c r="F104" t="str">
        <f t="shared" si="5"/>
        <v>2024-01-03</v>
      </c>
      <c r="G104" t="str">
        <f t="shared" si="6"/>
        <v>2024-01-03</v>
      </c>
      <c r="H104">
        <f t="shared" si="7"/>
        <v>0</v>
      </c>
      <c r="J104" t="str">
        <f t="shared" si="8"/>
        <v>Ткаченко Андрей ОлеговичСтепанов Никита Михайлович</v>
      </c>
      <c r="K104" t="s">
        <v>5</v>
      </c>
      <c r="L104" t="s">
        <v>68</v>
      </c>
      <c r="M104" t="s">
        <v>124</v>
      </c>
      <c r="N104" t="str">
        <f t="shared" si="9"/>
        <v>Новикова Ольга ПетровнаВолков Константин Алексеевич</v>
      </c>
      <c r="O104" t="s">
        <v>10</v>
      </c>
      <c r="P104" t="s">
        <v>84</v>
      </c>
      <c r="Q104" t="s">
        <v>426</v>
      </c>
    </row>
    <row r="105" spans="4:17" x14ac:dyDescent="0.25">
      <c r="D105" t="s">
        <v>15</v>
      </c>
      <c r="E105" t="s">
        <v>70</v>
      </c>
      <c r="F105" t="str">
        <f t="shared" si="5"/>
        <v>2023-10-16</v>
      </c>
      <c r="G105" t="str">
        <f t="shared" si="6"/>
        <v>2023-10-16</v>
      </c>
      <c r="H105">
        <f t="shared" si="7"/>
        <v>0</v>
      </c>
      <c r="J105" t="str">
        <f t="shared" si="8"/>
        <v>Новикова Ольга ПетровнаОрлов Максим Егорович</v>
      </c>
      <c r="K105" t="s">
        <v>10</v>
      </c>
      <c r="L105" t="s">
        <v>87</v>
      </c>
      <c r="M105" t="s">
        <v>124</v>
      </c>
      <c r="N105" t="str">
        <f t="shared" si="9"/>
        <v>Белов Алексей КонстантиновичПетров Михаил Юрьевич</v>
      </c>
      <c r="O105" t="s">
        <v>8</v>
      </c>
      <c r="P105" t="s">
        <v>256</v>
      </c>
      <c r="Q105" t="s">
        <v>426</v>
      </c>
    </row>
    <row r="106" spans="4:17" x14ac:dyDescent="0.25">
      <c r="D106" t="s">
        <v>15</v>
      </c>
      <c r="E106" t="s">
        <v>82</v>
      </c>
      <c r="F106" t="str">
        <f t="shared" si="5"/>
        <v>2023-09-22</v>
      </c>
      <c r="G106" t="str">
        <f t="shared" si="6"/>
        <v>2024-05-06</v>
      </c>
      <c r="H106">
        <f t="shared" si="7"/>
        <v>227</v>
      </c>
      <c r="J106" t="str">
        <f t="shared" si="8"/>
        <v>Петров Владимир КирилловичМорозова Алиса Андреевна</v>
      </c>
      <c r="K106" t="s">
        <v>36</v>
      </c>
      <c r="L106" t="s">
        <v>125</v>
      </c>
      <c r="M106" t="s">
        <v>124</v>
      </c>
      <c r="N106" t="str">
        <f t="shared" si="9"/>
        <v>Иванова Анна СергеевнаНиколаева Ирина Владимировна</v>
      </c>
      <c r="O106" t="s">
        <v>48</v>
      </c>
      <c r="P106" t="s">
        <v>66</v>
      </c>
      <c r="Q106" t="s">
        <v>425</v>
      </c>
    </row>
    <row r="107" spans="4:17" x14ac:dyDescent="0.25">
      <c r="D107" t="s">
        <v>15</v>
      </c>
      <c r="E107" t="s">
        <v>109</v>
      </c>
      <c r="F107" t="str">
        <f t="shared" si="5"/>
        <v>2024-04-10</v>
      </c>
      <c r="G107" t="str">
        <f t="shared" si="6"/>
        <v>2024-04-10</v>
      </c>
      <c r="H107">
        <f t="shared" si="7"/>
        <v>0</v>
      </c>
      <c r="J107" t="str">
        <f t="shared" si="8"/>
        <v>Семенова Ирина ВалерьевнаАлексеева Екатерина Станиславовна</v>
      </c>
      <c r="K107" t="s">
        <v>46</v>
      </c>
      <c r="L107" t="s">
        <v>126</v>
      </c>
      <c r="M107" t="s">
        <v>124</v>
      </c>
      <c r="N107" t="str">
        <f t="shared" si="9"/>
        <v>Белов Алексей КонстантиновичВолкова Татьяна Егоровна</v>
      </c>
      <c r="O107" t="s">
        <v>8</v>
      </c>
      <c r="P107" t="s">
        <v>22</v>
      </c>
      <c r="Q107" t="s">
        <v>424</v>
      </c>
    </row>
    <row r="108" spans="4:17" x14ac:dyDescent="0.25">
      <c r="D108" t="s">
        <v>15</v>
      </c>
      <c r="E108" t="s">
        <v>203</v>
      </c>
      <c r="F108" t="str">
        <f t="shared" si="5"/>
        <v>2023-11-28</v>
      </c>
      <c r="G108" t="str">
        <f t="shared" si="6"/>
        <v>2023-11-28</v>
      </c>
      <c r="H108">
        <f t="shared" si="7"/>
        <v>0</v>
      </c>
      <c r="J108" t="str">
        <f t="shared" si="8"/>
        <v>Семенова Ирина ВалерьевнаНиколаев Дмитрий Олегович</v>
      </c>
      <c r="K108" t="s">
        <v>46</v>
      </c>
      <c r="L108" t="s">
        <v>127</v>
      </c>
      <c r="M108" t="s">
        <v>124</v>
      </c>
      <c r="N108" t="str">
        <f t="shared" si="9"/>
        <v>Сидорова Елена ВасильевнаНовиков Иван Никитич</v>
      </c>
      <c r="O108" t="s">
        <v>12</v>
      </c>
      <c r="P108" t="s">
        <v>181</v>
      </c>
      <c r="Q108" t="s">
        <v>424</v>
      </c>
    </row>
    <row r="109" spans="4:17" x14ac:dyDescent="0.25">
      <c r="D109" t="s">
        <v>15</v>
      </c>
      <c r="E109" t="s">
        <v>271</v>
      </c>
      <c r="F109" t="str">
        <f t="shared" si="5"/>
        <v>2024-03-14</v>
      </c>
      <c r="G109" t="str">
        <f t="shared" si="6"/>
        <v>2024-03-14</v>
      </c>
      <c r="H109">
        <f t="shared" si="7"/>
        <v>0</v>
      </c>
      <c r="J109" t="str">
        <f t="shared" si="8"/>
        <v>Семенова Ирина ВалерьевнаПетрова Дарья Егоровна</v>
      </c>
      <c r="K109" t="s">
        <v>46</v>
      </c>
      <c r="L109" t="s">
        <v>24</v>
      </c>
      <c r="M109" t="s">
        <v>124</v>
      </c>
      <c r="N109" t="str">
        <f t="shared" si="9"/>
        <v>Кузнецов Дмитрий ЛьвовичПопов Дмитрий Ильич</v>
      </c>
      <c r="O109" t="s">
        <v>23</v>
      </c>
      <c r="P109" t="s">
        <v>105</v>
      </c>
      <c r="Q109" t="s">
        <v>424</v>
      </c>
    </row>
    <row r="110" spans="4:17" x14ac:dyDescent="0.25">
      <c r="D110" t="s">
        <v>15</v>
      </c>
      <c r="E110" t="s">
        <v>118</v>
      </c>
      <c r="F110" t="str">
        <f t="shared" si="5"/>
        <v>2024-07-08</v>
      </c>
      <c r="G110" t="str">
        <f t="shared" si="6"/>
        <v>2024-07-08</v>
      </c>
      <c r="H110">
        <f t="shared" si="7"/>
        <v>0</v>
      </c>
      <c r="J110" t="str">
        <f t="shared" si="8"/>
        <v>Семенова Ирина ВалерьевнаАлексеева Екатерина Станиславовна</v>
      </c>
      <c r="K110" t="s">
        <v>46</v>
      </c>
      <c r="L110" t="s">
        <v>126</v>
      </c>
      <c r="M110" t="s">
        <v>128</v>
      </c>
      <c r="N110" t="str">
        <f t="shared" si="9"/>
        <v>Семенова Ирина ВалерьевнаПетрова Юлия Геннадьевна</v>
      </c>
      <c r="O110" t="s">
        <v>46</v>
      </c>
      <c r="P110" t="s">
        <v>275</v>
      </c>
      <c r="Q110" t="s">
        <v>424</v>
      </c>
    </row>
    <row r="111" spans="4:17" x14ac:dyDescent="0.25">
      <c r="D111" t="s">
        <v>15</v>
      </c>
      <c r="E111" t="s">
        <v>9</v>
      </c>
      <c r="F111" t="str">
        <f t="shared" si="5"/>
        <v>2024-03-07</v>
      </c>
      <c r="G111" t="str">
        <f t="shared" si="6"/>
        <v>2024-03-07</v>
      </c>
      <c r="H111">
        <f t="shared" si="7"/>
        <v>0</v>
      </c>
      <c r="J111" t="str">
        <f t="shared" si="8"/>
        <v>Кузнецов Дмитрий ЛьвовичНиколаев Артур Никитич</v>
      </c>
      <c r="K111" t="s">
        <v>23</v>
      </c>
      <c r="L111" t="s">
        <v>129</v>
      </c>
      <c r="M111" t="s">
        <v>128</v>
      </c>
      <c r="N111" t="str">
        <f t="shared" si="9"/>
        <v>Новикова Ольга ПетровнаОрлов Максим Егорович</v>
      </c>
      <c r="O111" t="s">
        <v>10</v>
      </c>
      <c r="P111" t="s">
        <v>87</v>
      </c>
      <c r="Q111" t="s">
        <v>424</v>
      </c>
    </row>
    <row r="112" spans="4:17" x14ac:dyDescent="0.25">
      <c r="D112" t="s">
        <v>15</v>
      </c>
      <c r="E112" t="s">
        <v>316</v>
      </c>
      <c r="F112" t="str">
        <f t="shared" si="5"/>
        <v>2024-08-16</v>
      </c>
      <c r="G112" t="str">
        <f t="shared" si="6"/>
        <v>2024-08-16</v>
      </c>
      <c r="H112">
        <f t="shared" si="7"/>
        <v>0</v>
      </c>
      <c r="J112" t="str">
        <f t="shared" si="8"/>
        <v>Громова Мария ИльиничнаНиколаев Дмитрий Олегович</v>
      </c>
      <c r="K112" t="s">
        <v>15</v>
      </c>
      <c r="L112" t="s">
        <v>127</v>
      </c>
      <c r="M112" t="s">
        <v>128</v>
      </c>
      <c r="N112" t="str">
        <f t="shared" si="9"/>
        <v>Ткаченко Андрей ОлеговичСидоров Дмитрий Алексеевич</v>
      </c>
      <c r="O112" t="s">
        <v>5</v>
      </c>
      <c r="P112" t="s">
        <v>141</v>
      </c>
      <c r="Q112" t="s">
        <v>424</v>
      </c>
    </row>
    <row r="113" spans="4:17" x14ac:dyDescent="0.25">
      <c r="D113" t="s">
        <v>15</v>
      </c>
      <c r="E113" t="s">
        <v>280</v>
      </c>
      <c r="F113" t="str">
        <f t="shared" si="5"/>
        <v>2024-04-16</v>
      </c>
      <c r="G113" t="str">
        <f t="shared" si="6"/>
        <v>2024-04-16</v>
      </c>
      <c r="H113">
        <f t="shared" si="7"/>
        <v>0</v>
      </c>
      <c r="J113" t="str">
        <f t="shared" si="8"/>
        <v>Новикова Ольга ПетровнаСидорова Полина Александровна</v>
      </c>
      <c r="K113" t="s">
        <v>10</v>
      </c>
      <c r="L113" t="s">
        <v>18</v>
      </c>
      <c r="M113" t="s">
        <v>128</v>
      </c>
      <c r="N113" t="str">
        <f t="shared" si="9"/>
        <v>Фролов Сергей ВикторовичСидоров Артем Викторович</v>
      </c>
      <c r="O113" t="s">
        <v>27</v>
      </c>
      <c r="P113" t="s">
        <v>13</v>
      </c>
      <c r="Q113" t="s">
        <v>424</v>
      </c>
    </row>
    <row r="114" spans="4:17" x14ac:dyDescent="0.25">
      <c r="D114" t="s">
        <v>15</v>
      </c>
      <c r="E114" t="s">
        <v>293</v>
      </c>
      <c r="F114" t="str">
        <f t="shared" si="5"/>
        <v>2024-02-09</v>
      </c>
      <c r="G114" t="str">
        <f t="shared" si="6"/>
        <v>2024-02-09</v>
      </c>
      <c r="H114">
        <f t="shared" si="7"/>
        <v>0</v>
      </c>
      <c r="J114" t="str">
        <f t="shared" si="8"/>
        <v>Орлов Павел ДенисовичСмирнов Михаил Алексеевич</v>
      </c>
      <c r="K114" t="s">
        <v>17</v>
      </c>
      <c r="L114" t="s">
        <v>28</v>
      </c>
      <c r="M114" t="s">
        <v>128</v>
      </c>
      <c r="N114" t="str">
        <f t="shared" si="9"/>
        <v>Яковлев Артем ИгоревичСеменова Виктория Владимировна</v>
      </c>
      <c r="O114" t="s">
        <v>52</v>
      </c>
      <c r="P114" t="s">
        <v>73</v>
      </c>
      <c r="Q114" t="s">
        <v>423</v>
      </c>
    </row>
    <row r="115" spans="4:17" x14ac:dyDescent="0.25">
      <c r="D115" t="s">
        <v>15</v>
      </c>
      <c r="E115" t="s">
        <v>61</v>
      </c>
      <c r="F115" t="str">
        <f t="shared" si="5"/>
        <v>2023-12-19</v>
      </c>
      <c r="G115" t="str">
        <f t="shared" si="6"/>
        <v>2023-12-19</v>
      </c>
      <c r="H115">
        <f t="shared" si="7"/>
        <v>0</v>
      </c>
      <c r="J115" t="str">
        <f t="shared" si="8"/>
        <v>Новикова Ольга ПетровнаЕгоров Никита Геннадьевич</v>
      </c>
      <c r="K115" t="s">
        <v>10</v>
      </c>
      <c r="L115" t="s">
        <v>130</v>
      </c>
      <c r="M115" t="s">
        <v>128</v>
      </c>
      <c r="N115" t="str">
        <f t="shared" si="9"/>
        <v>Белов Алексей КонстантиновичИванов Владимир Романович</v>
      </c>
      <c r="O115" t="s">
        <v>8</v>
      </c>
      <c r="P115" t="s">
        <v>170</v>
      </c>
      <c r="Q115" t="s">
        <v>423</v>
      </c>
    </row>
    <row r="116" spans="4:17" x14ac:dyDescent="0.25">
      <c r="D116" t="s">
        <v>15</v>
      </c>
      <c r="E116" t="s">
        <v>73</v>
      </c>
      <c r="F116" t="str">
        <f t="shared" si="5"/>
        <v>2024-07-16</v>
      </c>
      <c r="G116" t="str">
        <f t="shared" si="6"/>
        <v>2024-07-16</v>
      </c>
      <c r="H116">
        <f t="shared" si="7"/>
        <v>0</v>
      </c>
      <c r="J116" t="str">
        <f t="shared" si="8"/>
        <v>Белов Алексей КонстантиновичФедорова Наталья Александровна</v>
      </c>
      <c r="K116" t="s">
        <v>8</v>
      </c>
      <c r="L116" t="s">
        <v>31</v>
      </c>
      <c r="M116" t="s">
        <v>128</v>
      </c>
      <c r="N116" t="str">
        <f t="shared" si="9"/>
        <v>Громова Мария ИльиничнаСидоров Егор Кириллович</v>
      </c>
      <c r="O116" t="s">
        <v>15</v>
      </c>
      <c r="P116" t="s">
        <v>212</v>
      </c>
      <c r="Q116" t="s">
        <v>423</v>
      </c>
    </row>
    <row r="117" spans="4:17" x14ac:dyDescent="0.25">
      <c r="D117" t="s">
        <v>15</v>
      </c>
      <c r="E117" t="s">
        <v>212</v>
      </c>
      <c r="F117" t="str">
        <f t="shared" si="5"/>
        <v>2024-07-23</v>
      </c>
      <c r="G117" t="str">
        <f t="shared" si="6"/>
        <v>2024-07-23</v>
      </c>
      <c r="H117">
        <f t="shared" si="7"/>
        <v>0</v>
      </c>
      <c r="J117" t="str">
        <f t="shared" si="8"/>
        <v>Ткаченко Андрей ОлеговичИванова Екатерина Егоровна</v>
      </c>
      <c r="K117" t="s">
        <v>5</v>
      </c>
      <c r="L117" t="s">
        <v>131</v>
      </c>
      <c r="M117" t="s">
        <v>132</v>
      </c>
      <c r="N117" t="str">
        <f t="shared" si="9"/>
        <v>Сидорова Елена ВасильевнаОрлов Михаил Олегович</v>
      </c>
      <c r="O117" t="s">
        <v>12</v>
      </c>
      <c r="P117" t="s">
        <v>359</v>
      </c>
      <c r="Q117" t="s">
        <v>423</v>
      </c>
    </row>
    <row r="118" spans="4:17" x14ac:dyDescent="0.25">
      <c r="D118" t="s">
        <v>15</v>
      </c>
      <c r="E118" t="s">
        <v>163</v>
      </c>
      <c r="F118" t="str">
        <f t="shared" si="5"/>
        <v>2023-12-06</v>
      </c>
      <c r="G118" t="str">
        <f t="shared" si="6"/>
        <v>2024-05-16</v>
      </c>
      <c r="H118">
        <f t="shared" si="7"/>
        <v>162</v>
      </c>
      <c r="J118" t="str">
        <f t="shared" si="8"/>
        <v>Громова Мария ИльиничнаСмирнов Константин Михайлович</v>
      </c>
      <c r="K118" t="s">
        <v>15</v>
      </c>
      <c r="L118" t="s">
        <v>85</v>
      </c>
      <c r="M118" t="s">
        <v>132</v>
      </c>
      <c r="N118" t="str">
        <f t="shared" si="9"/>
        <v>Петров Владимир КирилловичЛебедева Ирина Романовна</v>
      </c>
      <c r="O118" t="s">
        <v>36</v>
      </c>
      <c r="P118" t="s">
        <v>364</v>
      </c>
      <c r="Q118" t="s">
        <v>422</v>
      </c>
    </row>
    <row r="119" spans="4:17" x14ac:dyDescent="0.25">
      <c r="D119" t="s">
        <v>15</v>
      </c>
      <c r="E119" t="s">
        <v>85</v>
      </c>
      <c r="F119" t="str">
        <f t="shared" si="5"/>
        <v>2023-10-12</v>
      </c>
      <c r="G119" t="str">
        <f t="shared" si="6"/>
        <v>2024-02-29</v>
      </c>
      <c r="H119">
        <f t="shared" si="7"/>
        <v>140</v>
      </c>
      <c r="J119" t="str">
        <f t="shared" si="8"/>
        <v>Семенова Ирина ВалерьевнаСеменов Андрей Кириллович</v>
      </c>
      <c r="K119" t="s">
        <v>46</v>
      </c>
      <c r="L119" t="s">
        <v>93</v>
      </c>
      <c r="M119" t="s">
        <v>132</v>
      </c>
      <c r="N119" t="str">
        <f t="shared" si="9"/>
        <v>Иванова Анна СергеевнаАлексеева Ксения Андреевна</v>
      </c>
      <c r="O119" t="s">
        <v>48</v>
      </c>
      <c r="P119" t="s">
        <v>184</v>
      </c>
      <c r="Q119" t="s">
        <v>422</v>
      </c>
    </row>
    <row r="120" spans="4:17" x14ac:dyDescent="0.25">
      <c r="D120" t="s">
        <v>15</v>
      </c>
      <c r="E120" t="s">
        <v>297</v>
      </c>
      <c r="F120" t="str">
        <f t="shared" si="5"/>
        <v>2024-02-14</v>
      </c>
      <c r="G120" t="str">
        <f t="shared" si="6"/>
        <v>2024-02-14</v>
      </c>
      <c r="H120">
        <f t="shared" si="7"/>
        <v>0</v>
      </c>
      <c r="J120" t="str">
        <f t="shared" si="8"/>
        <v>Громова Мария ИльиничнаМорозова Наталья Геннадьевна</v>
      </c>
      <c r="K120" t="s">
        <v>15</v>
      </c>
      <c r="L120" t="s">
        <v>133</v>
      </c>
      <c r="M120" t="s">
        <v>132</v>
      </c>
      <c r="N120" t="str">
        <f t="shared" si="9"/>
        <v>Сидорова Елена ВасильевнаСтепанов Александр Юрьевич</v>
      </c>
      <c r="O120" t="s">
        <v>12</v>
      </c>
      <c r="P120" t="s">
        <v>97</v>
      </c>
      <c r="Q120" t="s">
        <v>422</v>
      </c>
    </row>
    <row r="121" spans="4:17" x14ac:dyDescent="0.25">
      <c r="D121" t="s">
        <v>15</v>
      </c>
      <c r="E121" t="s">
        <v>97</v>
      </c>
      <c r="F121" t="str">
        <f t="shared" si="5"/>
        <v>2024-01-01</v>
      </c>
      <c r="G121" t="str">
        <f t="shared" si="6"/>
        <v>2024-01-22</v>
      </c>
      <c r="H121">
        <f t="shared" si="7"/>
        <v>21</v>
      </c>
      <c r="J121" t="str">
        <f t="shared" si="8"/>
        <v>Семенова Ирина ВалерьевнаПавлов Роман Александрович</v>
      </c>
      <c r="K121" t="s">
        <v>46</v>
      </c>
      <c r="L121" t="s">
        <v>134</v>
      </c>
      <c r="M121" t="s">
        <v>135</v>
      </c>
      <c r="N121" t="str">
        <f t="shared" si="9"/>
        <v>Петров Владимир КирилловичАлексеева Виктория Александровна</v>
      </c>
      <c r="O121" t="s">
        <v>36</v>
      </c>
      <c r="P121" t="s">
        <v>195</v>
      </c>
      <c r="Q121" t="s">
        <v>422</v>
      </c>
    </row>
    <row r="122" spans="4:17" x14ac:dyDescent="0.25">
      <c r="D122" t="s">
        <v>15</v>
      </c>
      <c r="E122" t="s">
        <v>41</v>
      </c>
      <c r="F122" t="str">
        <f t="shared" si="5"/>
        <v>2024-02-26</v>
      </c>
      <c r="G122" t="str">
        <f t="shared" si="6"/>
        <v>2024-02-26</v>
      </c>
      <c r="H122">
        <f t="shared" si="7"/>
        <v>0</v>
      </c>
      <c r="J122" t="str">
        <f t="shared" si="8"/>
        <v>Новикова Ольга ПетровнаМорозова Алиса Андреевна</v>
      </c>
      <c r="K122" t="s">
        <v>10</v>
      </c>
      <c r="L122" t="s">
        <v>125</v>
      </c>
      <c r="M122" t="s">
        <v>135</v>
      </c>
      <c r="N122" t="str">
        <f t="shared" si="9"/>
        <v>Орлов Павел ДенисовичКузнецова Ксения Кирилловна</v>
      </c>
      <c r="O122" t="s">
        <v>17</v>
      </c>
      <c r="P122" t="s">
        <v>120</v>
      </c>
      <c r="Q122" t="s">
        <v>422</v>
      </c>
    </row>
    <row r="123" spans="4:17" x14ac:dyDescent="0.25">
      <c r="D123" t="s">
        <v>15</v>
      </c>
      <c r="E123" t="s">
        <v>136</v>
      </c>
      <c r="F123" t="str">
        <f t="shared" si="5"/>
        <v>2024-08-23</v>
      </c>
      <c r="G123" t="str">
        <f t="shared" si="6"/>
        <v>2024-08-23</v>
      </c>
      <c r="H123">
        <f t="shared" si="7"/>
        <v>0</v>
      </c>
      <c r="J123" t="str">
        <f t="shared" si="8"/>
        <v>Громова Мария ИльиничнаНовиков Алексей Александрович</v>
      </c>
      <c r="K123" t="s">
        <v>15</v>
      </c>
      <c r="L123" t="s">
        <v>16</v>
      </c>
      <c r="M123" t="s">
        <v>135</v>
      </c>
      <c r="N123" t="str">
        <f t="shared" si="9"/>
        <v>Сидорова Елена ВасильевнаПетров Алексей Артемович</v>
      </c>
      <c r="O123" t="s">
        <v>12</v>
      </c>
      <c r="P123" t="s">
        <v>151</v>
      </c>
      <c r="Q123" t="s">
        <v>422</v>
      </c>
    </row>
    <row r="124" spans="4:17" x14ac:dyDescent="0.25">
      <c r="D124" t="s">
        <v>15</v>
      </c>
      <c r="E124" t="s">
        <v>157</v>
      </c>
      <c r="F124" t="str">
        <f t="shared" si="5"/>
        <v>2024-02-19</v>
      </c>
      <c r="G124" t="str">
        <f t="shared" si="6"/>
        <v>2024-02-19</v>
      </c>
      <c r="H124">
        <f t="shared" si="7"/>
        <v>0</v>
      </c>
      <c r="J124" t="str">
        <f t="shared" si="8"/>
        <v>Петров Владимир КирилловичФедоров Александр Дмитриевич</v>
      </c>
      <c r="K124" t="s">
        <v>36</v>
      </c>
      <c r="L124" t="s">
        <v>136</v>
      </c>
      <c r="M124" t="s">
        <v>135</v>
      </c>
      <c r="N124" t="str">
        <f t="shared" si="9"/>
        <v>Сидорова Елена ВасильевнаНиколаев Роман Геннадьевич</v>
      </c>
      <c r="O124" t="s">
        <v>12</v>
      </c>
      <c r="P124" t="s">
        <v>139</v>
      </c>
      <c r="Q124" t="s">
        <v>422</v>
      </c>
    </row>
    <row r="125" spans="4:17" x14ac:dyDescent="0.25">
      <c r="D125" t="s">
        <v>15</v>
      </c>
      <c r="E125" t="s">
        <v>107</v>
      </c>
      <c r="F125" t="str">
        <f t="shared" si="5"/>
        <v>2024-06-28</v>
      </c>
      <c r="G125" t="str">
        <f t="shared" si="6"/>
        <v>2024-06-28</v>
      </c>
      <c r="H125">
        <f t="shared" si="7"/>
        <v>0</v>
      </c>
      <c r="J125" t="str">
        <f t="shared" si="8"/>
        <v>Семенова Ирина ВалерьевнаСидорова Полина Александровна</v>
      </c>
      <c r="K125" t="s">
        <v>46</v>
      </c>
      <c r="L125" t="s">
        <v>18</v>
      </c>
      <c r="M125" t="s">
        <v>137</v>
      </c>
      <c r="N125" t="str">
        <f t="shared" si="9"/>
        <v>Белов Алексей КонстантиновичПавлов Павел Павлович</v>
      </c>
      <c r="O125" t="s">
        <v>8</v>
      </c>
      <c r="P125" t="s">
        <v>207</v>
      </c>
      <c r="Q125" t="s">
        <v>422</v>
      </c>
    </row>
    <row r="126" spans="4:17" x14ac:dyDescent="0.25">
      <c r="D126" t="s">
        <v>48</v>
      </c>
      <c r="E126" t="s">
        <v>317</v>
      </c>
      <c r="F126" t="str">
        <f t="shared" si="5"/>
        <v>2024-03-04</v>
      </c>
      <c r="G126" t="str">
        <f t="shared" si="6"/>
        <v>2024-03-04</v>
      </c>
      <c r="H126">
        <f t="shared" si="7"/>
        <v>0</v>
      </c>
      <c r="J126" t="str">
        <f t="shared" si="8"/>
        <v>Фролов Сергей ВикторовичНовикова Дарья Викторовна</v>
      </c>
      <c r="K126" t="s">
        <v>27</v>
      </c>
      <c r="L126" t="s">
        <v>138</v>
      </c>
      <c r="M126" t="s">
        <v>137</v>
      </c>
      <c r="N126" t="str">
        <f t="shared" si="9"/>
        <v>Петров Владимир КирилловичВасильев Александр Никитич</v>
      </c>
      <c r="O126" t="s">
        <v>36</v>
      </c>
      <c r="P126" t="s">
        <v>161</v>
      </c>
      <c r="Q126" t="s">
        <v>421</v>
      </c>
    </row>
    <row r="127" spans="4:17" x14ac:dyDescent="0.25">
      <c r="D127" t="s">
        <v>48</v>
      </c>
      <c r="E127" t="s">
        <v>64</v>
      </c>
      <c r="F127" t="str">
        <f t="shared" si="5"/>
        <v>2024-07-01</v>
      </c>
      <c r="G127" t="str">
        <f t="shared" si="6"/>
        <v>2024-07-01</v>
      </c>
      <c r="H127">
        <f t="shared" si="7"/>
        <v>0</v>
      </c>
      <c r="J127" t="str">
        <f t="shared" si="8"/>
        <v>Петров Владимир КирилловичНиколаев Роман Геннадьевич</v>
      </c>
      <c r="K127" t="s">
        <v>36</v>
      </c>
      <c r="L127" t="s">
        <v>139</v>
      </c>
      <c r="M127" t="s">
        <v>137</v>
      </c>
      <c r="N127" t="str">
        <f t="shared" si="9"/>
        <v>Кузнецов Дмитрий ЛьвовичПавлова Екатерина Павловна</v>
      </c>
      <c r="O127" t="s">
        <v>23</v>
      </c>
      <c r="P127" t="s">
        <v>57</v>
      </c>
      <c r="Q127" t="s">
        <v>421</v>
      </c>
    </row>
    <row r="128" spans="4:17" x14ac:dyDescent="0.25">
      <c r="D128" t="s">
        <v>48</v>
      </c>
      <c r="E128" t="s">
        <v>195</v>
      </c>
      <c r="F128" t="str">
        <f t="shared" si="5"/>
        <v>2024-09-02</v>
      </c>
      <c r="G128" t="str">
        <f t="shared" si="6"/>
        <v>2024-09-02</v>
      </c>
      <c r="H128">
        <f t="shared" si="7"/>
        <v>0</v>
      </c>
      <c r="J128" t="str">
        <f t="shared" si="8"/>
        <v>Громова Мария ИльиничнаПетрова Людмила Олеговна</v>
      </c>
      <c r="K128" t="s">
        <v>15</v>
      </c>
      <c r="L128" t="s">
        <v>70</v>
      </c>
      <c r="M128" t="s">
        <v>137</v>
      </c>
      <c r="N128" t="str">
        <f t="shared" si="9"/>
        <v>Ткаченко Андрей ОлеговичСмирнов Кирилл Сергеевич</v>
      </c>
      <c r="O128" t="s">
        <v>5</v>
      </c>
      <c r="P128" t="s">
        <v>146</v>
      </c>
      <c r="Q128" t="s">
        <v>421</v>
      </c>
    </row>
    <row r="129" spans="4:17" x14ac:dyDescent="0.25">
      <c r="D129" t="s">
        <v>48</v>
      </c>
      <c r="E129" t="s">
        <v>184</v>
      </c>
      <c r="F129" t="str">
        <f t="shared" si="5"/>
        <v>2024-07-22</v>
      </c>
      <c r="G129" t="str">
        <f t="shared" si="6"/>
        <v>2024-07-22</v>
      </c>
      <c r="H129">
        <f t="shared" si="7"/>
        <v>0</v>
      </c>
      <c r="J129" t="str">
        <f t="shared" si="8"/>
        <v>Ткаченко Андрей ОлеговичСтепанова Анна Никитична</v>
      </c>
      <c r="K129" t="s">
        <v>5</v>
      </c>
      <c r="L129" t="s">
        <v>108</v>
      </c>
      <c r="M129" t="s">
        <v>137</v>
      </c>
      <c r="N129" t="str">
        <f t="shared" si="9"/>
        <v>Сидорова Елена ВасильевнаСтепанова Екатерина Михайловна</v>
      </c>
      <c r="O129" t="s">
        <v>12</v>
      </c>
      <c r="P129" t="s">
        <v>172</v>
      </c>
      <c r="Q129" t="s">
        <v>421</v>
      </c>
    </row>
    <row r="130" spans="4:17" x14ac:dyDescent="0.25">
      <c r="D130" t="s">
        <v>48</v>
      </c>
      <c r="E130" t="s">
        <v>158</v>
      </c>
      <c r="F130" t="str">
        <f t="shared" si="5"/>
        <v>2024-08-13</v>
      </c>
      <c r="G130" t="str">
        <f t="shared" si="6"/>
        <v>2024-08-13</v>
      </c>
      <c r="H130">
        <f t="shared" si="7"/>
        <v>0</v>
      </c>
      <c r="J130" t="str">
        <f t="shared" si="8"/>
        <v>Белов Алексей КонстантиновичВасильев Кирилл Михайлович</v>
      </c>
      <c r="K130" t="s">
        <v>8</v>
      </c>
      <c r="L130" t="s">
        <v>95</v>
      </c>
      <c r="M130" t="s">
        <v>137</v>
      </c>
      <c r="N130" t="str">
        <f t="shared" si="9"/>
        <v>Ткаченко Андрей ОлеговичНовиков Сергей Никитич</v>
      </c>
      <c r="O130" t="s">
        <v>5</v>
      </c>
      <c r="P130" t="s">
        <v>197</v>
      </c>
      <c r="Q130" t="s">
        <v>420</v>
      </c>
    </row>
    <row r="131" spans="4:17" x14ac:dyDescent="0.25">
      <c r="D131" t="s">
        <v>48</v>
      </c>
      <c r="E131" t="s">
        <v>77</v>
      </c>
      <c r="F131" t="str">
        <f t="shared" ref="F131:F194" si="10">VLOOKUP(D131&amp;E131,J:M,4,0)</f>
        <v>2023-12-12</v>
      </c>
      <c r="G131" t="str">
        <f t="shared" ref="G131:G194" si="11">VLOOKUP(D131&amp;E131,N:Q,4,0)</f>
        <v>2023-12-12</v>
      </c>
      <c r="H131">
        <f t="shared" ref="H131:H194" si="12">G131-F131</f>
        <v>0</v>
      </c>
      <c r="J131" t="str">
        <f t="shared" ref="J131:J194" si="13">K131&amp;L131</f>
        <v>Белов Алексей КонстантиновичМорозова София Артемовна</v>
      </c>
      <c r="K131" t="s">
        <v>8</v>
      </c>
      <c r="L131" t="s">
        <v>140</v>
      </c>
      <c r="M131" t="s">
        <v>137</v>
      </c>
      <c r="N131" t="str">
        <f t="shared" ref="N131:N194" si="14">O131&amp;P131</f>
        <v>Кузнецов Дмитрий ЛьвовичПопова Светлана Владимировна</v>
      </c>
      <c r="O131" t="s">
        <v>23</v>
      </c>
      <c r="P131" t="s">
        <v>316</v>
      </c>
      <c r="Q131" t="s">
        <v>420</v>
      </c>
    </row>
    <row r="132" spans="4:17" x14ac:dyDescent="0.25">
      <c r="D132" t="s">
        <v>48</v>
      </c>
      <c r="E132" t="s">
        <v>47</v>
      </c>
      <c r="F132" t="str">
        <f t="shared" si="10"/>
        <v>2024-08-12</v>
      </c>
      <c r="G132" t="str">
        <f t="shared" si="11"/>
        <v>2024-08-12</v>
      </c>
      <c r="H132">
        <f t="shared" si="12"/>
        <v>0</v>
      </c>
      <c r="J132" t="str">
        <f t="shared" si="13"/>
        <v>Яковлев Артем ИгоревичНиколаева Ирина Владимировна</v>
      </c>
      <c r="K132" t="s">
        <v>52</v>
      </c>
      <c r="L132" t="s">
        <v>66</v>
      </c>
      <c r="M132" t="s">
        <v>137</v>
      </c>
      <c r="N132" t="str">
        <f t="shared" si="14"/>
        <v>Петров Владимир КирилловичНовиков Иван Никитич</v>
      </c>
      <c r="O132" t="s">
        <v>36</v>
      </c>
      <c r="P132" t="s">
        <v>181</v>
      </c>
      <c r="Q132" t="s">
        <v>419</v>
      </c>
    </row>
    <row r="133" spans="4:17" x14ac:dyDescent="0.25">
      <c r="D133" t="s">
        <v>48</v>
      </c>
      <c r="E133" t="s">
        <v>304</v>
      </c>
      <c r="F133" t="str">
        <f t="shared" si="10"/>
        <v>2024-07-29</v>
      </c>
      <c r="G133" t="str">
        <f t="shared" si="11"/>
        <v>2024-07-29</v>
      </c>
      <c r="H133">
        <f t="shared" si="12"/>
        <v>0</v>
      </c>
      <c r="J133" t="str">
        <f t="shared" si="13"/>
        <v>Фролов Сергей ВикторовичСидоров Дмитрий Алексеевич</v>
      </c>
      <c r="K133" t="s">
        <v>27</v>
      </c>
      <c r="L133" t="s">
        <v>141</v>
      </c>
      <c r="M133" t="s">
        <v>137</v>
      </c>
      <c r="N133" t="str">
        <f t="shared" si="14"/>
        <v>Кузнецов Дмитрий ЛьвовичНиколаев Артур Никитич</v>
      </c>
      <c r="O133" t="s">
        <v>23</v>
      </c>
      <c r="P133" t="s">
        <v>129</v>
      </c>
      <c r="Q133" t="s">
        <v>418</v>
      </c>
    </row>
    <row r="134" spans="4:17" x14ac:dyDescent="0.25">
      <c r="D134" t="s">
        <v>48</v>
      </c>
      <c r="E134" t="s">
        <v>116</v>
      </c>
      <c r="F134" t="str">
        <f t="shared" si="10"/>
        <v>2023-12-18</v>
      </c>
      <c r="G134" t="str">
        <f t="shared" si="11"/>
        <v>2023-12-18</v>
      </c>
      <c r="H134">
        <f t="shared" si="12"/>
        <v>0</v>
      </c>
      <c r="J134" t="str">
        <f t="shared" si="13"/>
        <v>Семенова Ирина ВалерьевнаАлексеева Алиса Александровна</v>
      </c>
      <c r="K134" t="s">
        <v>46</v>
      </c>
      <c r="L134" t="s">
        <v>89</v>
      </c>
      <c r="M134" t="s">
        <v>142</v>
      </c>
      <c r="N134" t="str">
        <f t="shared" si="14"/>
        <v>Иванова Анна СергеевнаНиколаев Павел Артемович</v>
      </c>
      <c r="O134" t="s">
        <v>48</v>
      </c>
      <c r="P134" t="s">
        <v>235</v>
      </c>
      <c r="Q134" t="s">
        <v>418</v>
      </c>
    </row>
    <row r="135" spans="4:17" x14ac:dyDescent="0.25">
      <c r="D135" t="s">
        <v>48</v>
      </c>
      <c r="E135" t="s">
        <v>111</v>
      </c>
      <c r="F135" t="str">
        <f t="shared" si="10"/>
        <v>2024-04-01</v>
      </c>
      <c r="G135" t="str">
        <f t="shared" si="11"/>
        <v>2024-04-01</v>
      </c>
      <c r="H135">
        <f t="shared" si="12"/>
        <v>0</v>
      </c>
      <c r="J135" t="str">
        <f t="shared" si="13"/>
        <v>Орлов Павел ДенисовичВолков Константин Алексеевич</v>
      </c>
      <c r="K135" t="s">
        <v>17</v>
      </c>
      <c r="L135" t="s">
        <v>84</v>
      </c>
      <c r="M135" t="s">
        <v>142</v>
      </c>
      <c r="N135" t="str">
        <f t="shared" si="14"/>
        <v>Семенова Ирина ВалерьевнаИванова Екатерина Егоровна</v>
      </c>
      <c r="O135" t="s">
        <v>46</v>
      </c>
      <c r="P135" t="s">
        <v>131</v>
      </c>
      <c r="Q135" t="s">
        <v>418</v>
      </c>
    </row>
    <row r="136" spans="4:17" x14ac:dyDescent="0.25">
      <c r="D136" t="s">
        <v>48</v>
      </c>
      <c r="E136" t="s">
        <v>240</v>
      </c>
      <c r="F136" t="str">
        <f t="shared" si="10"/>
        <v>2024-02-06</v>
      </c>
      <c r="G136" t="str">
        <f t="shared" si="11"/>
        <v>2024-02-06</v>
      </c>
      <c r="H136">
        <f t="shared" si="12"/>
        <v>0</v>
      </c>
      <c r="J136" t="str">
        <f t="shared" si="13"/>
        <v>Семенова Ирина ВалерьевнаПетрова Людмила Олеговна</v>
      </c>
      <c r="K136" t="s">
        <v>46</v>
      </c>
      <c r="L136" t="s">
        <v>70</v>
      </c>
      <c r="M136" t="s">
        <v>143</v>
      </c>
      <c r="N136" t="str">
        <f t="shared" si="14"/>
        <v>Громова Мария ИльиничнаСеменова Виктория Владимировна</v>
      </c>
      <c r="O136" t="s">
        <v>15</v>
      </c>
      <c r="P136" t="s">
        <v>73</v>
      </c>
      <c r="Q136" t="s">
        <v>418</v>
      </c>
    </row>
    <row r="137" spans="4:17" x14ac:dyDescent="0.25">
      <c r="D137" t="s">
        <v>48</v>
      </c>
      <c r="E137" t="s">
        <v>75</v>
      </c>
      <c r="F137" t="str">
        <f t="shared" si="10"/>
        <v>2024-04-01</v>
      </c>
      <c r="G137" t="str">
        <f t="shared" si="11"/>
        <v>2024-04-24</v>
      </c>
      <c r="H137">
        <f t="shared" si="12"/>
        <v>23</v>
      </c>
      <c r="J137" t="str">
        <f t="shared" si="13"/>
        <v>Громова Мария ИльиничнаМорозова Наталья Никитична</v>
      </c>
      <c r="K137" t="s">
        <v>15</v>
      </c>
      <c r="L137" t="s">
        <v>144</v>
      </c>
      <c r="M137" t="s">
        <v>145</v>
      </c>
      <c r="N137" t="str">
        <f t="shared" si="14"/>
        <v>Семенова Ирина ВалерьевнаПопов Владимир Артемович</v>
      </c>
      <c r="O137" t="s">
        <v>46</v>
      </c>
      <c r="P137" t="s">
        <v>203</v>
      </c>
      <c r="Q137" t="s">
        <v>418</v>
      </c>
    </row>
    <row r="138" spans="4:17" x14ac:dyDescent="0.25">
      <c r="D138" t="s">
        <v>48</v>
      </c>
      <c r="E138" t="s">
        <v>55</v>
      </c>
      <c r="F138" t="str">
        <f t="shared" si="10"/>
        <v>2023-12-21</v>
      </c>
      <c r="G138" t="str">
        <f t="shared" si="11"/>
        <v>2023-12-21</v>
      </c>
      <c r="H138">
        <f t="shared" si="12"/>
        <v>0</v>
      </c>
      <c r="J138" t="str">
        <f t="shared" si="13"/>
        <v>Орлов Павел ДенисовичСмирнов Кирилл Сергеевич</v>
      </c>
      <c r="K138" t="s">
        <v>17</v>
      </c>
      <c r="L138" t="s">
        <v>146</v>
      </c>
      <c r="M138" t="s">
        <v>145</v>
      </c>
      <c r="N138" t="str">
        <f t="shared" si="14"/>
        <v>Семенова Ирина ВалерьевнаАлексеева Екатерина Станиславовна</v>
      </c>
      <c r="O138" t="s">
        <v>46</v>
      </c>
      <c r="P138" t="s">
        <v>126</v>
      </c>
      <c r="Q138" t="s">
        <v>418</v>
      </c>
    </row>
    <row r="139" spans="4:17" x14ac:dyDescent="0.25">
      <c r="D139" t="s">
        <v>48</v>
      </c>
      <c r="E139" t="s">
        <v>115</v>
      </c>
      <c r="F139" t="str">
        <f t="shared" si="10"/>
        <v>2024-02-19</v>
      </c>
      <c r="G139" t="str">
        <f t="shared" si="11"/>
        <v>2024-02-19</v>
      </c>
      <c r="H139">
        <f t="shared" si="12"/>
        <v>0</v>
      </c>
      <c r="J139" t="str">
        <f t="shared" si="13"/>
        <v>Орлов Павел ДенисовичИванова Екатерина Егоровна</v>
      </c>
      <c r="K139" t="s">
        <v>17</v>
      </c>
      <c r="L139" t="s">
        <v>131</v>
      </c>
      <c r="M139" t="s">
        <v>145</v>
      </c>
      <c r="N139" t="str">
        <f t="shared" si="14"/>
        <v>Петров Владимир КирилловичАлексеева Ксения Андреевна</v>
      </c>
      <c r="O139" t="s">
        <v>36</v>
      </c>
      <c r="P139" t="s">
        <v>184</v>
      </c>
      <c r="Q139" t="s">
        <v>418</v>
      </c>
    </row>
    <row r="140" spans="4:17" x14ac:dyDescent="0.25">
      <c r="D140" t="s">
        <v>48</v>
      </c>
      <c r="E140" t="s">
        <v>130</v>
      </c>
      <c r="F140" t="str">
        <f t="shared" si="10"/>
        <v>2023-11-17</v>
      </c>
      <c r="G140" t="str">
        <f t="shared" si="11"/>
        <v>2023-11-17</v>
      </c>
      <c r="H140">
        <f t="shared" si="12"/>
        <v>0</v>
      </c>
      <c r="J140" t="str">
        <f t="shared" si="13"/>
        <v>Яковлев Артем ИгоревичКозлов Артем Владимирович</v>
      </c>
      <c r="K140" t="s">
        <v>52</v>
      </c>
      <c r="L140" t="s">
        <v>113</v>
      </c>
      <c r="M140" t="s">
        <v>147</v>
      </c>
      <c r="N140" t="str">
        <f t="shared" si="14"/>
        <v>Семенова Ирина ВалерьевнаКузнецова София Сергеевна</v>
      </c>
      <c r="O140" t="s">
        <v>46</v>
      </c>
      <c r="P140" t="s">
        <v>86</v>
      </c>
      <c r="Q140" t="s">
        <v>416</v>
      </c>
    </row>
    <row r="141" spans="4:17" x14ac:dyDescent="0.25">
      <c r="D141" t="s">
        <v>48</v>
      </c>
      <c r="E141" t="s">
        <v>281</v>
      </c>
      <c r="F141" t="str">
        <f t="shared" si="10"/>
        <v>2024-08-29</v>
      </c>
      <c r="G141" t="str">
        <f t="shared" si="11"/>
        <v>2024-08-29</v>
      </c>
      <c r="H141">
        <f t="shared" si="12"/>
        <v>0</v>
      </c>
      <c r="J141" t="str">
        <f t="shared" si="13"/>
        <v>Фролов Сергей ВикторовичВасильев Кирилл Михайлович</v>
      </c>
      <c r="K141" t="s">
        <v>27</v>
      </c>
      <c r="L141" t="s">
        <v>95</v>
      </c>
      <c r="M141" t="s">
        <v>147</v>
      </c>
      <c r="N141" t="str">
        <f t="shared" si="14"/>
        <v>Новикова Ольга ПетровнаАлексеева Ксения Андреевна</v>
      </c>
      <c r="O141" t="s">
        <v>10</v>
      </c>
      <c r="P141" t="s">
        <v>184</v>
      </c>
      <c r="Q141" t="s">
        <v>416</v>
      </c>
    </row>
    <row r="142" spans="4:17" x14ac:dyDescent="0.25">
      <c r="D142" t="s">
        <v>48</v>
      </c>
      <c r="E142" t="s">
        <v>74</v>
      </c>
      <c r="F142" t="str">
        <f t="shared" si="10"/>
        <v>2023-11-16</v>
      </c>
      <c r="G142" t="str">
        <f t="shared" si="11"/>
        <v>2023-11-16</v>
      </c>
      <c r="H142">
        <f t="shared" si="12"/>
        <v>0</v>
      </c>
      <c r="J142" t="str">
        <f t="shared" si="13"/>
        <v>Сидорова Елена ВасильевнаВасильев Егор Владимирович</v>
      </c>
      <c r="K142" t="s">
        <v>12</v>
      </c>
      <c r="L142" t="s">
        <v>148</v>
      </c>
      <c r="M142" t="s">
        <v>147</v>
      </c>
      <c r="N142" t="str">
        <f t="shared" si="14"/>
        <v>Яковлев Артем ИгоревичВасильева Наталья Никитична</v>
      </c>
      <c r="O142" t="s">
        <v>52</v>
      </c>
      <c r="P142" t="s">
        <v>116</v>
      </c>
      <c r="Q142" t="s">
        <v>416</v>
      </c>
    </row>
    <row r="143" spans="4:17" x14ac:dyDescent="0.25">
      <c r="D143" t="s">
        <v>48</v>
      </c>
      <c r="E143" t="s">
        <v>149</v>
      </c>
      <c r="F143" t="str">
        <f t="shared" si="10"/>
        <v>2023-10-23</v>
      </c>
      <c r="G143" t="str">
        <f t="shared" si="11"/>
        <v>2023-10-23</v>
      </c>
      <c r="H143">
        <f t="shared" si="12"/>
        <v>0</v>
      </c>
      <c r="J143" t="str">
        <f t="shared" si="13"/>
        <v>Иванова Анна СергеевнаКозлов Алексей Иванович</v>
      </c>
      <c r="K143" t="s">
        <v>48</v>
      </c>
      <c r="L143" t="s">
        <v>149</v>
      </c>
      <c r="M143" t="s">
        <v>147</v>
      </c>
      <c r="N143" t="str">
        <f t="shared" si="14"/>
        <v>Фролов Сергей ВикторовичПопова Александра Юрьевна</v>
      </c>
      <c r="O143" t="s">
        <v>27</v>
      </c>
      <c r="P143" t="s">
        <v>118</v>
      </c>
      <c r="Q143" t="s">
        <v>416</v>
      </c>
    </row>
    <row r="144" spans="4:17" x14ac:dyDescent="0.25">
      <c r="D144" t="s">
        <v>48</v>
      </c>
      <c r="E144" t="s">
        <v>113</v>
      </c>
      <c r="F144" t="str">
        <f t="shared" si="10"/>
        <v>2024-04-22</v>
      </c>
      <c r="G144" t="str">
        <f t="shared" si="11"/>
        <v>2024-04-22</v>
      </c>
      <c r="H144">
        <f t="shared" si="12"/>
        <v>0</v>
      </c>
      <c r="J144" t="str">
        <f t="shared" si="13"/>
        <v>Иванова Анна СергеевнаМорозов Сергей Олегович</v>
      </c>
      <c r="K144" t="s">
        <v>48</v>
      </c>
      <c r="L144" t="s">
        <v>150</v>
      </c>
      <c r="M144" t="s">
        <v>147</v>
      </c>
      <c r="N144" t="str">
        <f t="shared" si="14"/>
        <v>Кузнецов Дмитрий ЛьвовичАлексеева Ксения Андреевна</v>
      </c>
      <c r="O144" t="s">
        <v>23</v>
      </c>
      <c r="P144" t="s">
        <v>184</v>
      </c>
      <c r="Q144" t="s">
        <v>416</v>
      </c>
    </row>
    <row r="145" spans="4:17" x14ac:dyDescent="0.25">
      <c r="D145" t="s">
        <v>48</v>
      </c>
      <c r="E145" t="s">
        <v>63</v>
      </c>
      <c r="F145" t="str">
        <f t="shared" si="10"/>
        <v>2023-12-04</v>
      </c>
      <c r="G145" t="str">
        <f t="shared" si="11"/>
        <v>2023-12-04</v>
      </c>
      <c r="H145">
        <f t="shared" si="12"/>
        <v>0</v>
      </c>
      <c r="J145" t="str">
        <f t="shared" si="13"/>
        <v>Фролов Сергей ВикторовичПетров Алексей Артемович</v>
      </c>
      <c r="K145" t="s">
        <v>27</v>
      </c>
      <c r="L145" t="s">
        <v>151</v>
      </c>
      <c r="M145" t="s">
        <v>147</v>
      </c>
      <c r="N145" t="str">
        <f t="shared" si="14"/>
        <v>Громова Мария ИльиничнаЛебедев Алексей Павлович</v>
      </c>
      <c r="O145" t="s">
        <v>15</v>
      </c>
      <c r="P145" t="s">
        <v>325</v>
      </c>
      <c r="Q145" t="s">
        <v>416</v>
      </c>
    </row>
    <row r="146" spans="4:17" x14ac:dyDescent="0.25">
      <c r="D146" t="s">
        <v>48</v>
      </c>
      <c r="E146" t="s">
        <v>350</v>
      </c>
      <c r="F146" t="str">
        <f t="shared" si="10"/>
        <v>2024-04-08</v>
      </c>
      <c r="G146" t="str">
        <f t="shared" si="11"/>
        <v>2024-04-08</v>
      </c>
      <c r="H146">
        <f t="shared" si="12"/>
        <v>0</v>
      </c>
      <c r="J146" t="str">
        <f t="shared" si="13"/>
        <v>Сидорова Елена ВасильевнаКузнецова София Сергеевна</v>
      </c>
      <c r="K146" t="s">
        <v>12</v>
      </c>
      <c r="L146" t="s">
        <v>86</v>
      </c>
      <c r="M146" t="s">
        <v>147</v>
      </c>
      <c r="N146" t="str">
        <f t="shared" si="14"/>
        <v>Громова Мария ИльиничнаИванова Ксения Романовна</v>
      </c>
      <c r="O146" t="s">
        <v>15</v>
      </c>
      <c r="P146" t="s">
        <v>74</v>
      </c>
      <c r="Q146" t="s">
        <v>416</v>
      </c>
    </row>
    <row r="147" spans="4:17" x14ac:dyDescent="0.25">
      <c r="D147" t="s">
        <v>48</v>
      </c>
      <c r="E147" t="s">
        <v>173</v>
      </c>
      <c r="F147" t="str">
        <f t="shared" si="10"/>
        <v>2024-04-22</v>
      </c>
      <c r="G147" t="str">
        <f t="shared" si="11"/>
        <v>2024-04-22</v>
      </c>
      <c r="H147">
        <f t="shared" si="12"/>
        <v>0</v>
      </c>
      <c r="J147" t="str">
        <f t="shared" si="13"/>
        <v>Белов Алексей КонстантиновичВасильев Никита Викторович</v>
      </c>
      <c r="K147" t="s">
        <v>8</v>
      </c>
      <c r="L147" t="s">
        <v>47</v>
      </c>
      <c r="M147" t="s">
        <v>152</v>
      </c>
      <c r="N147" t="str">
        <f t="shared" si="14"/>
        <v>Яковлев Артем ИгоревичПопов Дмитрий Ильич</v>
      </c>
      <c r="O147" t="s">
        <v>52</v>
      </c>
      <c r="P147" t="s">
        <v>105</v>
      </c>
      <c r="Q147" t="s">
        <v>416</v>
      </c>
    </row>
    <row r="148" spans="4:17" x14ac:dyDescent="0.25">
      <c r="D148" t="s">
        <v>48</v>
      </c>
      <c r="E148" t="s">
        <v>188</v>
      </c>
      <c r="F148" t="str">
        <f t="shared" si="10"/>
        <v>2023-12-19</v>
      </c>
      <c r="G148" t="str">
        <f t="shared" si="11"/>
        <v>2023-12-19</v>
      </c>
      <c r="H148">
        <f t="shared" si="12"/>
        <v>0</v>
      </c>
      <c r="J148" t="str">
        <f t="shared" si="13"/>
        <v>Петров Владимир КирилловичПопова Екатерина Владимировна</v>
      </c>
      <c r="K148" t="s">
        <v>36</v>
      </c>
      <c r="L148" t="s">
        <v>11</v>
      </c>
      <c r="M148" t="s">
        <v>152</v>
      </c>
      <c r="N148" t="str">
        <f t="shared" si="14"/>
        <v>Орлов Павел ДенисовичВолкова Виктория Михайловна</v>
      </c>
      <c r="O148" t="s">
        <v>17</v>
      </c>
      <c r="P148" t="s">
        <v>40</v>
      </c>
      <c r="Q148" t="s">
        <v>416</v>
      </c>
    </row>
    <row r="149" spans="4:17" x14ac:dyDescent="0.25">
      <c r="D149" t="s">
        <v>48</v>
      </c>
      <c r="E149" t="s">
        <v>320</v>
      </c>
      <c r="F149" t="str">
        <f t="shared" si="10"/>
        <v>2024-03-25</v>
      </c>
      <c r="G149" t="str">
        <f t="shared" si="11"/>
        <v>2024-03-25</v>
      </c>
      <c r="H149">
        <f t="shared" si="12"/>
        <v>0</v>
      </c>
      <c r="J149" t="str">
        <f t="shared" si="13"/>
        <v>Петров Владимир КирилловичНовиков Павел Никитич</v>
      </c>
      <c r="K149" t="s">
        <v>36</v>
      </c>
      <c r="L149" t="s">
        <v>153</v>
      </c>
      <c r="M149" t="s">
        <v>152</v>
      </c>
      <c r="N149" t="str">
        <f t="shared" si="14"/>
        <v>Яковлев Артем ИгоревичФедорова Вероника Ивановна</v>
      </c>
      <c r="O149" t="s">
        <v>52</v>
      </c>
      <c r="P149" t="s">
        <v>107</v>
      </c>
      <c r="Q149" t="s">
        <v>416</v>
      </c>
    </row>
    <row r="150" spans="4:17" x14ac:dyDescent="0.25">
      <c r="D150" t="s">
        <v>48</v>
      </c>
      <c r="E150" t="s">
        <v>71</v>
      </c>
      <c r="F150" t="str">
        <f t="shared" si="10"/>
        <v>2023-10-03</v>
      </c>
      <c r="G150" t="str">
        <f t="shared" si="11"/>
        <v>2024-03-29</v>
      </c>
      <c r="H150">
        <f t="shared" si="12"/>
        <v>178</v>
      </c>
      <c r="J150" t="str">
        <f t="shared" si="13"/>
        <v>Орлов Павел ДенисовичСидоров Дмитрий Алексеевич</v>
      </c>
      <c r="K150" t="s">
        <v>17</v>
      </c>
      <c r="L150" t="s">
        <v>141</v>
      </c>
      <c r="M150" t="s">
        <v>154</v>
      </c>
      <c r="N150" t="str">
        <f t="shared" si="14"/>
        <v>Орлов Павел ДенисовичВолкова София Андреевна</v>
      </c>
      <c r="O150" t="s">
        <v>17</v>
      </c>
      <c r="P150" t="s">
        <v>417</v>
      </c>
      <c r="Q150" t="s">
        <v>416</v>
      </c>
    </row>
    <row r="151" spans="4:17" x14ac:dyDescent="0.25">
      <c r="D151" t="s">
        <v>48</v>
      </c>
      <c r="E151" t="s">
        <v>6</v>
      </c>
      <c r="F151" t="str">
        <f t="shared" si="10"/>
        <v>2023-12-04</v>
      </c>
      <c r="G151" t="str">
        <f t="shared" si="11"/>
        <v>2023-12-04</v>
      </c>
      <c r="H151">
        <f t="shared" si="12"/>
        <v>0</v>
      </c>
      <c r="J151" t="str">
        <f t="shared" si="13"/>
        <v>Яковлев Артем ИгоревичМорозова Наталья Геннадьевна</v>
      </c>
      <c r="K151" t="s">
        <v>52</v>
      </c>
      <c r="L151" t="s">
        <v>133</v>
      </c>
      <c r="M151" t="s">
        <v>154</v>
      </c>
      <c r="N151" t="str">
        <f t="shared" si="14"/>
        <v>Фролов Сергей ВикторовичВасильева Алиса Дмитриевна</v>
      </c>
      <c r="O151" t="s">
        <v>27</v>
      </c>
      <c r="P151" t="s">
        <v>216</v>
      </c>
      <c r="Q151" t="s">
        <v>415</v>
      </c>
    </row>
    <row r="152" spans="4:17" x14ac:dyDescent="0.25">
      <c r="D152" t="s">
        <v>48</v>
      </c>
      <c r="E152" t="s">
        <v>238</v>
      </c>
      <c r="F152" t="str">
        <f t="shared" si="10"/>
        <v>2024-05-17</v>
      </c>
      <c r="G152" t="str">
        <f t="shared" si="11"/>
        <v>2024-08-01</v>
      </c>
      <c r="H152">
        <f t="shared" si="12"/>
        <v>76</v>
      </c>
      <c r="J152" t="str">
        <f t="shared" si="13"/>
        <v>Петров Владимир КирилловичАлексеева Алиса Ильинична</v>
      </c>
      <c r="K152" t="s">
        <v>36</v>
      </c>
      <c r="L152" t="s">
        <v>64</v>
      </c>
      <c r="M152" t="s">
        <v>155</v>
      </c>
      <c r="N152" t="str">
        <f t="shared" si="14"/>
        <v>Петров Владимир КирилловичКозлова Ирина Павловна</v>
      </c>
      <c r="O152" t="s">
        <v>36</v>
      </c>
      <c r="P152" t="s">
        <v>122</v>
      </c>
      <c r="Q152" t="s">
        <v>415</v>
      </c>
    </row>
    <row r="153" spans="4:17" x14ac:dyDescent="0.25">
      <c r="D153" t="s">
        <v>48</v>
      </c>
      <c r="E153" t="s">
        <v>91</v>
      </c>
      <c r="F153" t="str">
        <f t="shared" si="10"/>
        <v>2024-01-15</v>
      </c>
      <c r="G153" t="str">
        <f t="shared" si="11"/>
        <v>2024-01-15</v>
      </c>
      <c r="H153">
        <f t="shared" si="12"/>
        <v>0</v>
      </c>
      <c r="J153" t="str">
        <f t="shared" si="13"/>
        <v>Семенова Ирина ВалерьевнаКозлова Алиса Алексеевна</v>
      </c>
      <c r="K153" t="s">
        <v>46</v>
      </c>
      <c r="L153" t="s">
        <v>156</v>
      </c>
      <c r="M153" t="s">
        <v>155</v>
      </c>
      <c r="N153" t="str">
        <f t="shared" si="14"/>
        <v>Кузнецов Дмитрий ЛьвовичНовиков Павел Никитич</v>
      </c>
      <c r="O153" t="s">
        <v>23</v>
      </c>
      <c r="P153" t="s">
        <v>153</v>
      </c>
      <c r="Q153" t="s">
        <v>415</v>
      </c>
    </row>
    <row r="154" spans="4:17" x14ac:dyDescent="0.25">
      <c r="D154" t="s">
        <v>48</v>
      </c>
      <c r="E154" t="s">
        <v>335</v>
      </c>
      <c r="F154" t="str">
        <f t="shared" si="10"/>
        <v>2024-08-16</v>
      </c>
      <c r="G154" t="str">
        <f t="shared" si="11"/>
        <v>2024-08-16</v>
      </c>
      <c r="H154">
        <f t="shared" si="12"/>
        <v>0</v>
      </c>
      <c r="J154" t="str">
        <f t="shared" si="13"/>
        <v>Яковлев Артем ИгоревичПетров Кирилл Владимирович</v>
      </c>
      <c r="K154" t="s">
        <v>52</v>
      </c>
      <c r="L154" t="s">
        <v>45</v>
      </c>
      <c r="M154" t="s">
        <v>155</v>
      </c>
      <c r="N154" t="str">
        <f t="shared" si="14"/>
        <v>Яковлев Артем ИгоревичИванова Анна Викторовна</v>
      </c>
      <c r="O154" t="s">
        <v>52</v>
      </c>
      <c r="P154" t="s">
        <v>281</v>
      </c>
      <c r="Q154" t="s">
        <v>414</v>
      </c>
    </row>
    <row r="155" spans="4:17" x14ac:dyDescent="0.25">
      <c r="D155" t="s">
        <v>48</v>
      </c>
      <c r="E155" t="s">
        <v>150</v>
      </c>
      <c r="F155" t="str">
        <f t="shared" si="10"/>
        <v>2023-10-23</v>
      </c>
      <c r="G155" t="str">
        <f t="shared" si="11"/>
        <v>2023-10-23</v>
      </c>
      <c r="H155">
        <f t="shared" si="12"/>
        <v>0</v>
      </c>
      <c r="J155" t="str">
        <f t="shared" si="13"/>
        <v>Сидорова Елена ВасильевнаПетрова Людмила Ильинична</v>
      </c>
      <c r="K155" t="s">
        <v>12</v>
      </c>
      <c r="L155" t="s">
        <v>29</v>
      </c>
      <c r="M155" t="s">
        <v>155</v>
      </c>
      <c r="N155" t="str">
        <f t="shared" si="14"/>
        <v>Ткаченко Андрей ОлеговичКузнецов Никита Сергеевич</v>
      </c>
      <c r="O155" t="s">
        <v>5</v>
      </c>
      <c r="P155" t="s">
        <v>248</v>
      </c>
      <c r="Q155" t="s">
        <v>414</v>
      </c>
    </row>
    <row r="156" spans="4:17" x14ac:dyDescent="0.25">
      <c r="D156" t="s">
        <v>48</v>
      </c>
      <c r="E156" t="s">
        <v>125</v>
      </c>
      <c r="F156" t="str">
        <f t="shared" si="10"/>
        <v>2024-02-12</v>
      </c>
      <c r="G156" t="str">
        <f t="shared" si="11"/>
        <v>2024-04-01</v>
      </c>
      <c r="H156">
        <f t="shared" si="12"/>
        <v>49</v>
      </c>
      <c r="J156" t="str">
        <f t="shared" si="13"/>
        <v>Сидорова Елена ВасильевнаПетрова Полина Дмитриевна</v>
      </c>
      <c r="K156" t="s">
        <v>12</v>
      </c>
      <c r="L156" t="s">
        <v>109</v>
      </c>
      <c r="M156" t="s">
        <v>155</v>
      </c>
      <c r="N156" t="str">
        <f t="shared" si="14"/>
        <v>Фролов Сергей ВикторовичВолков Роман Иванович</v>
      </c>
      <c r="O156" t="s">
        <v>27</v>
      </c>
      <c r="P156" t="s">
        <v>75</v>
      </c>
      <c r="Q156" t="s">
        <v>414</v>
      </c>
    </row>
    <row r="157" spans="4:17" x14ac:dyDescent="0.25">
      <c r="D157" t="s">
        <v>48</v>
      </c>
      <c r="E157" t="s">
        <v>133</v>
      </c>
      <c r="F157" t="str">
        <f t="shared" si="10"/>
        <v>2024-07-31</v>
      </c>
      <c r="G157" t="str">
        <f t="shared" si="11"/>
        <v>2024-07-31</v>
      </c>
      <c r="H157">
        <f t="shared" si="12"/>
        <v>0</v>
      </c>
      <c r="J157" t="str">
        <f t="shared" si="13"/>
        <v>Семенова Ирина ВалерьевнаФедоров Дмитрий Викторович</v>
      </c>
      <c r="K157" t="s">
        <v>46</v>
      </c>
      <c r="L157" t="s">
        <v>157</v>
      </c>
      <c r="M157" t="s">
        <v>155</v>
      </c>
      <c r="N157" t="str">
        <f t="shared" si="14"/>
        <v>Кузнецов Дмитрий ЛьвовичИванова Екатерина Егоровна</v>
      </c>
      <c r="O157" t="s">
        <v>23</v>
      </c>
      <c r="P157" t="s">
        <v>131</v>
      </c>
      <c r="Q157" t="s">
        <v>414</v>
      </c>
    </row>
    <row r="158" spans="4:17" x14ac:dyDescent="0.25">
      <c r="D158" t="s">
        <v>48</v>
      </c>
      <c r="E158" t="s">
        <v>200</v>
      </c>
      <c r="F158" t="str">
        <f t="shared" si="10"/>
        <v>2024-05-24</v>
      </c>
      <c r="G158" t="str">
        <f t="shared" si="11"/>
        <v>2024-05-24</v>
      </c>
      <c r="H158">
        <f t="shared" si="12"/>
        <v>0</v>
      </c>
      <c r="J158" t="str">
        <f t="shared" si="13"/>
        <v>Петров Владимир КирилловичВасильев Александр Иванович</v>
      </c>
      <c r="K158" t="s">
        <v>36</v>
      </c>
      <c r="L158" t="s">
        <v>158</v>
      </c>
      <c r="M158" t="s">
        <v>155</v>
      </c>
      <c r="N158" t="str">
        <f t="shared" si="14"/>
        <v>Новикова Ольга ПетровнаВолков Константин Алексеевич</v>
      </c>
      <c r="O158" t="s">
        <v>10</v>
      </c>
      <c r="P158" t="s">
        <v>84</v>
      </c>
      <c r="Q158" t="s">
        <v>414</v>
      </c>
    </row>
    <row r="159" spans="4:17" x14ac:dyDescent="0.25">
      <c r="D159" t="s">
        <v>48</v>
      </c>
      <c r="E159" t="s">
        <v>140</v>
      </c>
      <c r="F159" t="str">
        <f t="shared" si="10"/>
        <v>2024-04-01</v>
      </c>
      <c r="G159" t="str">
        <f t="shared" si="11"/>
        <v>2024-04-01</v>
      </c>
      <c r="H159">
        <f t="shared" si="12"/>
        <v>0</v>
      </c>
      <c r="J159" t="str">
        <f t="shared" si="13"/>
        <v>Фролов Сергей ВикторовичОрлов Кирилл Владимирович</v>
      </c>
      <c r="K159" t="s">
        <v>27</v>
      </c>
      <c r="L159" t="s">
        <v>79</v>
      </c>
      <c r="M159" t="s">
        <v>155</v>
      </c>
      <c r="N159" t="str">
        <f t="shared" si="14"/>
        <v>Громова Мария ИльиничнаНиколаева Ирина Владимировна</v>
      </c>
      <c r="O159" t="s">
        <v>15</v>
      </c>
      <c r="P159" t="s">
        <v>66</v>
      </c>
      <c r="Q159" t="s">
        <v>413</v>
      </c>
    </row>
    <row r="160" spans="4:17" x14ac:dyDescent="0.25">
      <c r="D160" t="s">
        <v>48</v>
      </c>
      <c r="E160" t="s">
        <v>51</v>
      </c>
      <c r="F160" t="str">
        <f t="shared" si="10"/>
        <v>2024-08-08</v>
      </c>
      <c r="G160" t="str">
        <f t="shared" si="11"/>
        <v>2024-08-08</v>
      </c>
      <c r="H160">
        <f t="shared" si="12"/>
        <v>0</v>
      </c>
      <c r="J160" t="str">
        <f t="shared" si="13"/>
        <v>Яковлев Артем ИгоревичПетрова Дарья Егоровна</v>
      </c>
      <c r="K160" t="s">
        <v>52</v>
      </c>
      <c r="L160" t="s">
        <v>24</v>
      </c>
      <c r="M160" t="s">
        <v>159</v>
      </c>
      <c r="N160" t="str">
        <f t="shared" si="14"/>
        <v>Кузнецов Дмитрий ЛьвовичАлексеева Виктория Александровна</v>
      </c>
      <c r="O160" t="s">
        <v>23</v>
      </c>
      <c r="P160" t="s">
        <v>195</v>
      </c>
      <c r="Q160" t="s">
        <v>413</v>
      </c>
    </row>
    <row r="161" spans="4:17" x14ac:dyDescent="0.25">
      <c r="D161" t="s">
        <v>48</v>
      </c>
      <c r="E161" t="s">
        <v>129</v>
      </c>
      <c r="F161" t="str">
        <f t="shared" si="10"/>
        <v>2024-02-19</v>
      </c>
      <c r="G161" t="str">
        <f t="shared" si="11"/>
        <v>2024-02-19</v>
      </c>
      <c r="H161">
        <f t="shared" si="12"/>
        <v>0</v>
      </c>
      <c r="J161" t="str">
        <f t="shared" si="13"/>
        <v>Кузнецов Дмитрий ЛьвовичВолкова Наталья Александровна</v>
      </c>
      <c r="K161" t="s">
        <v>23</v>
      </c>
      <c r="L161" t="s">
        <v>115</v>
      </c>
      <c r="M161" t="s">
        <v>159</v>
      </c>
      <c r="N161" t="str">
        <f t="shared" si="14"/>
        <v>Сидорова Елена ВасильевнаСеменова Вероника Павловна</v>
      </c>
      <c r="O161" t="s">
        <v>12</v>
      </c>
      <c r="P161" t="s">
        <v>61</v>
      </c>
      <c r="Q161" t="s">
        <v>413</v>
      </c>
    </row>
    <row r="162" spans="4:17" x14ac:dyDescent="0.25">
      <c r="D162" t="s">
        <v>48</v>
      </c>
      <c r="E162" t="s">
        <v>175</v>
      </c>
      <c r="F162" t="str">
        <f t="shared" si="10"/>
        <v>2023-11-08</v>
      </c>
      <c r="G162" t="str">
        <f t="shared" si="11"/>
        <v>2023-11-08</v>
      </c>
      <c r="H162">
        <f t="shared" si="12"/>
        <v>0</v>
      </c>
      <c r="J162" t="str">
        <f t="shared" si="13"/>
        <v>Ткаченко Андрей ОлеговичСмирнова София Ильинична</v>
      </c>
      <c r="K162" t="s">
        <v>5</v>
      </c>
      <c r="L162" t="s">
        <v>160</v>
      </c>
      <c r="M162" t="s">
        <v>159</v>
      </c>
      <c r="N162" t="str">
        <f t="shared" si="14"/>
        <v>Ткаченко Андрей ОлеговичМорозов Никита Иванович</v>
      </c>
      <c r="O162" t="s">
        <v>5</v>
      </c>
      <c r="P162" t="s">
        <v>335</v>
      </c>
      <c r="Q162" t="s">
        <v>413</v>
      </c>
    </row>
    <row r="163" spans="4:17" x14ac:dyDescent="0.25">
      <c r="D163" t="s">
        <v>48</v>
      </c>
      <c r="E163" t="s">
        <v>235</v>
      </c>
      <c r="F163" t="str">
        <f t="shared" si="10"/>
        <v>2024-07-16</v>
      </c>
      <c r="G163" t="str">
        <f t="shared" si="11"/>
        <v>2024-07-16</v>
      </c>
      <c r="H163">
        <f t="shared" si="12"/>
        <v>0</v>
      </c>
      <c r="J163" t="str">
        <f t="shared" si="13"/>
        <v>Петров Владимир КирилловичВасильев Александр Никитич</v>
      </c>
      <c r="K163" t="s">
        <v>36</v>
      </c>
      <c r="L163" t="s">
        <v>161</v>
      </c>
      <c r="M163" t="s">
        <v>162</v>
      </c>
      <c r="N163" t="str">
        <f t="shared" si="14"/>
        <v>Орлов Павел ДенисовичПавлова Ольга Юрьевна</v>
      </c>
      <c r="O163" t="s">
        <v>17</v>
      </c>
      <c r="P163" t="s">
        <v>112</v>
      </c>
      <c r="Q163" t="s">
        <v>413</v>
      </c>
    </row>
    <row r="164" spans="4:17" x14ac:dyDescent="0.25">
      <c r="D164" t="s">
        <v>48</v>
      </c>
      <c r="E164" t="s">
        <v>202</v>
      </c>
      <c r="F164" t="str">
        <f t="shared" si="10"/>
        <v>2024-05-24</v>
      </c>
      <c r="G164" t="str">
        <f t="shared" si="11"/>
        <v>2024-05-24</v>
      </c>
      <c r="H164">
        <f t="shared" si="12"/>
        <v>0</v>
      </c>
      <c r="J164" t="str">
        <f t="shared" si="13"/>
        <v>Семенова Ирина ВалерьевнаСидорова Вероника Павловна</v>
      </c>
      <c r="K164" t="s">
        <v>46</v>
      </c>
      <c r="L164" t="s">
        <v>163</v>
      </c>
      <c r="M164" t="s">
        <v>162</v>
      </c>
      <c r="N164" t="str">
        <f t="shared" si="14"/>
        <v>Яковлев Артем ИгоревичКозлова Ирина Павловна</v>
      </c>
      <c r="O164" t="s">
        <v>52</v>
      </c>
      <c r="P164" t="s">
        <v>122</v>
      </c>
      <c r="Q164" t="s">
        <v>413</v>
      </c>
    </row>
    <row r="165" spans="4:17" x14ac:dyDescent="0.25">
      <c r="D165" t="s">
        <v>48</v>
      </c>
      <c r="E165" t="s">
        <v>66</v>
      </c>
      <c r="F165" t="str">
        <f t="shared" si="10"/>
        <v>2024-07-25</v>
      </c>
      <c r="G165" t="str">
        <f t="shared" si="11"/>
        <v>2024-07-25</v>
      </c>
      <c r="H165">
        <f t="shared" si="12"/>
        <v>0</v>
      </c>
      <c r="J165" t="str">
        <f t="shared" si="13"/>
        <v>Орлов Павел ДенисовичСтепанова Анна Никитична</v>
      </c>
      <c r="K165" t="s">
        <v>17</v>
      </c>
      <c r="L165" t="s">
        <v>108</v>
      </c>
      <c r="M165" t="s">
        <v>162</v>
      </c>
      <c r="N165" t="str">
        <f t="shared" si="14"/>
        <v>Новикова Ольга ПетровнаАлексеева Алиса Ильинична</v>
      </c>
      <c r="O165" t="s">
        <v>10</v>
      </c>
      <c r="P165" t="s">
        <v>64</v>
      </c>
      <c r="Q165" t="s">
        <v>413</v>
      </c>
    </row>
    <row r="166" spans="4:17" x14ac:dyDescent="0.25">
      <c r="D166" t="s">
        <v>48</v>
      </c>
      <c r="E166" t="s">
        <v>268</v>
      </c>
      <c r="F166" t="str">
        <f t="shared" si="10"/>
        <v>2024-03-11</v>
      </c>
      <c r="G166" t="str">
        <f t="shared" si="11"/>
        <v>2024-03-11</v>
      </c>
      <c r="H166">
        <f t="shared" si="12"/>
        <v>0</v>
      </c>
      <c r="J166" t="str">
        <f t="shared" si="13"/>
        <v>Белов Алексей КонстантиновичСеменова Виктория Владимировна</v>
      </c>
      <c r="K166" t="s">
        <v>8</v>
      </c>
      <c r="L166" t="s">
        <v>73</v>
      </c>
      <c r="M166" t="s">
        <v>164</v>
      </c>
      <c r="N166" t="str">
        <f t="shared" si="14"/>
        <v>Семенова Ирина ВалерьевнаМорозов Сергей Олегович</v>
      </c>
      <c r="O166" t="s">
        <v>46</v>
      </c>
      <c r="P166" t="s">
        <v>150</v>
      </c>
      <c r="Q166" t="s">
        <v>413</v>
      </c>
    </row>
    <row r="167" spans="4:17" x14ac:dyDescent="0.25">
      <c r="D167" t="s">
        <v>48</v>
      </c>
      <c r="E167" t="s">
        <v>197</v>
      </c>
      <c r="F167" t="str">
        <f t="shared" si="10"/>
        <v>2024-04-08</v>
      </c>
      <c r="G167" t="str">
        <f t="shared" si="11"/>
        <v>2024-04-08</v>
      </c>
      <c r="H167">
        <f t="shared" si="12"/>
        <v>0</v>
      </c>
      <c r="J167" t="str">
        <f t="shared" si="13"/>
        <v>Семенова Ирина ВалерьевнаОрлова Анна Дмитриевна</v>
      </c>
      <c r="K167" t="s">
        <v>46</v>
      </c>
      <c r="L167" t="s">
        <v>165</v>
      </c>
      <c r="M167" t="s">
        <v>164</v>
      </c>
      <c r="N167" t="str">
        <f t="shared" si="14"/>
        <v>Фролов Сергей ВикторовичСтепанова Виктория Алексеевна</v>
      </c>
      <c r="O167" t="s">
        <v>27</v>
      </c>
      <c r="P167" t="s">
        <v>43</v>
      </c>
      <c r="Q167" t="s">
        <v>413</v>
      </c>
    </row>
    <row r="168" spans="4:17" x14ac:dyDescent="0.25">
      <c r="D168" t="s">
        <v>48</v>
      </c>
      <c r="E168" t="s">
        <v>138</v>
      </c>
      <c r="F168" t="str">
        <f t="shared" si="10"/>
        <v>2023-12-05</v>
      </c>
      <c r="G168" t="str">
        <f t="shared" si="11"/>
        <v>2023-12-05</v>
      </c>
      <c r="H168">
        <f t="shared" si="12"/>
        <v>0</v>
      </c>
      <c r="J168" t="str">
        <f t="shared" si="13"/>
        <v>Новикова Ольга ПетровнаКозлова Полина Викторовна</v>
      </c>
      <c r="K168" t="s">
        <v>10</v>
      </c>
      <c r="L168" t="s">
        <v>166</v>
      </c>
      <c r="M168" t="s">
        <v>167</v>
      </c>
      <c r="N168" t="str">
        <f t="shared" si="14"/>
        <v>Орлов Павел ДенисовичСидорова Виктория Ильинична</v>
      </c>
      <c r="O168" t="s">
        <v>17</v>
      </c>
      <c r="P168" t="s">
        <v>270</v>
      </c>
      <c r="Q168" t="s">
        <v>413</v>
      </c>
    </row>
    <row r="169" spans="4:17" x14ac:dyDescent="0.25">
      <c r="D169" t="s">
        <v>48</v>
      </c>
      <c r="E169" t="s">
        <v>272</v>
      </c>
      <c r="F169" t="str">
        <f t="shared" si="10"/>
        <v>2024-03-28</v>
      </c>
      <c r="G169" t="str">
        <f t="shared" si="11"/>
        <v>2024-03-28</v>
      </c>
      <c r="H169">
        <f t="shared" si="12"/>
        <v>0</v>
      </c>
      <c r="J169" t="str">
        <f t="shared" si="13"/>
        <v>Петров Владимир КирилловичАлексеев Павел Дмитриевич</v>
      </c>
      <c r="K169" t="s">
        <v>36</v>
      </c>
      <c r="L169" t="s">
        <v>168</v>
      </c>
      <c r="M169" t="s">
        <v>167</v>
      </c>
      <c r="N169" t="str">
        <f t="shared" si="14"/>
        <v>Громова Мария ИльиничнаПопова Александра Юрьевна</v>
      </c>
      <c r="O169" t="s">
        <v>15</v>
      </c>
      <c r="P169" t="s">
        <v>118</v>
      </c>
      <c r="Q169" t="s">
        <v>413</v>
      </c>
    </row>
    <row r="170" spans="4:17" x14ac:dyDescent="0.25">
      <c r="D170" t="s">
        <v>48</v>
      </c>
      <c r="E170" t="s">
        <v>87</v>
      </c>
      <c r="F170" t="str">
        <f t="shared" si="10"/>
        <v>2023-09-26</v>
      </c>
      <c r="G170" t="str">
        <f t="shared" si="11"/>
        <v>2023-11-06</v>
      </c>
      <c r="H170">
        <f t="shared" si="12"/>
        <v>41</v>
      </c>
      <c r="J170" t="str">
        <f t="shared" si="13"/>
        <v>Петров Владимир КирилловичПавлов Роман Александрович</v>
      </c>
      <c r="K170" t="s">
        <v>36</v>
      </c>
      <c r="L170" t="s">
        <v>134</v>
      </c>
      <c r="M170" t="s">
        <v>167</v>
      </c>
      <c r="N170" t="str">
        <f t="shared" si="14"/>
        <v>Сидорова Елена ВасильевнаСидоров Павел Андреевич</v>
      </c>
      <c r="O170" t="s">
        <v>12</v>
      </c>
      <c r="P170" t="s">
        <v>287</v>
      </c>
      <c r="Q170" t="s">
        <v>413</v>
      </c>
    </row>
    <row r="171" spans="4:17" x14ac:dyDescent="0.25">
      <c r="D171" t="s">
        <v>48</v>
      </c>
      <c r="E171" t="s">
        <v>239</v>
      </c>
      <c r="F171" t="str">
        <f t="shared" si="10"/>
        <v>2023-12-25</v>
      </c>
      <c r="G171" t="str">
        <f t="shared" si="11"/>
        <v>2023-12-25</v>
      </c>
      <c r="H171">
        <f t="shared" si="12"/>
        <v>0</v>
      </c>
      <c r="J171" t="str">
        <f t="shared" si="13"/>
        <v>Белов Алексей КонстантиновичВолков Роман Иванович</v>
      </c>
      <c r="K171" t="s">
        <v>8</v>
      </c>
      <c r="L171" t="s">
        <v>75</v>
      </c>
      <c r="M171" t="s">
        <v>169</v>
      </c>
      <c r="N171" t="str">
        <f t="shared" si="14"/>
        <v>Кузнецов Дмитрий ЛьвовичКозлова Полина Кирилловна</v>
      </c>
      <c r="O171" t="s">
        <v>23</v>
      </c>
      <c r="P171" t="s">
        <v>67</v>
      </c>
      <c r="Q171" t="s">
        <v>413</v>
      </c>
    </row>
    <row r="172" spans="4:17" x14ac:dyDescent="0.25">
      <c r="D172" t="s">
        <v>48</v>
      </c>
      <c r="E172" t="s">
        <v>34</v>
      </c>
      <c r="F172" t="str">
        <f t="shared" si="10"/>
        <v>2024-05-17</v>
      </c>
      <c r="G172" t="str">
        <f t="shared" si="11"/>
        <v>2024-05-17</v>
      </c>
      <c r="H172">
        <f t="shared" si="12"/>
        <v>0</v>
      </c>
      <c r="J172" t="str">
        <f t="shared" si="13"/>
        <v>Кузнецов Дмитрий ЛьвовичИванов Владимир Романович</v>
      </c>
      <c r="K172" t="s">
        <v>23</v>
      </c>
      <c r="L172" t="s">
        <v>170</v>
      </c>
      <c r="M172" t="s">
        <v>169</v>
      </c>
      <c r="N172" t="str">
        <f t="shared" si="14"/>
        <v>Белов Алексей КонстантиновичСмирнов Егор Никитич</v>
      </c>
      <c r="O172" t="s">
        <v>8</v>
      </c>
      <c r="P172" t="s">
        <v>296</v>
      </c>
      <c r="Q172" t="s">
        <v>413</v>
      </c>
    </row>
    <row r="173" spans="4:17" x14ac:dyDescent="0.25">
      <c r="D173" t="s">
        <v>48</v>
      </c>
      <c r="E173" t="s">
        <v>103</v>
      </c>
      <c r="F173" t="str">
        <f t="shared" si="10"/>
        <v>2024-01-26</v>
      </c>
      <c r="G173" t="str">
        <f t="shared" si="11"/>
        <v>2024-01-26</v>
      </c>
      <c r="H173">
        <f t="shared" si="12"/>
        <v>0</v>
      </c>
      <c r="J173" t="str">
        <f t="shared" si="13"/>
        <v>Иванова Анна СергеевнаОрлов Максим Егорович</v>
      </c>
      <c r="K173" t="s">
        <v>48</v>
      </c>
      <c r="L173" t="s">
        <v>87</v>
      </c>
      <c r="M173" t="s">
        <v>169</v>
      </c>
      <c r="N173" t="str">
        <f t="shared" si="14"/>
        <v>Фролов Сергей ВикторовичИванов Андрей Михайлович</v>
      </c>
      <c r="O173" t="s">
        <v>27</v>
      </c>
      <c r="P173" t="s">
        <v>229</v>
      </c>
      <c r="Q173" t="s">
        <v>412</v>
      </c>
    </row>
    <row r="174" spans="4:17" x14ac:dyDescent="0.25">
      <c r="D174" t="s">
        <v>48</v>
      </c>
      <c r="E174" t="s">
        <v>207</v>
      </c>
      <c r="F174" t="str">
        <f t="shared" si="10"/>
        <v>2024-03-18</v>
      </c>
      <c r="G174" t="str">
        <f t="shared" si="11"/>
        <v>2024-03-18</v>
      </c>
      <c r="H174">
        <f t="shared" si="12"/>
        <v>0</v>
      </c>
      <c r="J174" t="str">
        <f t="shared" si="13"/>
        <v>Семенова Ирина ВалерьевнаПетров Максим Александрович</v>
      </c>
      <c r="K174" t="s">
        <v>46</v>
      </c>
      <c r="L174" t="s">
        <v>171</v>
      </c>
      <c r="M174" t="s">
        <v>169</v>
      </c>
      <c r="N174" t="str">
        <f t="shared" si="14"/>
        <v>Семенова Ирина ВалерьевнаВасильев Георгий Станиславович</v>
      </c>
      <c r="O174" t="s">
        <v>46</v>
      </c>
      <c r="P174" t="s">
        <v>243</v>
      </c>
      <c r="Q174" t="s">
        <v>412</v>
      </c>
    </row>
    <row r="175" spans="4:17" x14ac:dyDescent="0.25">
      <c r="D175" t="s">
        <v>48</v>
      </c>
      <c r="E175" t="s">
        <v>134</v>
      </c>
      <c r="F175" t="str">
        <f t="shared" si="10"/>
        <v>2024-06-10</v>
      </c>
      <c r="G175" t="str">
        <f t="shared" si="11"/>
        <v>2024-06-10</v>
      </c>
      <c r="H175">
        <f t="shared" si="12"/>
        <v>0</v>
      </c>
      <c r="J175" t="str">
        <f t="shared" si="13"/>
        <v>Кузнецов Дмитрий ЛьвовичСтепанова Екатерина Михайловна</v>
      </c>
      <c r="K175" t="s">
        <v>23</v>
      </c>
      <c r="L175" t="s">
        <v>172</v>
      </c>
      <c r="M175" t="s">
        <v>169</v>
      </c>
      <c r="N175" t="str">
        <f t="shared" si="14"/>
        <v>Громова Мария ИльиничнаНиколаев Артур Никитич</v>
      </c>
      <c r="O175" t="s">
        <v>15</v>
      </c>
      <c r="P175" t="s">
        <v>129</v>
      </c>
      <c r="Q175" t="s">
        <v>412</v>
      </c>
    </row>
    <row r="176" spans="4:17" x14ac:dyDescent="0.25">
      <c r="D176" t="s">
        <v>48</v>
      </c>
      <c r="E176" t="s">
        <v>219</v>
      </c>
      <c r="F176" t="str">
        <f t="shared" si="10"/>
        <v>2024-02-07</v>
      </c>
      <c r="G176" t="str">
        <f t="shared" si="11"/>
        <v>2024-02-07</v>
      </c>
      <c r="H176">
        <f t="shared" si="12"/>
        <v>0</v>
      </c>
      <c r="J176" t="str">
        <f t="shared" si="13"/>
        <v>Семенова Ирина ВалерьевнаСмирнов Дмитрий Александрович</v>
      </c>
      <c r="K176" t="s">
        <v>46</v>
      </c>
      <c r="L176" t="s">
        <v>20</v>
      </c>
      <c r="M176" t="s">
        <v>169</v>
      </c>
      <c r="N176" t="str">
        <f t="shared" si="14"/>
        <v>Новикова Ольга ПетровнаПетров Михаил Юрьевич</v>
      </c>
      <c r="O176" t="s">
        <v>10</v>
      </c>
      <c r="P176" t="s">
        <v>256</v>
      </c>
      <c r="Q176" t="s">
        <v>411</v>
      </c>
    </row>
    <row r="177" spans="4:17" x14ac:dyDescent="0.25">
      <c r="D177" t="s">
        <v>48</v>
      </c>
      <c r="E177" t="s">
        <v>151</v>
      </c>
      <c r="F177" t="str">
        <f t="shared" si="10"/>
        <v>2024-03-27</v>
      </c>
      <c r="G177" t="str">
        <f t="shared" si="11"/>
        <v>2024-03-27</v>
      </c>
      <c r="H177">
        <f t="shared" si="12"/>
        <v>0</v>
      </c>
      <c r="J177" t="str">
        <f t="shared" si="13"/>
        <v>Петров Владимир КирилловичКозлов Артур Андреевич</v>
      </c>
      <c r="K177" t="s">
        <v>36</v>
      </c>
      <c r="L177" t="s">
        <v>63</v>
      </c>
      <c r="M177" t="s">
        <v>169</v>
      </c>
      <c r="N177" t="str">
        <f t="shared" si="14"/>
        <v>Иванова Анна СергеевнаФедоров Дмитрий Викторович</v>
      </c>
      <c r="O177" t="s">
        <v>48</v>
      </c>
      <c r="P177" t="s">
        <v>157</v>
      </c>
      <c r="Q177" t="s">
        <v>411</v>
      </c>
    </row>
    <row r="178" spans="4:17" x14ac:dyDescent="0.25">
      <c r="D178" t="s">
        <v>48</v>
      </c>
      <c r="E178" t="s">
        <v>98</v>
      </c>
      <c r="F178" t="str">
        <f t="shared" si="10"/>
        <v>2023-09-27</v>
      </c>
      <c r="G178" t="str">
        <f t="shared" si="11"/>
        <v>2023-12-04</v>
      </c>
      <c r="H178">
        <f t="shared" si="12"/>
        <v>68</v>
      </c>
      <c r="J178" t="str">
        <f t="shared" si="13"/>
        <v>Ткаченко Андрей ОлеговичКозлова Ксения Владимировна</v>
      </c>
      <c r="K178" t="s">
        <v>5</v>
      </c>
      <c r="L178" t="s">
        <v>173</v>
      </c>
      <c r="M178" t="s">
        <v>169</v>
      </c>
      <c r="N178" t="str">
        <f t="shared" si="14"/>
        <v>Громова Мария ИльиничнаВасильев Егор Владимирович</v>
      </c>
      <c r="O178" t="s">
        <v>15</v>
      </c>
      <c r="P178" t="s">
        <v>148</v>
      </c>
      <c r="Q178" t="s">
        <v>411</v>
      </c>
    </row>
    <row r="179" spans="4:17" x14ac:dyDescent="0.25">
      <c r="D179" t="s">
        <v>48</v>
      </c>
      <c r="E179" t="s">
        <v>24</v>
      </c>
      <c r="F179" t="str">
        <f t="shared" si="10"/>
        <v>2024-04-04</v>
      </c>
      <c r="G179" t="str">
        <f t="shared" si="11"/>
        <v>2024-06-14</v>
      </c>
      <c r="H179">
        <f t="shared" si="12"/>
        <v>71</v>
      </c>
      <c r="J179" t="str">
        <f t="shared" si="13"/>
        <v>Кузнецов Дмитрий ЛьвовичНовикова Елена Михайловна</v>
      </c>
      <c r="K179" t="s">
        <v>23</v>
      </c>
      <c r="L179" t="s">
        <v>121</v>
      </c>
      <c r="M179" t="s">
        <v>174</v>
      </c>
      <c r="N179" t="str">
        <f t="shared" si="14"/>
        <v>Белов Алексей КонстантиновичФедоров Дмитрий Викторович</v>
      </c>
      <c r="O179" t="s">
        <v>8</v>
      </c>
      <c r="P179" t="s">
        <v>157</v>
      </c>
      <c r="Q179" t="s">
        <v>411</v>
      </c>
    </row>
    <row r="180" spans="4:17" x14ac:dyDescent="0.25">
      <c r="D180" t="s">
        <v>48</v>
      </c>
      <c r="E180" t="s">
        <v>198</v>
      </c>
      <c r="F180" t="str">
        <f t="shared" si="10"/>
        <v>2023-11-27</v>
      </c>
      <c r="G180" t="str">
        <f t="shared" si="11"/>
        <v>2023-11-27</v>
      </c>
      <c r="H180">
        <f t="shared" si="12"/>
        <v>0</v>
      </c>
      <c r="J180" t="str">
        <f t="shared" si="13"/>
        <v>Белов Алексей КонстантиновичФедоров Александр Дмитриевич</v>
      </c>
      <c r="K180" t="s">
        <v>8</v>
      </c>
      <c r="L180" t="s">
        <v>136</v>
      </c>
      <c r="M180" t="s">
        <v>174</v>
      </c>
      <c r="N180" t="str">
        <f t="shared" si="14"/>
        <v>Громова Мария ИльиничнаВолков Алексей Артемович</v>
      </c>
      <c r="O180" t="s">
        <v>15</v>
      </c>
      <c r="P180" t="s">
        <v>111</v>
      </c>
      <c r="Q180" t="s">
        <v>410</v>
      </c>
    </row>
    <row r="181" spans="4:17" x14ac:dyDescent="0.25">
      <c r="D181" t="s">
        <v>48</v>
      </c>
      <c r="E181" t="s">
        <v>105</v>
      </c>
      <c r="F181" t="str">
        <f t="shared" si="10"/>
        <v>2023-09-29</v>
      </c>
      <c r="G181" t="str">
        <f t="shared" si="11"/>
        <v>2023-09-29</v>
      </c>
      <c r="H181">
        <f t="shared" si="12"/>
        <v>0</v>
      </c>
      <c r="J181" t="str">
        <f t="shared" si="13"/>
        <v>Орлов Павел ДенисовичОрлов Алексей Сергеевич</v>
      </c>
      <c r="K181" t="s">
        <v>17</v>
      </c>
      <c r="L181" t="s">
        <v>53</v>
      </c>
      <c r="M181" t="s">
        <v>174</v>
      </c>
      <c r="N181" t="str">
        <f t="shared" si="14"/>
        <v>Иванова Анна СергеевнаАлексеева Алиса Ильинична</v>
      </c>
      <c r="O181" t="s">
        <v>48</v>
      </c>
      <c r="P181" t="s">
        <v>64</v>
      </c>
      <c r="Q181" t="s">
        <v>409</v>
      </c>
    </row>
    <row r="182" spans="4:17" x14ac:dyDescent="0.25">
      <c r="D182" t="s">
        <v>48</v>
      </c>
      <c r="E182" t="s">
        <v>118</v>
      </c>
      <c r="F182" t="str">
        <f t="shared" si="10"/>
        <v>2024-08-12</v>
      </c>
      <c r="G182" t="str">
        <f t="shared" si="11"/>
        <v>2024-08-12</v>
      </c>
      <c r="H182">
        <f t="shared" si="12"/>
        <v>0</v>
      </c>
      <c r="J182" t="str">
        <f t="shared" si="13"/>
        <v>Иванова Анна СергеевнаНиколаев Егор Станиславович</v>
      </c>
      <c r="K182" t="s">
        <v>48</v>
      </c>
      <c r="L182" t="s">
        <v>175</v>
      </c>
      <c r="M182" t="s">
        <v>176</v>
      </c>
      <c r="N182" t="str">
        <f t="shared" si="14"/>
        <v>Семенова Ирина ВалерьевнаВасильева Алиса Дмитриевна</v>
      </c>
      <c r="O182" t="s">
        <v>46</v>
      </c>
      <c r="P182" t="s">
        <v>216</v>
      </c>
      <c r="Q182" t="s">
        <v>409</v>
      </c>
    </row>
    <row r="183" spans="4:17" x14ac:dyDescent="0.25">
      <c r="D183" t="s">
        <v>48</v>
      </c>
      <c r="E183" t="s">
        <v>282</v>
      </c>
      <c r="F183" t="str">
        <f t="shared" si="10"/>
        <v>2024-03-20</v>
      </c>
      <c r="G183" t="str">
        <f t="shared" si="11"/>
        <v>2024-03-20</v>
      </c>
      <c r="H183">
        <f t="shared" si="12"/>
        <v>0</v>
      </c>
      <c r="J183" t="str">
        <f t="shared" si="13"/>
        <v>Петров Владимир КирилловичКузнецова Валерия Романовна</v>
      </c>
      <c r="K183" t="s">
        <v>36</v>
      </c>
      <c r="L183" t="s">
        <v>71</v>
      </c>
      <c r="M183" t="s">
        <v>176</v>
      </c>
      <c r="N183" t="str">
        <f t="shared" si="14"/>
        <v>Сидорова Елена ВасильевнаАлексеева Виктория Александровна</v>
      </c>
      <c r="O183" t="s">
        <v>12</v>
      </c>
      <c r="P183" t="s">
        <v>195</v>
      </c>
      <c r="Q183" t="s">
        <v>409</v>
      </c>
    </row>
    <row r="184" spans="4:17" x14ac:dyDescent="0.25">
      <c r="D184" t="s">
        <v>48</v>
      </c>
      <c r="E184" t="s">
        <v>11</v>
      </c>
      <c r="F184" t="str">
        <f t="shared" si="10"/>
        <v>2024-03-11</v>
      </c>
      <c r="G184" t="str">
        <f t="shared" si="11"/>
        <v>2024-03-11</v>
      </c>
      <c r="H184">
        <f t="shared" si="12"/>
        <v>0</v>
      </c>
      <c r="J184" t="str">
        <f t="shared" si="13"/>
        <v>Кузнецов Дмитрий ЛьвовичПетрова Людмила Ильинична</v>
      </c>
      <c r="K184" t="s">
        <v>23</v>
      </c>
      <c r="L184" t="s">
        <v>29</v>
      </c>
      <c r="M184" t="s">
        <v>177</v>
      </c>
      <c r="N184" t="str">
        <f t="shared" si="14"/>
        <v>Фролов Сергей ВикторовичНовикова Алиса Юрьевна</v>
      </c>
      <c r="O184" t="s">
        <v>27</v>
      </c>
      <c r="P184" t="s">
        <v>102</v>
      </c>
      <c r="Q184" t="s">
        <v>409</v>
      </c>
    </row>
    <row r="185" spans="4:17" x14ac:dyDescent="0.25">
      <c r="D185" t="s">
        <v>48</v>
      </c>
      <c r="E185" t="s">
        <v>9</v>
      </c>
      <c r="F185" t="str">
        <f t="shared" si="10"/>
        <v>2024-05-15</v>
      </c>
      <c r="G185" t="str">
        <f t="shared" si="11"/>
        <v>2024-05-15</v>
      </c>
      <c r="H185">
        <f t="shared" si="12"/>
        <v>0</v>
      </c>
      <c r="J185" t="str">
        <f t="shared" si="13"/>
        <v>Кузнецов Дмитрий ЛьвовичОрлов Максим Егорович</v>
      </c>
      <c r="K185" t="s">
        <v>23</v>
      </c>
      <c r="L185" t="s">
        <v>87</v>
      </c>
      <c r="M185" t="s">
        <v>178</v>
      </c>
      <c r="N185" t="str">
        <f t="shared" si="14"/>
        <v>Орлов Павел ДенисовичАлексеева Ксения Андреевна</v>
      </c>
      <c r="O185" t="s">
        <v>17</v>
      </c>
      <c r="P185" t="s">
        <v>184</v>
      </c>
      <c r="Q185" t="s">
        <v>409</v>
      </c>
    </row>
    <row r="186" spans="4:17" x14ac:dyDescent="0.25">
      <c r="D186" t="s">
        <v>48</v>
      </c>
      <c r="E186" t="s">
        <v>280</v>
      </c>
      <c r="F186" t="str">
        <f t="shared" si="10"/>
        <v>2024-05-24</v>
      </c>
      <c r="G186" t="str">
        <f t="shared" si="11"/>
        <v>2024-05-24</v>
      </c>
      <c r="H186">
        <f t="shared" si="12"/>
        <v>0</v>
      </c>
      <c r="J186" t="str">
        <f t="shared" si="13"/>
        <v>Белов Алексей КонстантиновичСеменова Виктория Владимировна</v>
      </c>
      <c r="K186" t="s">
        <v>8</v>
      </c>
      <c r="L186" t="s">
        <v>73</v>
      </c>
      <c r="M186" t="s">
        <v>178</v>
      </c>
      <c r="N186" t="str">
        <f t="shared" si="14"/>
        <v>Орлов Павел ДенисовичВолкова Валерия Олеговна</v>
      </c>
      <c r="O186" t="s">
        <v>17</v>
      </c>
      <c r="P186" t="s">
        <v>55</v>
      </c>
      <c r="Q186" t="s">
        <v>409</v>
      </c>
    </row>
    <row r="187" spans="4:17" x14ac:dyDescent="0.25">
      <c r="D187" t="s">
        <v>48</v>
      </c>
      <c r="E187" t="s">
        <v>93</v>
      </c>
      <c r="F187" t="str">
        <f t="shared" si="10"/>
        <v>2024-08-26</v>
      </c>
      <c r="G187" t="str">
        <f t="shared" si="11"/>
        <v>2024-08-26</v>
      </c>
      <c r="H187">
        <f t="shared" si="12"/>
        <v>0</v>
      </c>
      <c r="J187" t="str">
        <f t="shared" si="13"/>
        <v>Белов Алексей КонстантиновичСмирнов Дмитрий Александрович</v>
      </c>
      <c r="K187" t="s">
        <v>8</v>
      </c>
      <c r="L187" t="s">
        <v>20</v>
      </c>
      <c r="M187" t="s">
        <v>179</v>
      </c>
      <c r="N187" t="str">
        <f t="shared" si="14"/>
        <v>Фролов Сергей ВикторовичКозлова Ксения Владимировна</v>
      </c>
      <c r="O187" t="s">
        <v>27</v>
      </c>
      <c r="P187" t="s">
        <v>173</v>
      </c>
      <c r="Q187" t="s">
        <v>409</v>
      </c>
    </row>
    <row r="188" spans="4:17" x14ac:dyDescent="0.25">
      <c r="D188" t="s">
        <v>48</v>
      </c>
      <c r="E188" t="s">
        <v>300</v>
      </c>
      <c r="F188" t="str">
        <f t="shared" si="10"/>
        <v>2024-04-24</v>
      </c>
      <c r="G188" t="str">
        <f t="shared" si="11"/>
        <v>2024-04-24</v>
      </c>
      <c r="H188">
        <f t="shared" si="12"/>
        <v>0</v>
      </c>
      <c r="J188" t="str">
        <f t="shared" si="13"/>
        <v>Кузнецов Дмитрий ЛьвовичСмирнов Кирилл Сергеевич</v>
      </c>
      <c r="K188" t="s">
        <v>23</v>
      </c>
      <c r="L188" t="s">
        <v>146</v>
      </c>
      <c r="M188" t="s">
        <v>179</v>
      </c>
      <c r="N188" t="str">
        <f t="shared" si="14"/>
        <v>Семенова Ирина ВалерьевнаНовикова Алиса Юрьевна</v>
      </c>
      <c r="O188" t="s">
        <v>46</v>
      </c>
      <c r="P188" t="s">
        <v>102</v>
      </c>
      <c r="Q188" t="s">
        <v>409</v>
      </c>
    </row>
    <row r="189" spans="4:17" x14ac:dyDescent="0.25">
      <c r="D189" t="s">
        <v>48</v>
      </c>
      <c r="E189" t="s">
        <v>141</v>
      </c>
      <c r="F189" t="str">
        <f t="shared" si="10"/>
        <v>2024-04-29</v>
      </c>
      <c r="G189" t="str">
        <f t="shared" si="11"/>
        <v>2024-04-29</v>
      </c>
      <c r="H189">
        <f t="shared" si="12"/>
        <v>0</v>
      </c>
      <c r="J189" t="str">
        <f t="shared" si="13"/>
        <v>Громова Мария ИльиничнаАлексеева Полина Станиславовна</v>
      </c>
      <c r="K189" t="s">
        <v>15</v>
      </c>
      <c r="L189" t="s">
        <v>180</v>
      </c>
      <c r="M189" t="s">
        <v>179</v>
      </c>
      <c r="N189" t="str">
        <f t="shared" si="14"/>
        <v>Громова Мария ИльиничнаФедорова Вероника Ивановна</v>
      </c>
      <c r="O189" t="s">
        <v>15</v>
      </c>
      <c r="P189" t="s">
        <v>107</v>
      </c>
      <c r="Q189" t="s">
        <v>408</v>
      </c>
    </row>
    <row r="190" spans="4:17" x14ac:dyDescent="0.25">
      <c r="D190" t="s">
        <v>48</v>
      </c>
      <c r="E190" t="s">
        <v>185</v>
      </c>
      <c r="F190" t="str">
        <f t="shared" si="10"/>
        <v>2024-09-02</v>
      </c>
      <c r="G190" t="str">
        <f t="shared" si="11"/>
        <v>2024-09-02</v>
      </c>
      <c r="H190">
        <f t="shared" si="12"/>
        <v>0</v>
      </c>
      <c r="J190" t="str">
        <f t="shared" si="13"/>
        <v>Громова Мария ИльиничнаНовиков Иван Никитич</v>
      </c>
      <c r="K190" t="s">
        <v>15</v>
      </c>
      <c r="L190" t="s">
        <v>181</v>
      </c>
      <c r="M190" t="s">
        <v>179</v>
      </c>
      <c r="N190" t="str">
        <f t="shared" si="14"/>
        <v>Ткаченко Андрей ОлеговичАлексеев Матвей Кириллович</v>
      </c>
      <c r="O190" t="s">
        <v>5</v>
      </c>
      <c r="P190" t="s">
        <v>92</v>
      </c>
      <c r="Q190" t="s">
        <v>408</v>
      </c>
    </row>
    <row r="191" spans="4:17" x14ac:dyDescent="0.25">
      <c r="D191" t="s">
        <v>48</v>
      </c>
      <c r="E191" t="s">
        <v>270</v>
      </c>
      <c r="F191" t="str">
        <f t="shared" si="10"/>
        <v>2024-03-13</v>
      </c>
      <c r="G191" t="str">
        <f t="shared" si="11"/>
        <v>2024-08-21</v>
      </c>
      <c r="H191">
        <f t="shared" si="12"/>
        <v>161</v>
      </c>
      <c r="J191" t="str">
        <f t="shared" si="13"/>
        <v>Семенова Ирина ВалерьевнаПетров Максим Александрович</v>
      </c>
      <c r="K191" t="s">
        <v>46</v>
      </c>
      <c r="L191" t="s">
        <v>171</v>
      </c>
      <c r="M191" t="s">
        <v>179</v>
      </c>
      <c r="N191" t="str">
        <f t="shared" si="14"/>
        <v>Петров Владимир КирилловичНовиков Иван Никитич</v>
      </c>
      <c r="O191" t="s">
        <v>36</v>
      </c>
      <c r="P191" t="s">
        <v>181</v>
      </c>
      <c r="Q191" t="s">
        <v>408</v>
      </c>
    </row>
    <row r="192" spans="4:17" x14ac:dyDescent="0.25">
      <c r="D192" t="s">
        <v>48</v>
      </c>
      <c r="E192" t="s">
        <v>146</v>
      </c>
      <c r="F192" t="str">
        <f t="shared" si="10"/>
        <v>2024-07-29</v>
      </c>
      <c r="G192" t="str">
        <f t="shared" si="11"/>
        <v>2024-07-29</v>
      </c>
      <c r="H192">
        <f t="shared" si="12"/>
        <v>0</v>
      </c>
      <c r="J192" t="str">
        <f t="shared" si="13"/>
        <v>Громова Мария ИльиничнаКозлов Артур Андреевич</v>
      </c>
      <c r="K192" t="s">
        <v>15</v>
      </c>
      <c r="L192" t="s">
        <v>63</v>
      </c>
      <c r="M192" t="s">
        <v>179</v>
      </c>
      <c r="N192" t="str">
        <f t="shared" si="14"/>
        <v>Семенова Ирина ВалерьевнаКозлов Алексей Иванович</v>
      </c>
      <c r="O192" t="s">
        <v>46</v>
      </c>
      <c r="P192" t="s">
        <v>149</v>
      </c>
      <c r="Q192" t="s">
        <v>407</v>
      </c>
    </row>
    <row r="193" spans="4:17" x14ac:dyDescent="0.25">
      <c r="D193" t="s">
        <v>48</v>
      </c>
      <c r="E193" t="s">
        <v>85</v>
      </c>
      <c r="F193" t="str">
        <f t="shared" si="10"/>
        <v>2024-01-03</v>
      </c>
      <c r="G193" t="str">
        <f t="shared" si="11"/>
        <v>2024-01-03</v>
      </c>
      <c r="H193">
        <f t="shared" si="12"/>
        <v>0</v>
      </c>
      <c r="J193" t="str">
        <f t="shared" si="13"/>
        <v>Семенова Ирина ВалерьевнаПавлов Роман Александрович</v>
      </c>
      <c r="K193" t="s">
        <v>46</v>
      </c>
      <c r="L193" t="s">
        <v>134</v>
      </c>
      <c r="M193" t="s">
        <v>182</v>
      </c>
      <c r="N193" t="str">
        <f t="shared" si="14"/>
        <v>Семенова Ирина ВалерьевнаКузнецов Никита Сергеевич</v>
      </c>
      <c r="O193" t="s">
        <v>46</v>
      </c>
      <c r="P193" t="s">
        <v>248</v>
      </c>
      <c r="Q193" t="s">
        <v>407</v>
      </c>
    </row>
    <row r="194" spans="4:17" x14ac:dyDescent="0.25">
      <c r="D194" t="s">
        <v>48</v>
      </c>
      <c r="E194" t="s">
        <v>97</v>
      </c>
      <c r="F194" t="str">
        <f t="shared" si="10"/>
        <v>2023-09-27</v>
      </c>
      <c r="G194" t="str">
        <f t="shared" si="11"/>
        <v>2023-09-27</v>
      </c>
      <c r="H194">
        <f t="shared" si="12"/>
        <v>0</v>
      </c>
      <c r="J194" t="str">
        <f t="shared" si="13"/>
        <v>Петров Владимир КирилловичВолкова Валерия Олеговна</v>
      </c>
      <c r="K194" t="s">
        <v>36</v>
      </c>
      <c r="L194" t="s">
        <v>55</v>
      </c>
      <c r="M194" t="s">
        <v>183</v>
      </c>
      <c r="N194" t="str">
        <f t="shared" si="14"/>
        <v>Ткаченко Андрей ОлеговичСмирнов Кирилл Сергеевич</v>
      </c>
      <c r="O194" t="s">
        <v>5</v>
      </c>
      <c r="P194" t="s">
        <v>146</v>
      </c>
      <c r="Q194" t="s">
        <v>407</v>
      </c>
    </row>
    <row r="195" spans="4:17" x14ac:dyDescent="0.25">
      <c r="D195" t="s">
        <v>48</v>
      </c>
      <c r="E195" t="s">
        <v>206</v>
      </c>
      <c r="F195" t="str">
        <f t="shared" ref="F195:F258" si="15">VLOOKUP(D195&amp;E195,J:M,4,0)</f>
        <v>2024-04-08</v>
      </c>
      <c r="G195" t="str">
        <f t="shared" ref="G195:G258" si="16">VLOOKUP(D195&amp;E195,N:Q,4,0)</f>
        <v>2024-04-08</v>
      </c>
      <c r="H195">
        <f t="shared" ref="H195:H258" si="17">G195-F195</f>
        <v>0</v>
      </c>
      <c r="J195" t="str">
        <f t="shared" ref="J195:J258" si="18">K195&amp;L195</f>
        <v>Кузнецов Дмитрий ЛьвовичАлексеева Ксения Андреевна</v>
      </c>
      <c r="K195" t="s">
        <v>23</v>
      </c>
      <c r="L195" t="s">
        <v>184</v>
      </c>
      <c r="M195" t="s">
        <v>183</v>
      </c>
      <c r="N195" t="str">
        <f t="shared" ref="N195:N258" si="19">O195&amp;P195</f>
        <v>Яковлев Артем ИгоревичФедорова Алиса Кирилловна</v>
      </c>
      <c r="O195" t="s">
        <v>52</v>
      </c>
      <c r="P195" t="s">
        <v>193</v>
      </c>
      <c r="Q195" t="s">
        <v>406</v>
      </c>
    </row>
    <row r="196" spans="4:17" x14ac:dyDescent="0.25">
      <c r="D196" t="s">
        <v>48</v>
      </c>
      <c r="E196" t="s">
        <v>41</v>
      </c>
      <c r="F196" t="str">
        <f t="shared" si="15"/>
        <v>2023-09-12</v>
      </c>
      <c r="G196" t="str">
        <f t="shared" si="16"/>
        <v>2023-09-12</v>
      </c>
      <c r="H196">
        <f t="shared" si="17"/>
        <v>0</v>
      </c>
      <c r="J196" t="str">
        <f t="shared" si="18"/>
        <v>Семенова Ирина ВалерьевнаПавлов Матвей Дмитриевич</v>
      </c>
      <c r="K196" t="s">
        <v>46</v>
      </c>
      <c r="L196" t="s">
        <v>103</v>
      </c>
      <c r="M196" t="s">
        <v>183</v>
      </c>
      <c r="N196" t="str">
        <f t="shared" si="19"/>
        <v>Кузнецов Дмитрий ЛьвовичМорозов Константин Романович</v>
      </c>
      <c r="O196" t="s">
        <v>23</v>
      </c>
      <c r="P196" t="s">
        <v>91</v>
      </c>
      <c r="Q196" t="s">
        <v>406</v>
      </c>
    </row>
    <row r="197" spans="4:17" x14ac:dyDescent="0.25">
      <c r="D197" t="s">
        <v>48</v>
      </c>
      <c r="E197" t="s">
        <v>157</v>
      </c>
      <c r="F197" t="str">
        <f t="shared" si="15"/>
        <v>2024-07-03</v>
      </c>
      <c r="G197" t="str">
        <f t="shared" si="16"/>
        <v>2024-07-03</v>
      </c>
      <c r="H197">
        <f t="shared" si="17"/>
        <v>0</v>
      </c>
      <c r="J197" t="str">
        <f t="shared" si="18"/>
        <v>Яковлев Артем ИгоревичСидоров Михаил Артемович</v>
      </c>
      <c r="K197" t="s">
        <v>52</v>
      </c>
      <c r="L197" t="s">
        <v>185</v>
      </c>
      <c r="M197" t="s">
        <v>183</v>
      </c>
      <c r="N197" t="str">
        <f t="shared" si="19"/>
        <v>Яковлев Артем ИгоревичПавлова Ольга Юрьевна</v>
      </c>
      <c r="O197" t="s">
        <v>52</v>
      </c>
      <c r="P197" t="s">
        <v>112</v>
      </c>
      <c r="Q197" t="s">
        <v>406</v>
      </c>
    </row>
    <row r="198" spans="4:17" x14ac:dyDescent="0.25">
      <c r="D198" t="s">
        <v>48</v>
      </c>
      <c r="E198" t="s">
        <v>107</v>
      </c>
      <c r="F198" t="str">
        <f t="shared" si="15"/>
        <v>2024-04-23</v>
      </c>
      <c r="G198" t="str">
        <f t="shared" si="16"/>
        <v>2024-04-23</v>
      </c>
      <c r="H198">
        <f t="shared" si="17"/>
        <v>0</v>
      </c>
      <c r="J198" t="str">
        <f t="shared" si="18"/>
        <v>Иванова Анна СергеевнаИванова Ксения Романовна</v>
      </c>
      <c r="K198" t="s">
        <v>48</v>
      </c>
      <c r="L198" t="s">
        <v>74</v>
      </c>
      <c r="M198" t="s">
        <v>183</v>
      </c>
      <c r="N198" t="str">
        <f t="shared" si="19"/>
        <v>Фролов Сергей ВикторовичПетров Максим Александрович</v>
      </c>
      <c r="O198" t="s">
        <v>27</v>
      </c>
      <c r="P198" t="s">
        <v>171</v>
      </c>
      <c r="Q198" t="s">
        <v>405</v>
      </c>
    </row>
    <row r="199" spans="4:17" x14ac:dyDescent="0.25">
      <c r="D199" t="s">
        <v>23</v>
      </c>
      <c r="E199" t="s">
        <v>317</v>
      </c>
      <c r="F199" t="str">
        <f t="shared" si="15"/>
        <v>2024-04-23</v>
      </c>
      <c r="G199" t="str">
        <f t="shared" si="16"/>
        <v>2024-04-23</v>
      </c>
      <c r="H199">
        <f t="shared" si="17"/>
        <v>0</v>
      </c>
      <c r="J199" t="str">
        <f t="shared" si="18"/>
        <v>Иванова Анна СергеевнаЕгоров Никита Геннадьевич</v>
      </c>
      <c r="K199" t="s">
        <v>48</v>
      </c>
      <c r="L199" t="s">
        <v>130</v>
      </c>
      <c r="M199" t="s">
        <v>186</v>
      </c>
      <c r="N199" t="str">
        <f t="shared" si="19"/>
        <v>Семенова Ирина ВалерьевнаВасильев Никита Викторович</v>
      </c>
      <c r="O199" t="s">
        <v>46</v>
      </c>
      <c r="P199" t="s">
        <v>47</v>
      </c>
      <c r="Q199" t="s">
        <v>404</v>
      </c>
    </row>
    <row r="200" spans="4:17" x14ac:dyDescent="0.25">
      <c r="D200" t="s">
        <v>23</v>
      </c>
      <c r="E200" t="s">
        <v>92</v>
      </c>
      <c r="F200" t="str">
        <f t="shared" si="15"/>
        <v>2023-09-25</v>
      </c>
      <c r="G200" t="str">
        <f t="shared" si="16"/>
        <v>2023-09-25</v>
      </c>
      <c r="H200">
        <f t="shared" si="17"/>
        <v>0</v>
      </c>
      <c r="J200" t="str">
        <f t="shared" si="18"/>
        <v>Семенова Ирина ВалерьевнаМорозов Андрей Александрович</v>
      </c>
      <c r="K200" t="s">
        <v>46</v>
      </c>
      <c r="L200" t="s">
        <v>187</v>
      </c>
      <c r="M200" t="s">
        <v>186</v>
      </c>
      <c r="N200" t="str">
        <f t="shared" si="19"/>
        <v>Фролов Сергей ВикторовичНиколаев Павел Артемович</v>
      </c>
      <c r="O200" t="s">
        <v>27</v>
      </c>
      <c r="P200" t="s">
        <v>235</v>
      </c>
      <c r="Q200" t="s">
        <v>404</v>
      </c>
    </row>
    <row r="201" spans="4:17" x14ac:dyDescent="0.25">
      <c r="D201" t="s">
        <v>23</v>
      </c>
      <c r="E201" t="s">
        <v>89</v>
      </c>
      <c r="F201" t="str">
        <f t="shared" si="15"/>
        <v>2024-08-13</v>
      </c>
      <c r="G201" t="str">
        <f t="shared" si="16"/>
        <v>2024-08-13</v>
      </c>
      <c r="H201">
        <f t="shared" si="17"/>
        <v>0</v>
      </c>
      <c r="J201" t="str">
        <f t="shared" si="18"/>
        <v>Кузнецов Дмитрий ЛьвовичКузнецов Георгий Никитич</v>
      </c>
      <c r="K201" t="s">
        <v>23</v>
      </c>
      <c r="L201" t="s">
        <v>188</v>
      </c>
      <c r="M201" t="s">
        <v>186</v>
      </c>
      <c r="N201" t="str">
        <f t="shared" si="19"/>
        <v>Петров Владимир КирилловичСтепанова Анна Никитична</v>
      </c>
      <c r="O201" t="s">
        <v>36</v>
      </c>
      <c r="P201" t="s">
        <v>108</v>
      </c>
      <c r="Q201" t="s">
        <v>404</v>
      </c>
    </row>
    <row r="202" spans="4:17" x14ac:dyDescent="0.25">
      <c r="D202" t="s">
        <v>23</v>
      </c>
      <c r="E202" t="s">
        <v>195</v>
      </c>
      <c r="F202" t="str">
        <f t="shared" si="15"/>
        <v>2024-05-30</v>
      </c>
      <c r="G202" t="str">
        <f t="shared" si="16"/>
        <v>2024-08-12</v>
      </c>
      <c r="H202">
        <f t="shared" si="17"/>
        <v>74</v>
      </c>
      <c r="J202" t="str">
        <f t="shared" si="18"/>
        <v>Яковлев Артем ИгоревичСтепанов Дмитрий Владимирович</v>
      </c>
      <c r="K202" t="s">
        <v>52</v>
      </c>
      <c r="L202" t="s">
        <v>41</v>
      </c>
      <c r="M202" t="s">
        <v>189</v>
      </c>
      <c r="N202" t="str">
        <f t="shared" si="19"/>
        <v>Семенова Ирина ВалерьевнаНовикова Дарья Викторовна</v>
      </c>
      <c r="O202" t="s">
        <v>46</v>
      </c>
      <c r="P202" t="s">
        <v>138</v>
      </c>
      <c r="Q202" t="s">
        <v>404</v>
      </c>
    </row>
    <row r="203" spans="4:17" x14ac:dyDescent="0.25">
      <c r="D203" t="s">
        <v>23</v>
      </c>
      <c r="E203" t="s">
        <v>184</v>
      </c>
      <c r="F203" t="str">
        <f t="shared" si="15"/>
        <v>2023-11-16</v>
      </c>
      <c r="G203" t="str">
        <f t="shared" si="16"/>
        <v>2024-07-15</v>
      </c>
      <c r="H203">
        <f t="shared" si="17"/>
        <v>242</v>
      </c>
      <c r="J203" t="str">
        <f t="shared" si="18"/>
        <v>Семенова Ирина ВалерьевнаСтепанов Роман Павлович</v>
      </c>
      <c r="K203" t="s">
        <v>46</v>
      </c>
      <c r="L203" t="s">
        <v>190</v>
      </c>
      <c r="M203" t="s">
        <v>189</v>
      </c>
      <c r="N203" t="str">
        <f t="shared" si="19"/>
        <v>Ткаченко Андрей ОлеговичАлексеева Виктория Александровна</v>
      </c>
      <c r="O203" t="s">
        <v>5</v>
      </c>
      <c r="P203" t="s">
        <v>195</v>
      </c>
      <c r="Q203" t="s">
        <v>404</v>
      </c>
    </row>
    <row r="204" spans="4:17" x14ac:dyDescent="0.25">
      <c r="D204" t="s">
        <v>23</v>
      </c>
      <c r="E204" t="s">
        <v>60</v>
      </c>
      <c r="F204" t="str">
        <f t="shared" si="15"/>
        <v>2024-05-28</v>
      </c>
      <c r="G204" t="str">
        <f t="shared" si="16"/>
        <v>2024-05-28</v>
      </c>
      <c r="H204">
        <f t="shared" si="17"/>
        <v>0</v>
      </c>
      <c r="J204" t="str">
        <f t="shared" si="18"/>
        <v>Орлов Павел ДенисовичВасильева Татьяна Геннадьевна</v>
      </c>
      <c r="K204" t="s">
        <v>17</v>
      </c>
      <c r="L204" t="s">
        <v>37</v>
      </c>
      <c r="M204" t="s">
        <v>189</v>
      </c>
      <c r="N204" t="str">
        <f t="shared" si="19"/>
        <v>Петров Владимир КирилловичИванов Владимир Романович</v>
      </c>
      <c r="O204" t="s">
        <v>36</v>
      </c>
      <c r="P204" t="s">
        <v>170</v>
      </c>
      <c r="Q204" t="s">
        <v>404</v>
      </c>
    </row>
    <row r="205" spans="4:17" x14ac:dyDescent="0.25">
      <c r="D205" t="s">
        <v>23</v>
      </c>
      <c r="E205" t="s">
        <v>243</v>
      </c>
      <c r="F205" t="str">
        <f t="shared" si="15"/>
        <v>2024-01-18</v>
      </c>
      <c r="G205" t="str">
        <f t="shared" si="16"/>
        <v>2024-01-18</v>
      </c>
      <c r="H205">
        <f t="shared" si="17"/>
        <v>0</v>
      </c>
      <c r="J205" t="str">
        <f t="shared" si="18"/>
        <v>Кузнецов Дмитрий ЛьвовичВолкова Наталья Александровна</v>
      </c>
      <c r="K205" t="s">
        <v>23</v>
      </c>
      <c r="L205" t="s">
        <v>115</v>
      </c>
      <c r="M205" t="s">
        <v>189</v>
      </c>
      <c r="N205" t="str">
        <f t="shared" si="19"/>
        <v>Новикова Ольга ПетровнаЛебедев Павел Кириллович</v>
      </c>
      <c r="O205" t="s">
        <v>10</v>
      </c>
      <c r="P205" t="s">
        <v>6</v>
      </c>
      <c r="Q205" t="s">
        <v>404</v>
      </c>
    </row>
    <row r="206" spans="4:17" x14ac:dyDescent="0.25">
      <c r="D206" t="s">
        <v>23</v>
      </c>
      <c r="E206" t="s">
        <v>95</v>
      </c>
      <c r="F206" t="str">
        <f t="shared" si="15"/>
        <v>2023-09-27</v>
      </c>
      <c r="G206" t="str">
        <f t="shared" si="16"/>
        <v>2024-06-17</v>
      </c>
      <c r="H206">
        <f t="shared" si="17"/>
        <v>264</v>
      </c>
      <c r="J206" t="str">
        <f t="shared" si="18"/>
        <v>Ткаченко Андрей ОлеговичНовикова Дарья Викторовна</v>
      </c>
      <c r="K206" t="s">
        <v>5</v>
      </c>
      <c r="L206" t="s">
        <v>138</v>
      </c>
      <c r="M206" t="s">
        <v>189</v>
      </c>
      <c r="N206" t="str">
        <f t="shared" si="19"/>
        <v>Ткаченко Андрей ОлеговичИванова Екатерина Егоровна</v>
      </c>
      <c r="O206" t="s">
        <v>5</v>
      </c>
      <c r="P206" t="s">
        <v>131</v>
      </c>
      <c r="Q206" t="s">
        <v>403</v>
      </c>
    </row>
    <row r="207" spans="4:17" x14ac:dyDescent="0.25">
      <c r="D207" t="s">
        <v>23</v>
      </c>
      <c r="E207" t="s">
        <v>47</v>
      </c>
      <c r="F207" t="str">
        <f t="shared" si="15"/>
        <v>2023-12-14</v>
      </c>
      <c r="G207" t="str">
        <f t="shared" si="16"/>
        <v>2023-12-14</v>
      </c>
      <c r="H207">
        <f t="shared" si="17"/>
        <v>0</v>
      </c>
      <c r="J207" t="str">
        <f t="shared" si="18"/>
        <v>Белов Алексей КонстантиновичПавлова Анна Михайловна</v>
      </c>
      <c r="K207" t="s">
        <v>8</v>
      </c>
      <c r="L207" t="s">
        <v>191</v>
      </c>
      <c r="M207" t="s">
        <v>189</v>
      </c>
      <c r="N207" t="str">
        <f t="shared" si="19"/>
        <v>Кузнецов Дмитрий ЛьвовичСмирнова София Ивановна</v>
      </c>
      <c r="O207" t="s">
        <v>23</v>
      </c>
      <c r="P207" t="s">
        <v>25</v>
      </c>
      <c r="Q207" t="s">
        <v>403</v>
      </c>
    </row>
    <row r="208" spans="4:17" x14ac:dyDescent="0.25">
      <c r="D208" t="s">
        <v>23</v>
      </c>
      <c r="E208" t="s">
        <v>216</v>
      </c>
      <c r="F208" t="str">
        <f t="shared" si="15"/>
        <v>2023-12-06</v>
      </c>
      <c r="G208" t="str">
        <f t="shared" si="16"/>
        <v>2023-12-11</v>
      </c>
      <c r="H208">
        <f t="shared" si="17"/>
        <v>5</v>
      </c>
      <c r="J208" t="str">
        <f t="shared" si="18"/>
        <v>Петров Владимир КирилловичФедорова Вероника Ивановна</v>
      </c>
      <c r="K208" t="s">
        <v>36</v>
      </c>
      <c r="L208" t="s">
        <v>107</v>
      </c>
      <c r="M208" t="s">
        <v>189</v>
      </c>
      <c r="N208" t="str">
        <f t="shared" si="19"/>
        <v>Семенова Ирина ВалерьевнаНиколаева Ирина Владимировна</v>
      </c>
      <c r="O208" t="s">
        <v>46</v>
      </c>
      <c r="P208" t="s">
        <v>66</v>
      </c>
      <c r="Q208" t="s">
        <v>402</v>
      </c>
    </row>
    <row r="209" spans="4:17" x14ac:dyDescent="0.25">
      <c r="D209" t="s">
        <v>23</v>
      </c>
      <c r="E209" t="s">
        <v>75</v>
      </c>
      <c r="F209" t="str">
        <f t="shared" si="15"/>
        <v>2023-10-04</v>
      </c>
      <c r="G209" t="str">
        <f t="shared" si="16"/>
        <v>2024-03-18</v>
      </c>
      <c r="H209">
        <f t="shared" si="17"/>
        <v>166</v>
      </c>
      <c r="J209" t="str">
        <f t="shared" si="18"/>
        <v>Яковлев Артем ИгоревичНиколаева Ирина Владимировна</v>
      </c>
      <c r="K209" t="s">
        <v>52</v>
      </c>
      <c r="L209" t="s">
        <v>66</v>
      </c>
      <c r="M209" t="s">
        <v>189</v>
      </c>
      <c r="N209" t="str">
        <f t="shared" si="19"/>
        <v>Яковлев Артем ИгоревичКозлов Артем Владимирович</v>
      </c>
      <c r="O209" t="s">
        <v>52</v>
      </c>
      <c r="P209" t="s">
        <v>113</v>
      </c>
      <c r="Q209" t="s">
        <v>402</v>
      </c>
    </row>
    <row r="210" spans="4:17" x14ac:dyDescent="0.25">
      <c r="D210" t="s">
        <v>23</v>
      </c>
      <c r="E210" t="s">
        <v>115</v>
      </c>
      <c r="F210" t="str">
        <f t="shared" si="15"/>
        <v>2023-10-31</v>
      </c>
      <c r="G210" t="str">
        <f t="shared" si="16"/>
        <v>2023-11-20</v>
      </c>
      <c r="H210">
        <f t="shared" si="17"/>
        <v>20</v>
      </c>
      <c r="J210" t="str">
        <f t="shared" si="18"/>
        <v>Кузнецов Дмитрий ЛьвовичНовикова Елена Михайловна</v>
      </c>
      <c r="K210" t="s">
        <v>23</v>
      </c>
      <c r="L210" t="s">
        <v>121</v>
      </c>
      <c r="M210" t="s">
        <v>189</v>
      </c>
      <c r="N210" t="str">
        <f t="shared" si="19"/>
        <v>Яковлев Артем ИгоревичПетрова София Алексеевна</v>
      </c>
      <c r="O210" t="s">
        <v>52</v>
      </c>
      <c r="P210" t="s">
        <v>59</v>
      </c>
      <c r="Q210" t="s">
        <v>401</v>
      </c>
    </row>
    <row r="211" spans="4:17" x14ac:dyDescent="0.25">
      <c r="D211" t="s">
        <v>23</v>
      </c>
      <c r="E211" t="s">
        <v>22</v>
      </c>
      <c r="F211" t="str">
        <f t="shared" si="15"/>
        <v>2024-01-03</v>
      </c>
      <c r="G211" t="str">
        <f t="shared" si="16"/>
        <v>2024-01-03</v>
      </c>
      <c r="H211">
        <f t="shared" si="17"/>
        <v>0</v>
      </c>
      <c r="J211" t="str">
        <f t="shared" si="18"/>
        <v>Громова Мария ИльиничнаКузнецов Георгий Никитич</v>
      </c>
      <c r="K211" t="s">
        <v>15</v>
      </c>
      <c r="L211" t="s">
        <v>188</v>
      </c>
      <c r="M211" t="s">
        <v>189</v>
      </c>
      <c r="N211" t="str">
        <f t="shared" si="19"/>
        <v>Новикова Ольга ПетровнаИванова Анна Викторовна</v>
      </c>
      <c r="O211" t="s">
        <v>10</v>
      </c>
      <c r="P211" t="s">
        <v>281</v>
      </c>
      <c r="Q211" t="s">
        <v>400</v>
      </c>
    </row>
    <row r="212" spans="4:17" x14ac:dyDescent="0.25">
      <c r="D212" t="s">
        <v>23</v>
      </c>
      <c r="E212" t="s">
        <v>39</v>
      </c>
      <c r="F212" t="str">
        <f t="shared" si="15"/>
        <v>2024-04-03</v>
      </c>
      <c r="G212" t="str">
        <f t="shared" si="16"/>
        <v>2024-04-03</v>
      </c>
      <c r="H212">
        <f t="shared" si="17"/>
        <v>0</v>
      </c>
      <c r="J212" t="str">
        <f t="shared" si="18"/>
        <v>Кузнецов Дмитрий ЛьвовичНовикова Дарья Викторовна</v>
      </c>
      <c r="K212" t="s">
        <v>23</v>
      </c>
      <c r="L212" t="s">
        <v>138</v>
      </c>
      <c r="M212" t="s">
        <v>189</v>
      </c>
      <c r="N212" t="str">
        <f t="shared" si="19"/>
        <v>Орлов Павел ДенисовичЛебедев Роман Станиславович</v>
      </c>
      <c r="O212" t="s">
        <v>17</v>
      </c>
      <c r="P212" t="s">
        <v>62</v>
      </c>
      <c r="Q212" t="s">
        <v>399</v>
      </c>
    </row>
    <row r="213" spans="4:17" x14ac:dyDescent="0.25">
      <c r="D213" t="s">
        <v>23</v>
      </c>
      <c r="E213" t="s">
        <v>170</v>
      </c>
      <c r="F213" t="str">
        <f t="shared" si="15"/>
        <v>2023-11-06</v>
      </c>
      <c r="G213" t="str">
        <f t="shared" si="16"/>
        <v>2023-11-06</v>
      </c>
      <c r="H213">
        <f t="shared" si="17"/>
        <v>0</v>
      </c>
      <c r="J213" t="str">
        <f t="shared" si="18"/>
        <v>Петров Владимир КирилловичСтепанов Никита Михайлович</v>
      </c>
      <c r="K213" t="s">
        <v>36</v>
      </c>
      <c r="L213" t="s">
        <v>68</v>
      </c>
      <c r="M213" t="s">
        <v>192</v>
      </c>
      <c r="N213" t="str">
        <f t="shared" si="19"/>
        <v>Сидорова Елена ВасильевнаВолкова Наталья Александровна</v>
      </c>
      <c r="O213" t="s">
        <v>12</v>
      </c>
      <c r="P213" t="s">
        <v>115</v>
      </c>
      <c r="Q213" t="s">
        <v>399</v>
      </c>
    </row>
    <row r="214" spans="4:17" x14ac:dyDescent="0.25">
      <c r="D214" t="s">
        <v>23</v>
      </c>
      <c r="E214" t="s">
        <v>227</v>
      </c>
      <c r="F214" t="str">
        <f t="shared" si="15"/>
        <v>2023-12-18</v>
      </c>
      <c r="G214" t="str">
        <f t="shared" si="16"/>
        <v>2023-12-18</v>
      </c>
      <c r="H214">
        <f t="shared" si="17"/>
        <v>0</v>
      </c>
      <c r="J214" t="str">
        <f t="shared" si="18"/>
        <v>Орлов Павел ДенисовичФедорова Алиса Кирилловна</v>
      </c>
      <c r="K214" t="s">
        <v>17</v>
      </c>
      <c r="L214" t="s">
        <v>193</v>
      </c>
      <c r="M214" t="s">
        <v>192</v>
      </c>
      <c r="N214" t="str">
        <f t="shared" si="19"/>
        <v>Орлов Павел ДенисовичФедоров Александр Дмитриевич</v>
      </c>
      <c r="O214" t="s">
        <v>17</v>
      </c>
      <c r="P214" t="s">
        <v>136</v>
      </c>
      <c r="Q214" t="s">
        <v>399</v>
      </c>
    </row>
    <row r="215" spans="4:17" x14ac:dyDescent="0.25">
      <c r="D215" t="s">
        <v>23</v>
      </c>
      <c r="E215" t="s">
        <v>264</v>
      </c>
      <c r="F215" t="str">
        <f t="shared" si="15"/>
        <v>2024-04-25</v>
      </c>
      <c r="G215" t="str">
        <f t="shared" si="16"/>
        <v>2024-04-25</v>
      </c>
      <c r="H215">
        <f t="shared" si="17"/>
        <v>0</v>
      </c>
      <c r="J215" t="str">
        <f t="shared" si="18"/>
        <v>Новикова Ольга ПетровнаВасильев Кирилл Михайлович</v>
      </c>
      <c r="K215" t="s">
        <v>10</v>
      </c>
      <c r="L215" t="s">
        <v>95</v>
      </c>
      <c r="M215" t="s">
        <v>192</v>
      </c>
      <c r="N215" t="str">
        <f t="shared" si="19"/>
        <v>Кузнецов Дмитрий ЛьвовичВасильев Кирилл Михайлович</v>
      </c>
      <c r="O215" t="s">
        <v>23</v>
      </c>
      <c r="P215" t="s">
        <v>95</v>
      </c>
      <c r="Q215" t="s">
        <v>399</v>
      </c>
    </row>
    <row r="216" spans="4:17" x14ac:dyDescent="0.25">
      <c r="D216" t="s">
        <v>23</v>
      </c>
      <c r="E216" t="s">
        <v>281</v>
      </c>
      <c r="F216" t="str">
        <f t="shared" si="15"/>
        <v>2024-08-29</v>
      </c>
      <c r="G216" t="str">
        <f t="shared" si="16"/>
        <v>2024-08-29</v>
      </c>
      <c r="H216">
        <f t="shared" si="17"/>
        <v>0</v>
      </c>
      <c r="J216" t="str">
        <f t="shared" si="18"/>
        <v>Громова Мария ИльиничнаАлексеева Полина Станиславовна</v>
      </c>
      <c r="K216" t="s">
        <v>15</v>
      </c>
      <c r="L216" t="s">
        <v>180</v>
      </c>
      <c r="M216" t="s">
        <v>194</v>
      </c>
      <c r="N216" t="str">
        <f t="shared" si="19"/>
        <v>Новикова Ольга ПетровнаПетров Михаил Юрьевич</v>
      </c>
      <c r="O216" t="s">
        <v>10</v>
      </c>
      <c r="P216" t="s">
        <v>256</v>
      </c>
      <c r="Q216" t="s">
        <v>399</v>
      </c>
    </row>
    <row r="217" spans="4:17" x14ac:dyDescent="0.25">
      <c r="D217" t="s">
        <v>23</v>
      </c>
      <c r="E217" t="s">
        <v>131</v>
      </c>
      <c r="F217" t="str">
        <f t="shared" si="15"/>
        <v>2024-07-09</v>
      </c>
      <c r="G217" t="str">
        <f t="shared" si="16"/>
        <v>2024-07-09</v>
      </c>
      <c r="H217">
        <f t="shared" si="17"/>
        <v>0</v>
      </c>
      <c r="J217" t="str">
        <f t="shared" si="18"/>
        <v>Новикова Ольга ПетровнаАлексеева Виктория Александровна</v>
      </c>
      <c r="K217" t="s">
        <v>10</v>
      </c>
      <c r="L217" t="s">
        <v>195</v>
      </c>
      <c r="M217" t="s">
        <v>196</v>
      </c>
      <c r="N217" t="str">
        <f t="shared" si="19"/>
        <v>Сидорова Елена ВасильевнаПавлов Павел Павлович</v>
      </c>
      <c r="O217" t="s">
        <v>12</v>
      </c>
      <c r="P217" t="s">
        <v>207</v>
      </c>
      <c r="Q217" t="s">
        <v>399</v>
      </c>
    </row>
    <row r="218" spans="4:17" x14ac:dyDescent="0.25">
      <c r="D218" t="s">
        <v>23</v>
      </c>
      <c r="E218" t="s">
        <v>74</v>
      </c>
      <c r="F218" t="str">
        <f t="shared" si="15"/>
        <v>2024-03-25</v>
      </c>
      <c r="G218" t="str">
        <f t="shared" si="16"/>
        <v>2024-03-25</v>
      </c>
      <c r="H218">
        <f t="shared" si="17"/>
        <v>0</v>
      </c>
      <c r="J218" t="str">
        <f t="shared" si="18"/>
        <v>Яковлев Артем ИгоревичПетров Максим Александрович</v>
      </c>
      <c r="K218" t="s">
        <v>52</v>
      </c>
      <c r="L218" t="s">
        <v>171</v>
      </c>
      <c r="M218" t="s">
        <v>196</v>
      </c>
      <c r="N218" t="str">
        <f t="shared" si="19"/>
        <v>Ткаченко Андрей ОлеговичИванов Андрей Михайлович</v>
      </c>
      <c r="O218" t="s">
        <v>5</v>
      </c>
      <c r="P218" t="s">
        <v>229</v>
      </c>
      <c r="Q218" t="s">
        <v>399</v>
      </c>
    </row>
    <row r="219" spans="4:17" x14ac:dyDescent="0.25">
      <c r="D219" t="s">
        <v>23</v>
      </c>
      <c r="E219" t="s">
        <v>67</v>
      </c>
      <c r="F219" t="str">
        <f t="shared" si="15"/>
        <v>2024-07-08</v>
      </c>
      <c r="G219" t="str">
        <f t="shared" si="16"/>
        <v>2024-07-08</v>
      </c>
      <c r="H219">
        <f t="shared" si="17"/>
        <v>0</v>
      </c>
      <c r="J219" t="str">
        <f t="shared" si="18"/>
        <v>Фролов Сергей ВикторовичИванова Ксения Романовна</v>
      </c>
      <c r="K219" t="s">
        <v>27</v>
      </c>
      <c r="L219" t="s">
        <v>74</v>
      </c>
      <c r="M219" t="s">
        <v>196</v>
      </c>
      <c r="N219" t="str">
        <f t="shared" si="19"/>
        <v>Белов Алексей КонстантиновичИванов Владимир Романович</v>
      </c>
      <c r="O219" t="s">
        <v>8</v>
      </c>
      <c r="P219" t="s">
        <v>170</v>
      </c>
      <c r="Q219" t="s">
        <v>399</v>
      </c>
    </row>
    <row r="220" spans="4:17" x14ac:dyDescent="0.25">
      <c r="D220" t="s">
        <v>23</v>
      </c>
      <c r="E220" t="s">
        <v>228</v>
      </c>
      <c r="F220" t="str">
        <f t="shared" si="15"/>
        <v>2024-04-03</v>
      </c>
      <c r="G220" t="str">
        <f t="shared" si="16"/>
        <v>2024-04-03</v>
      </c>
      <c r="H220">
        <f t="shared" si="17"/>
        <v>0</v>
      </c>
      <c r="J220" t="str">
        <f t="shared" si="18"/>
        <v>Орлов Павел ДенисовичЕгоров Никита Геннадьевич</v>
      </c>
      <c r="K220" t="s">
        <v>17</v>
      </c>
      <c r="L220" t="s">
        <v>130</v>
      </c>
      <c r="M220" t="s">
        <v>196</v>
      </c>
      <c r="N220" t="str">
        <f t="shared" si="19"/>
        <v>Ткаченко Андрей ОлеговичСтепанов Алексей Артемович</v>
      </c>
      <c r="O220" t="s">
        <v>5</v>
      </c>
      <c r="P220" t="s">
        <v>206</v>
      </c>
      <c r="Q220" t="s">
        <v>399</v>
      </c>
    </row>
    <row r="221" spans="4:17" x14ac:dyDescent="0.25">
      <c r="D221" t="s">
        <v>23</v>
      </c>
      <c r="E221" t="s">
        <v>188</v>
      </c>
      <c r="F221" t="str">
        <f t="shared" si="15"/>
        <v>2023-11-17</v>
      </c>
      <c r="G221" t="str">
        <f t="shared" si="16"/>
        <v>2023-11-17</v>
      </c>
      <c r="H221">
        <f t="shared" si="17"/>
        <v>0</v>
      </c>
      <c r="J221" t="str">
        <f t="shared" si="18"/>
        <v>Сидорова Елена ВасильевнаНовиков Сергей Никитич</v>
      </c>
      <c r="K221" t="s">
        <v>12</v>
      </c>
      <c r="L221" t="s">
        <v>197</v>
      </c>
      <c r="M221" t="s">
        <v>196</v>
      </c>
      <c r="N221" t="str">
        <f t="shared" si="19"/>
        <v>Фролов Сергей ВикторовичЛебедев Павел Кириллович</v>
      </c>
      <c r="O221" t="s">
        <v>27</v>
      </c>
      <c r="P221" t="s">
        <v>6</v>
      </c>
      <c r="Q221" t="s">
        <v>399</v>
      </c>
    </row>
    <row r="222" spans="4:17" x14ac:dyDescent="0.25">
      <c r="D222" t="s">
        <v>23</v>
      </c>
      <c r="E222" t="s">
        <v>209</v>
      </c>
      <c r="F222" t="str">
        <f t="shared" si="15"/>
        <v>2024-05-07</v>
      </c>
      <c r="G222" t="str">
        <f t="shared" si="16"/>
        <v>2024-05-07</v>
      </c>
      <c r="H222">
        <f t="shared" si="17"/>
        <v>0</v>
      </c>
      <c r="J222" t="str">
        <f t="shared" si="18"/>
        <v>Кузнецов Дмитрий ЛьвовичПетрова Дарья Кирилловна</v>
      </c>
      <c r="K222" t="s">
        <v>23</v>
      </c>
      <c r="L222" t="s">
        <v>198</v>
      </c>
      <c r="M222" t="s">
        <v>199</v>
      </c>
      <c r="N222" t="str">
        <f t="shared" si="19"/>
        <v>Громова Мария ИльиничнаОрлова Анна Дмитриевна</v>
      </c>
      <c r="O222" t="s">
        <v>15</v>
      </c>
      <c r="P222" t="s">
        <v>165</v>
      </c>
      <c r="Q222" t="s">
        <v>399</v>
      </c>
    </row>
    <row r="223" spans="4:17" x14ac:dyDescent="0.25">
      <c r="D223" t="s">
        <v>23</v>
      </c>
      <c r="E223" t="s">
        <v>71</v>
      </c>
      <c r="F223" t="str">
        <f t="shared" si="15"/>
        <v>2023-09-25</v>
      </c>
      <c r="G223" t="str">
        <f t="shared" si="16"/>
        <v>2024-01-23</v>
      </c>
      <c r="H223">
        <f t="shared" si="17"/>
        <v>120</v>
      </c>
      <c r="J223" t="str">
        <f t="shared" si="18"/>
        <v>Семенова Ирина ВалерьевнаАлексеева Людмила Никитична</v>
      </c>
      <c r="K223" t="s">
        <v>46</v>
      </c>
      <c r="L223" t="s">
        <v>60</v>
      </c>
      <c r="M223" t="s">
        <v>199</v>
      </c>
      <c r="N223" t="str">
        <f t="shared" si="19"/>
        <v>Белов Алексей КонстантиновичСеменов Никита Михайлович</v>
      </c>
      <c r="O223" t="s">
        <v>8</v>
      </c>
      <c r="P223" t="s">
        <v>300</v>
      </c>
      <c r="Q223" t="s">
        <v>399</v>
      </c>
    </row>
    <row r="224" spans="4:17" x14ac:dyDescent="0.25">
      <c r="D224" t="s">
        <v>23</v>
      </c>
      <c r="E224" t="s">
        <v>237</v>
      </c>
      <c r="F224" t="str">
        <f t="shared" si="15"/>
        <v>2023-12-25</v>
      </c>
      <c r="G224" t="str">
        <f t="shared" si="16"/>
        <v>2024-01-08</v>
      </c>
      <c r="H224">
        <f t="shared" si="17"/>
        <v>14</v>
      </c>
      <c r="J224" t="str">
        <f t="shared" si="18"/>
        <v>Белов Алексей КонстантиновичМорозова Светлана Михайловна</v>
      </c>
      <c r="K224" t="s">
        <v>8</v>
      </c>
      <c r="L224" t="s">
        <v>200</v>
      </c>
      <c r="M224" t="s">
        <v>199</v>
      </c>
      <c r="N224" t="str">
        <f t="shared" si="19"/>
        <v>Сидорова Елена ВасильевнаИванова Александра Никитична</v>
      </c>
      <c r="O224" t="s">
        <v>12</v>
      </c>
      <c r="P224" t="s">
        <v>264</v>
      </c>
      <c r="Q224" t="s">
        <v>398</v>
      </c>
    </row>
    <row r="225" spans="4:17" x14ac:dyDescent="0.25">
      <c r="D225" t="s">
        <v>23</v>
      </c>
      <c r="E225" t="s">
        <v>38</v>
      </c>
      <c r="F225" t="str">
        <f t="shared" si="15"/>
        <v>2023-09-08</v>
      </c>
      <c r="G225" t="str">
        <f t="shared" si="16"/>
        <v>2024-08-26</v>
      </c>
      <c r="H225">
        <f t="shared" si="17"/>
        <v>353</v>
      </c>
      <c r="J225" t="str">
        <f t="shared" si="18"/>
        <v>Сидорова Елена ВасильевнаАлексеева Ксения Андреевна</v>
      </c>
      <c r="K225" t="s">
        <v>12</v>
      </c>
      <c r="L225" t="s">
        <v>184</v>
      </c>
      <c r="M225" t="s">
        <v>201</v>
      </c>
      <c r="N225" t="str">
        <f t="shared" si="19"/>
        <v>Яковлев Артем ИгоревичНиколаев Павел Артемович</v>
      </c>
      <c r="O225" t="s">
        <v>52</v>
      </c>
      <c r="P225" t="s">
        <v>235</v>
      </c>
      <c r="Q225" t="s">
        <v>398</v>
      </c>
    </row>
    <row r="226" spans="4:17" x14ac:dyDescent="0.25">
      <c r="D226" t="s">
        <v>23</v>
      </c>
      <c r="E226" t="s">
        <v>32</v>
      </c>
      <c r="F226" t="str">
        <f t="shared" si="15"/>
        <v>2024-05-07</v>
      </c>
      <c r="G226" t="str">
        <f t="shared" si="16"/>
        <v>2024-05-07</v>
      </c>
      <c r="H226">
        <f t="shared" si="17"/>
        <v>0</v>
      </c>
      <c r="J226" t="str">
        <f t="shared" si="18"/>
        <v>Семенова Ирина ВалерьевнаСеменов Андрей Кириллович</v>
      </c>
      <c r="K226" t="s">
        <v>46</v>
      </c>
      <c r="L226" t="s">
        <v>93</v>
      </c>
      <c r="M226" t="s">
        <v>201</v>
      </c>
      <c r="N226" t="str">
        <f t="shared" si="19"/>
        <v>Иванова Анна СергеевнаПетрова Дарья Егоровна</v>
      </c>
      <c r="O226" t="s">
        <v>48</v>
      </c>
      <c r="P226" t="s">
        <v>24</v>
      </c>
      <c r="Q226" t="s">
        <v>398</v>
      </c>
    </row>
    <row r="227" spans="4:17" x14ac:dyDescent="0.25">
      <c r="D227" t="s">
        <v>23</v>
      </c>
      <c r="E227" t="s">
        <v>91</v>
      </c>
      <c r="F227" t="str">
        <f t="shared" si="15"/>
        <v>2024-06-26</v>
      </c>
      <c r="G227" t="str">
        <f t="shared" si="16"/>
        <v>2024-06-26</v>
      </c>
      <c r="H227">
        <f t="shared" si="17"/>
        <v>0</v>
      </c>
      <c r="J227" t="str">
        <f t="shared" si="18"/>
        <v>Фролов Сергей ВикторовичАлексеева Людмила Никитична</v>
      </c>
      <c r="K227" t="s">
        <v>27</v>
      </c>
      <c r="L227" t="s">
        <v>60</v>
      </c>
      <c r="M227" t="s">
        <v>201</v>
      </c>
      <c r="N227" t="str">
        <f t="shared" si="19"/>
        <v>Фролов Сергей ВикторовичВасильев Егор Владимирович</v>
      </c>
      <c r="O227" t="s">
        <v>27</v>
      </c>
      <c r="P227" t="s">
        <v>148</v>
      </c>
      <c r="Q227" t="s">
        <v>398</v>
      </c>
    </row>
    <row r="228" spans="4:17" x14ac:dyDescent="0.25">
      <c r="D228" t="s">
        <v>23</v>
      </c>
      <c r="E228" t="s">
        <v>150</v>
      </c>
      <c r="F228" t="str">
        <f t="shared" si="15"/>
        <v>2024-02-28</v>
      </c>
      <c r="G228" t="str">
        <f t="shared" si="16"/>
        <v>2024-02-28</v>
      </c>
      <c r="H228">
        <f t="shared" si="17"/>
        <v>0</v>
      </c>
      <c r="J228" t="str">
        <f t="shared" si="18"/>
        <v>Новикова Ольга ПетровнаЕгоров Георгий Никитич</v>
      </c>
      <c r="K228" t="s">
        <v>10</v>
      </c>
      <c r="L228" t="s">
        <v>39</v>
      </c>
      <c r="M228" t="s">
        <v>201</v>
      </c>
      <c r="N228" t="str">
        <f t="shared" si="19"/>
        <v>Фролов Сергей ВикторовичОрлов Максим Егорович</v>
      </c>
      <c r="O228" t="s">
        <v>27</v>
      </c>
      <c r="P228" t="s">
        <v>87</v>
      </c>
      <c r="Q228" t="s">
        <v>398</v>
      </c>
    </row>
    <row r="229" spans="4:17" x14ac:dyDescent="0.25">
      <c r="D229" t="s">
        <v>23</v>
      </c>
      <c r="E229" t="s">
        <v>69</v>
      </c>
      <c r="F229" t="str">
        <f t="shared" si="15"/>
        <v>2023-09-25</v>
      </c>
      <c r="G229" t="str">
        <f t="shared" si="16"/>
        <v>2023-09-25</v>
      </c>
      <c r="H229">
        <f t="shared" si="17"/>
        <v>0</v>
      </c>
      <c r="J229" t="str">
        <f t="shared" si="18"/>
        <v>Белов Алексей КонстантиновичАлексеева Людмила Никитична</v>
      </c>
      <c r="K229" t="s">
        <v>8</v>
      </c>
      <c r="L229" t="s">
        <v>60</v>
      </c>
      <c r="M229" t="s">
        <v>201</v>
      </c>
      <c r="N229" t="str">
        <f t="shared" si="19"/>
        <v>Новикова Ольга ПетровнаПавлова Анна Михайловна</v>
      </c>
      <c r="O229" t="s">
        <v>10</v>
      </c>
      <c r="P229" t="s">
        <v>191</v>
      </c>
      <c r="Q229" t="s">
        <v>398</v>
      </c>
    </row>
    <row r="230" spans="4:17" x14ac:dyDescent="0.25">
      <c r="D230" t="s">
        <v>23</v>
      </c>
      <c r="E230" t="s">
        <v>144</v>
      </c>
      <c r="F230" t="str">
        <f t="shared" si="15"/>
        <v>2024-08-20</v>
      </c>
      <c r="G230" t="str">
        <f t="shared" si="16"/>
        <v>2024-08-20</v>
      </c>
      <c r="H230">
        <f t="shared" si="17"/>
        <v>0</v>
      </c>
      <c r="J230" t="str">
        <f t="shared" si="18"/>
        <v>Иванова Анна СергеевнаПетрова Дарья Кирилловна</v>
      </c>
      <c r="K230" t="s">
        <v>48</v>
      </c>
      <c r="L230" t="s">
        <v>198</v>
      </c>
      <c r="M230" t="s">
        <v>201</v>
      </c>
      <c r="N230" t="str">
        <f t="shared" si="19"/>
        <v>Яковлев Артем ИгоревичПетрова Юлия Геннадьевна</v>
      </c>
      <c r="O230" t="s">
        <v>52</v>
      </c>
      <c r="P230" t="s">
        <v>275</v>
      </c>
      <c r="Q230" t="s">
        <v>397</v>
      </c>
    </row>
    <row r="231" spans="4:17" x14ac:dyDescent="0.25">
      <c r="D231" t="s">
        <v>23</v>
      </c>
      <c r="E231" t="s">
        <v>129</v>
      </c>
      <c r="F231" t="str">
        <f t="shared" si="15"/>
        <v>2023-10-11</v>
      </c>
      <c r="G231" t="str">
        <f t="shared" si="16"/>
        <v>2024-08-28</v>
      </c>
      <c r="H231">
        <f t="shared" si="17"/>
        <v>322</v>
      </c>
      <c r="J231" t="str">
        <f t="shared" si="18"/>
        <v>Петров Владимир КирилловичПавлова Екатерина Павловна</v>
      </c>
      <c r="K231" t="s">
        <v>36</v>
      </c>
      <c r="L231" t="s">
        <v>57</v>
      </c>
      <c r="M231" t="s">
        <v>201</v>
      </c>
      <c r="N231" t="str">
        <f t="shared" si="19"/>
        <v>Петров Владимир КирилловичКозлова Алиса Алексеевна</v>
      </c>
      <c r="O231" t="s">
        <v>36</v>
      </c>
      <c r="P231" t="s">
        <v>156</v>
      </c>
      <c r="Q231" t="s">
        <v>397</v>
      </c>
    </row>
    <row r="232" spans="4:17" x14ac:dyDescent="0.25">
      <c r="D232" t="s">
        <v>23</v>
      </c>
      <c r="E232" t="s">
        <v>235</v>
      </c>
      <c r="F232" t="str">
        <f t="shared" si="15"/>
        <v>2024-04-08</v>
      </c>
      <c r="G232" t="str">
        <f t="shared" si="16"/>
        <v>2024-05-13</v>
      </c>
      <c r="H232">
        <f t="shared" si="17"/>
        <v>35</v>
      </c>
      <c r="J232" t="str">
        <f t="shared" si="18"/>
        <v>Сидорова Елена ВасильевнаНиколаева Вероника Юрьевна</v>
      </c>
      <c r="K232" t="s">
        <v>12</v>
      </c>
      <c r="L232" t="s">
        <v>202</v>
      </c>
      <c r="M232" t="s">
        <v>201</v>
      </c>
      <c r="N232" t="str">
        <f t="shared" si="19"/>
        <v>Орлов Павел ДенисовичОрлов Александр Романович</v>
      </c>
      <c r="O232" t="s">
        <v>17</v>
      </c>
      <c r="P232" t="s">
        <v>312</v>
      </c>
      <c r="Q232" t="s">
        <v>397</v>
      </c>
    </row>
    <row r="233" spans="4:17" x14ac:dyDescent="0.25">
      <c r="D233" t="s">
        <v>23</v>
      </c>
      <c r="E233" t="s">
        <v>66</v>
      </c>
      <c r="F233" t="str">
        <f t="shared" si="15"/>
        <v>2024-05-20</v>
      </c>
      <c r="G233" t="str">
        <f t="shared" si="16"/>
        <v>2024-05-20</v>
      </c>
      <c r="H233">
        <f t="shared" si="17"/>
        <v>0</v>
      </c>
      <c r="J233" t="str">
        <f t="shared" si="18"/>
        <v>Громова Мария ИльиничнаПопов Владимир Артемович</v>
      </c>
      <c r="K233" t="s">
        <v>15</v>
      </c>
      <c r="L233" t="s">
        <v>203</v>
      </c>
      <c r="M233" t="s">
        <v>204</v>
      </c>
      <c r="N233" t="str">
        <f t="shared" si="19"/>
        <v>Новикова Ольга ПетровнаСтепанова Анна Никитична</v>
      </c>
      <c r="O233" t="s">
        <v>10</v>
      </c>
      <c r="P233" t="s">
        <v>108</v>
      </c>
      <c r="Q233" t="s">
        <v>396</v>
      </c>
    </row>
    <row r="234" spans="4:17" x14ac:dyDescent="0.25">
      <c r="D234" t="s">
        <v>23</v>
      </c>
      <c r="E234" t="s">
        <v>330</v>
      </c>
      <c r="F234" t="str">
        <f t="shared" si="15"/>
        <v>2024-08-16</v>
      </c>
      <c r="G234" t="str">
        <f t="shared" si="16"/>
        <v>2024-08-16</v>
      </c>
      <c r="H234">
        <f t="shared" si="17"/>
        <v>0</v>
      </c>
      <c r="J234" t="str">
        <f t="shared" si="18"/>
        <v>Кузнецов Дмитрий ЛьвовичСтепанов Никита Михайлович</v>
      </c>
      <c r="K234" t="s">
        <v>23</v>
      </c>
      <c r="L234" t="s">
        <v>68</v>
      </c>
      <c r="M234" t="s">
        <v>205</v>
      </c>
      <c r="N234" t="str">
        <f t="shared" si="19"/>
        <v>Новикова Ольга ПетровнаМорозова Александра Дмитриевна</v>
      </c>
      <c r="O234" t="s">
        <v>10</v>
      </c>
      <c r="P234" t="s">
        <v>69</v>
      </c>
      <c r="Q234" t="s">
        <v>395</v>
      </c>
    </row>
    <row r="235" spans="4:17" x14ac:dyDescent="0.25">
      <c r="D235" t="s">
        <v>23</v>
      </c>
      <c r="E235" t="s">
        <v>153</v>
      </c>
      <c r="F235" t="str">
        <f t="shared" si="15"/>
        <v>2024-07-10</v>
      </c>
      <c r="G235" t="str">
        <f t="shared" si="16"/>
        <v>2024-07-10</v>
      </c>
      <c r="H235">
        <f t="shared" si="17"/>
        <v>0</v>
      </c>
      <c r="J235" t="str">
        <f t="shared" si="18"/>
        <v>Новикова Ольга ПетровнаМорозова Ольга Геннадьевна</v>
      </c>
      <c r="K235" t="s">
        <v>10</v>
      </c>
      <c r="L235" t="s">
        <v>56</v>
      </c>
      <c r="M235" t="s">
        <v>205</v>
      </c>
      <c r="N235" t="str">
        <f t="shared" si="19"/>
        <v>Семенова Ирина ВалерьевнаНиколаев Павел Артемович</v>
      </c>
      <c r="O235" t="s">
        <v>46</v>
      </c>
      <c r="P235" t="s">
        <v>235</v>
      </c>
      <c r="Q235" t="s">
        <v>395</v>
      </c>
    </row>
    <row r="236" spans="4:17" x14ac:dyDescent="0.25">
      <c r="D236" t="s">
        <v>23</v>
      </c>
      <c r="E236" t="s">
        <v>138</v>
      </c>
      <c r="F236" t="str">
        <f t="shared" si="15"/>
        <v>2023-11-20</v>
      </c>
      <c r="G236" t="str">
        <f t="shared" si="16"/>
        <v>2024-05-21</v>
      </c>
      <c r="H236">
        <f t="shared" si="17"/>
        <v>183</v>
      </c>
      <c r="J236" t="str">
        <f t="shared" si="18"/>
        <v>Белов Алексей КонстантиновичСтепанов Алексей Артемович</v>
      </c>
      <c r="K236" t="s">
        <v>8</v>
      </c>
      <c r="L236" t="s">
        <v>206</v>
      </c>
      <c r="M236" t="s">
        <v>205</v>
      </c>
      <c r="N236" t="str">
        <f t="shared" si="19"/>
        <v>Сидорова Елена ВасильевнаПетров Михаил Юрьевич</v>
      </c>
      <c r="O236" t="s">
        <v>12</v>
      </c>
      <c r="P236" t="s">
        <v>256</v>
      </c>
      <c r="Q236" t="s">
        <v>395</v>
      </c>
    </row>
    <row r="237" spans="4:17" x14ac:dyDescent="0.25">
      <c r="D237" t="s">
        <v>23</v>
      </c>
      <c r="E237" t="s">
        <v>121</v>
      </c>
      <c r="F237" t="str">
        <f t="shared" si="15"/>
        <v>2023-11-07</v>
      </c>
      <c r="G237" t="str">
        <f t="shared" si="16"/>
        <v>2023-11-20</v>
      </c>
      <c r="H237">
        <f t="shared" si="17"/>
        <v>13</v>
      </c>
      <c r="J237" t="str">
        <f t="shared" si="18"/>
        <v>Орлов Павел ДенисовичВолкова Виктория Михайловна</v>
      </c>
      <c r="K237" t="s">
        <v>17</v>
      </c>
      <c r="L237" t="s">
        <v>40</v>
      </c>
      <c r="M237" t="s">
        <v>205</v>
      </c>
      <c r="N237" t="str">
        <f t="shared" si="19"/>
        <v>Семенова Ирина ВалерьевнаВасильев Артур Дмитриевич</v>
      </c>
      <c r="O237" t="s">
        <v>46</v>
      </c>
      <c r="P237" t="s">
        <v>77</v>
      </c>
      <c r="Q237" t="s">
        <v>395</v>
      </c>
    </row>
    <row r="238" spans="4:17" x14ac:dyDescent="0.25">
      <c r="D238" t="s">
        <v>23</v>
      </c>
      <c r="E238" t="s">
        <v>53</v>
      </c>
      <c r="F238" t="str">
        <f t="shared" si="15"/>
        <v>2023-12-19</v>
      </c>
      <c r="G238" t="str">
        <f t="shared" si="16"/>
        <v>2023-12-19</v>
      </c>
      <c r="H238">
        <f t="shared" si="17"/>
        <v>0</v>
      </c>
      <c r="J238" t="str">
        <f t="shared" si="18"/>
        <v>Новикова Ольга ПетровнаПавлов Павел Павлович</v>
      </c>
      <c r="K238" t="s">
        <v>10</v>
      </c>
      <c r="L238" t="s">
        <v>207</v>
      </c>
      <c r="M238" t="s">
        <v>208</v>
      </c>
      <c r="N238" t="str">
        <f t="shared" si="19"/>
        <v>Иванова Анна СергеевнаПавлов Роман Александрович</v>
      </c>
      <c r="O238" t="s">
        <v>48</v>
      </c>
      <c r="P238" t="s">
        <v>134</v>
      </c>
      <c r="Q238" t="s">
        <v>395</v>
      </c>
    </row>
    <row r="239" spans="4:17" x14ac:dyDescent="0.25">
      <c r="D239" t="s">
        <v>23</v>
      </c>
      <c r="E239" t="s">
        <v>252</v>
      </c>
      <c r="F239" t="str">
        <f t="shared" si="15"/>
        <v>2024-06-04</v>
      </c>
      <c r="G239" t="str">
        <f t="shared" si="16"/>
        <v>2024-06-04</v>
      </c>
      <c r="H239">
        <f t="shared" si="17"/>
        <v>0</v>
      </c>
      <c r="J239" t="str">
        <f t="shared" si="18"/>
        <v>Орлов Павел ДенисовичКузнецов Сергей Станиславович</v>
      </c>
      <c r="K239" t="s">
        <v>17</v>
      </c>
      <c r="L239" t="s">
        <v>209</v>
      </c>
      <c r="M239" t="s">
        <v>210</v>
      </c>
      <c r="N239" t="str">
        <f t="shared" si="19"/>
        <v>Петров Владимир КирилловичНиколаев Роман Геннадьевич</v>
      </c>
      <c r="O239" t="s">
        <v>36</v>
      </c>
      <c r="P239" t="s">
        <v>139</v>
      </c>
      <c r="Q239" t="s">
        <v>395</v>
      </c>
    </row>
    <row r="240" spans="4:17" x14ac:dyDescent="0.25">
      <c r="D240" t="s">
        <v>23</v>
      </c>
      <c r="E240" t="s">
        <v>79</v>
      </c>
      <c r="F240" t="str">
        <f t="shared" si="15"/>
        <v>2023-12-18</v>
      </c>
      <c r="G240" t="str">
        <f t="shared" si="16"/>
        <v>2023-12-18</v>
      </c>
      <c r="H240">
        <f t="shared" si="17"/>
        <v>0</v>
      </c>
      <c r="J240" t="str">
        <f t="shared" si="18"/>
        <v>Иванова Анна СергеевнаЛебедев Павел Кириллович</v>
      </c>
      <c r="K240" t="s">
        <v>48</v>
      </c>
      <c r="L240" t="s">
        <v>6</v>
      </c>
      <c r="M240" t="s">
        <v>211</v>
      </c>
      <c r="N240" t="str">
        <f t="shared" si="19"/>
        <v>Сидорова Елена ВасильевнаВасильев Александр Никитич</v>
      </c>
      <c r="O240" t="s">
        <v>12</v>
      </c>
      <c r="P240" t="s">
        <v>161</v>
      </c>
      <c r="Q240" t="s">
        <v>395</v>
      </c>
    </row>
    <row r="241" spans="4:17" x14ac:dyDescent="0.25">
      <c r="D241" t="s">
        <v>23</v>
      </c>
      <c r="E241" t="s">
        <v>87</v>
      </c>
      <c r="F241" t="str">
        <f t="shared" si="15"/>
        <v>2023-11-10</v>
      </c>
      <c r="G241" t="str">
        <f t="shared" si="16"/>
        <v>2024-01-29</v>
      </c>
      <c r="H241">
        <f t="shared" si="17"/>
        <v>80</v>
      </c>
      <c r="J241" t="str">
        <f t="shared" si="18"/>
        <v>Ткаченко Андрей ОлеговичСтепанов Алексей Артемович</v>
      </c>
      <c r="K241" t="s">
        <v>5</v>
      </c>
      <c r="L241" t="s">
        <v>206</v>
      </c>
      <c r="M241" t="s">
        <v>211</v>
      </c>
      <c r="N241" t="str">
        <f t="shared" si="19"/>
        <v>Яковлев Артем ИгоревичСидоров Дмитрий Алексеевич</v>
      </c>
      <c r="O241" t="s">
        <v>52</v>
      </c>
      <c r="P241" t="s">
        <v>141</v>
      </c>
      <c r="Q241" t="s">
        <v>394</v>
      </c>
    </row>
    <row r="242" spans="4:17" x14ac:dyDescent="0.25">
      <c r="D242" t="s">
        <v>23</v>
      </c>
      <c r="E242" t="s">
        <v>223</v>
      </c>
      <c r="F242" t="str">
        <f t="shared" si="15"/>
        <v>2024-02-23</v>
      </c>
      <c r="G242" t="str">
        <f t="shared" si="16"/>
        <v>2024-02-23</v>
      </c>
      <c r="H242">
        <f t="shared" si="17"/>
        <v>0</v>
      </c>
      <c r="J242" t="str">
        <f t="shared" si="18"/>
        <v>Громова Мария ИльиничнаНовиков Иван Никитич</v>
      </c>
      <c r="K242" t="s">
        <v>15</v>
      </c>
      <c r="L242" t="s">
        <v>181</v>
      </c>
      <c r="M242" t="s">
        <v>211</v>
      </c>
      <c r="N242" t="str">
        <f t="shared" si="19"/>
        <v>Фролов Сергей ВикторовичНиколаев Павел Артемович</v>
      </c>
      <c r="O242" t="s">
        <v>27</v>
      </c>
      <c r="P242" t="s">
        <v>235</v>
      </c>
      <c r="Q242" t="s">
        <v>394</v>
      </c>
    </row>
    <row r="243" spans="4:17" x14ac:dyDescent="0.25">
      <c r="D243" t="s">
        <v>23</v>
      </c>
      <c r="E243" t="s">
        <v>232</v>
      </c>
      <c r="F243" t="str">
        <f t="shared" si="15"/>
        <v>2023-12-20</v>
      </c>
      <c r="G243" t="str">
        <f t="shared" si="16"/>
        <v>2023-12-20</v>
      </c>
      <c r="H243">
        <f t="shared" si="17"/>
        <v>0</v>
      </c>
      <c r="J243" t="str">
        <f t="shared" si="18"/>
        <v>Орлов Павел ДенисовичАлексеева Полина Станиславовна</v>
      </c>
      <c r="K243" t="s">
        <v>17</v>
      </c>
      <c r="L243" t="s">
        <v>180</v>
      </c>
      <c r="M243" t="s">
        <v>211</v>
      </c>
      <c r="N243" t="str">
        <f t="shared" si="19"/>
        <v>Белов Алексей КонстантиновичОрлов Кирилл Владимирович</v>
      </c>
      <c r="O243" t="s">
        <v>8</v>
      </c>
      <c r="P243" t="s">
        <v>79</v>
      </c>
      <c r="Q243" t="s">
        <v>394</v>
      </c>
    </row>
    <row r="244" spans="4:17" x14ac:dyDescent="0.25">
      <c r="D244" t="s">
        <v>23</v>
      </c>
      <c r="E244" t="s">
        <v>57</v>
      </c>
      <c r="F244" t="str">
        <f t="shared" si="15"/>
        <v>2023-10-04</v>
      </c>
      <c r="G244" t="str">
        <f t="shared" si="16"/>
        <v>2024-07-19</v>
      </c>
      <c r="H244">
        <f t="shared" si="17"/>
        <v>289</v>
      </c>
      <c r="J244" t="str">
        <f t="shared" si="18"/>
        <v>Семенова Ирина ВалерьевнаМорозова Ольга Геннадьевна</v>
      </c>
      <c r="K244" t="s">
        <v>46</v>
      </c>
      <c r="L244" t="s">
        <v>56</v>
      </c>
      <c r="M244" t="s">
        <v>211</v>
      </c>
      <c r="N244" t="str">
        <f t="shared" si="19"/>
        <v>Яковлев Артем ИгоревичЛебедева Ирина Романовна</v>
      </c>
      <c r="O244" t="s">
        <v>52</v>
      </c>
      <c r="P244" t="s">
        <v>364</v>
      </c>
      <c r="Q244" t="s">
        <v>394</v>
      </c>
    </row>
    <row r="245" spans="4:17" x14ac:dyDescent="0.25">
      <c r="D245" t="s">
        <v>23</v>
      </c>
      <c r="E245" t="s">
        <v>338</v>
      </c>
      <c r="F245" t="str">
        <f t="shared" si="15"/>
        <v>2024-03-25</v>
      </c>
      <c r="G245" t="str">
        <f t="shared" si="16"/>
        <v>2024-03-25</v>
      </c>
      <c r="H245">
        <f t="shared" si="17"/>
        <v>0</v>
      </c>
      <c r="J245" t="str">
        <f t="shared" si="18"/>
        <v>Иванова Анна СергеевнаПетров Сергей Викторович</v>
      </c>
      <c r="K245" t="s">
        <v>48</v>
      </c>
      <c r="L245" t="s">
        <v>98</v>
      </c>
      <c r="M245" t="s">
        <v>211</v>
      </c>
      <c r="N245" t="str">
        <f t="shared" si="19"/>
        <v>Новикова Ольга ПетровнаПетрова Елена Сергеевна</v>
      </c>
      <c r="O245" t="s">
        <v>10</v>
      </c>
      <c r="P245" t="s">
        <v>123</v>
      </c>
      <c r="Q245" t="s">
        <v>394</v>
      </c>
    </row>
    <row r="246" spans="4:17" x14ac:dyDescent="0.25">
      <c r="D246" t="s">
        <v>23</v>
      </c>
      <c r="E246" t="s">
        <v>24</v>
      </c>
      <c r="F246" t="str">
        <f t="shared" si="15"/>
        <v>2023-09-05</v>
      </c>
      <c r="G246" t="str">
        <f t="shared" si="16"/>
        <v>2023-09-05</v>
      </c>
      <c r="H246">
        <f t="shared" si="17"/>
        <v>0</v>
      </c>
      <c r="J246" t="str">
        <f t="shared" si="18"/>
        <v>Петров Владимир КирилловичСтепанова Анна Никитична</v>
      </c>
      <c r="K246" t="s">
        <v>36</v>
      </c>
      <c r="L246" t="s">
        <v>108</v>
      </c>
      <c r="M246" t="s">
        <v>211</v>
      </c>
      <c r="N246" t="str">
        <f t="shared" si="19"/>
        <v>Кузнецов Дмитрий ЛьвовичПопова Екатерина Владимировна</v>
      </c>
      <c r="O246" t="s">
        <v>23</v>
      </c>
      <c r="P246" t="s">
        <v>11</v>
      </c>
      <c r="Q246" t="s">
        <v>393</v>
      </c>
    </row>
    <row r="247" spans="4:17" x14ac:dyDescent="0.25">
      <c r="D247" t="s">
        <v>23</v>
      </c>
      <c r="E247" t="s">
        <v>198</v>
      </c>
      <c r="F247" t="str">
        <f t="shared" si="15"/>
        <v>2023-11-24</v>
      </c>
      <c r="G247" t="str">
        <f t="shared" si="16"/>
        <v>2023-11-24</v>
      </c>
      <c r="H247">
        <f t="shared" si="17"/>
        <v>0</v>
      </c>
      <c r="J247" t="str">
        <f t="shared" si="18"/>
        <v>Белов Алексей КонстантиновичСеменова Вероника Павловна</v>
      </c>
      <c r="K247" t="s">
        <v>8</v>
      </c>
      <c r="L247" t="s">
        <v>61</v>
      </c>
      <c r="M247" t="s">
        <v>211</v>
      </c>
      <c r="N247" t="str">
        <f t="shared" si="19"/>
        <v>Ткаченко Андрей ОлеговичСмирнов Дмитрий Александрович</v>
      </c>
      <c r="O247" t="s">
        <v>5</v>
      </c>
      <c r="P247" t="s">
        <v>20</v>
      </c>
      <c r="Q247" t="s">
        <v>393</v>
      </c>
    </row>
    <row r="248" spans="4:17" x14ac:dyDescent="0.25">
      <c r="D248" t="s">
        <v>23</v>
      </c>
      <c r="E248" t="s">
        <v>29</v>
      </c>
      <c r="F248" t="str">
        <f t="shared" si="15"/>
        <v>2023-11-09</v>
      </c>
      <c r="G248" t="str">
        <f t="shared" si="16"/>
        <v>2023-11-09</v>
      </c>
      <c r="H248">
        <f t="shared" si="17"/>
        <v>0</v>
      </c>
      <c r="J248" t="str">
        <f t="shared" si="18"/>
        <v>Иванова Анна СергеевнаКозлов Артур Андреевич</v>
      </c>
      <c r="K248" t="s">
        <v>48</v>
      </c>
      <c r="L248" t="s">
        <v>63</v>
      </c>
      <c r="M248" t="s">
        <v>211</v>
      </c>
      <c r="N248" t="str">
        <f t="shared" si="19"/>
        <v>Петров Владимир КирилловичФедорова Вероника Ивановна</v>
      </c>
      <c r="O248" t="s">
        <v>36</v>
      </c>
      <c r="P248" t="s">
        <v>107</v>
      </c>
      <c r="Q248" t="s">
        <v>392</v>
      </c>
    </row>
    <row r="249" spans="4:17" x14ac:dyDescent="0.25">
      <c r="D249" t="s">
        <v>23</v>
      </c>
      <c r="E249" t="s">
        <v>70</v>
      </c>
      <c r="F249" t="str">
        <f t="shared" si="15"/>
        <v>2023-09-18</v>
      </c>
      <c r="G249" t="str">
        <f t="shared" si="16"/>
        <v>2023-09-18</v>
      </c>
      <c r="H249">
        <f t="shared" si="17"/>
        <v>0</v>
      </c>
      <c r="J249" t="str">
        <f t="shared" si="18"/>
        <v>Кузнецов Дмитрий ЛьвовичСидоров Егор Кириллович</v>
      </c>
      <c r="K249" t="s">
        <v>23</v>
      </c>
      <c r="L249" t="s">
        <v>212</v>
      </c>
      <c r="M249" t="s">
        <v>211</v>
      </c>
      <c r="N249" t="str">
        <f t="shared" si="19"/>
        <v>Белов Алексей КонстантиновичВасильев Егор Владимирович</v>
      </c>
      <c r="O249" t="s">
        <v>8</v>
      </c>
      <c r="P249" t="s">
        <v>148</v>
      </c>
      <c r="Q249" t="s">
        <v>392</v>
      </c>
    </row>
    <row r="250" spans="4:17" x14ac:dyDescent="0.25">
      <c r="D250" t="s">
        <v>23</v>
      </c>
      <c r="E250" t="s">
        <v>105</v>
      </c>
      <c r="F250" t="str">
        <f t="shared" si="15"/>
        <v>2024-07-24</v>
      </c>
      <c r="G250" t="str">
        <f t="shared" si="16"/>
        <v>2024-07-24</v>
      </c>
      <c r="H250">
        <f t="shared" si="17"/>
        <v>0</v>
      </c>
      <c r="J250" t="str">
        <f t="shared" si="18"/>
        <v>Сидорова Елена ВасильевнаОрлов Кирилл Владимирович</v>
      </c>
      <c r="K250" t="s">
        <v>12</v>
      </c>
      <c r="L250" t="s">
        <v>79</v>
      </c>
      <c r="M250" t="s">
        <v>211</v>
      </c>
      <c r="N250" t="str">
        <f t="shared" si="19"/>
        <v>Орлов Павел ДенисовичВасильев Никита Викторович</v>
      </c>
      <c r="O250" t="s">
        <v>17</v>
      </c>
      <c r="P250" t="s">
        <v>47</v>
      </c>
      <c r="Q250" t="s">
        <v>392</v>
      </c>
    </row>
    <row r="251" spans="4:17" x14ac:dyDescent="0.25">
      <c r="D251" t="s">
        <v>23</v>
      </c>
      <c r="E251" t="s">
        <v>11</v>
      </c>
      <c r="F251" t="str">
        <f t="shared" si="15"/>
        <v>2024-06-06</v>
      </c>
      <c r="G251" t="str">
        <f t="shared" si="16"/>
        <v>2024-06-06</v>
      </c>
      <c r="H251">
        <f t="shared" si="17"/>
        <v>0</v>
      </c>
      <c r="J251" t="str">
        <f t="shared" si="18"/>
        <v>Орлов Павел ДенисовичПавлова Екатерина Павловна</v>
      </c>
      <c r="K251" t="s">
        <v>17</v>
      </c>
      <c r="L251" t="s">
        <v>57</v>
      </c>
      <c r="M251" t="s">
        <v>211</v>
      </c>
      <c r="N251" t="str">
        <f t="shared" si="19"/>
        <v>Ткаченко Андрей ОлеговичСмирнова София Ивановна</v>
      </c>
      <c r="O251" t="s">
        <v>5</v>
      </c>
      <c r="P251" t="s">
        <v>25</v>
      </c>
      <c r="Q251" t="s">
        <v>392</v>
      </c>
    </row>
    <row r="252" spans="4:17" x14ac:dyDescent="0.25">
      <c r="D252" t="s">
        <v>23</v>
      </c>
      <c r="E252" t="s">
        <v>316</v>
      </c>
      <c r="F252" t="str">
        <f t="shared" si="15"/>
        <v>2024-07-18</v>
      </c>
      <c r="G252" t="str">
        <f t="shared" si="16"/>
        <v>2024-07-18</v>
      </c>
      <c r="H252">
        <f t="shared" si="17"/>
        <v>0</v>
      </c>
      <c r="J252" t="str">
        <f t="shared" si="18"/>
        <v>Орлов Павел ДенисовичПопов Дмитрий Ильич</v>
      </c>
      <c r="K252" t="s">
        <v>17</v>
      </c>
      <c r="L252" t="s">
        <v>105</v>
      </c>
      <c r="M252" t="s">
        <v>211</v>
      </c>
      <c r="N252" t="str">
        <f t="shared" si="19"/>
        <v>Фролов Сергей ВикторовичПопов Михаил Александрович</v>
      </c>
      <c r="O252" t="s">
        <v>27</v>
      </c>
      <c r="P252" t="s">
        <v>271</v>
      </c>
      <c r="Q252" t="s">
        <v>392</v>
      </c>
    </row>
    <row r="253" spans="4:17" x14ac:dyDescent="0.25">
      <c r="D253" t="s">
        <v>23</v>
      </c>
      <c r="E253" t="s">
        <v>141</v>
      </c>
      <c r="F253" t="str">
        <f t="shared" si="15"/>
        <v>2024-03-06</v>
      </c>
      <c r="G253" t="str">
        <f t="shared" si="16"/>
        <v>2024-03-06</v>
      </c>
      <c r="H253">
        <f t="shared" si="17"/>
        <v>0</v>
      </c>
      <c r="J253" t="str">
        <f t="shared" si="18"/>
        <v>Яковлев Артем ИгоревичСмирнов Александр Владимирович</v>
      </c>
      <c r="K253" t="s">
        <v>52</v>
      </c>
      <c r="L253" t="s">
        <v>101</v>
      </c>
      <c r="M253" t="s">
        <v>213</v>
      </c>
      <c r="N253" t="str">
        <f t="shared" si="19"/>
        <v>Сидорова Елена ВасильевнаАлексеева Людмила Никитична</v>
      </c>
      <c r="O253" t="s">
        <v>12</v>
      </c>
      <c r="P253" t="s">
        <v>60</v>
      </c>
      <c r="Q253" t="s">
        <v>392</v>
      </c>
    </row>
    <row r="254" spans="4:17" x14ac:dyDescent="0.25">
      <c r="D254" t="s">
        <v>23</v>
      </c>
      <c r="E254" t="s">
        <v>212</v>
      </c>
      <c r="F254" t="str">
        <f t="shared" si="15"/>
        <v>2023-12-04</v>
      </c>
      <c r="G254" t="str">
        <f t="shared" si="16"/>
        <v>2023-12-04</v>
      </c>
      <c r="H254">
        <f t="shared" si="17"/>
        <v>0</v>
      </c>
      <c r="J254" t="str">
        <f t="shared" si="18"/>
        <v>Ткаченко Андрей ОлеговичПавлова Анна Михайловна</v>
      </c>
      <c r="K254" t="s">
        <v>5</v>
      </c>
      <c r="L254" t="s">
        <v>191</v>
      </c>
      <c r="M254" t="s">
        <v>213</v>
      </c>
      <c r="N254" t="str">
        <f t="shared" si="19"/>
        <v>Орлов Павел ДенисовичНиколаев Артур Никитич</v>
      </c>
      <c r="O254" t="s">
        <v>17</v>
      </c>
      <c r="P254" t="s">
        <v>129</v>
      </c>
      <c r="Q254" t="s">
        <v>391</v>
      </c>
    </row>
    <row r="255" spans="4:17" x14ac:dyDescent="0.25">
      <c r="D255" t="s">
        <v>23</v>
      </c>
      <c r="E255" t="s">
        <v>296</v>
      </c>
      <c r="F255" t="str">
        <f t="shared" si="15"/>
        <v>2024-04-19</v>
      </c>
      <c r="G255" t="str">
        <f t="shared" si="16"/>
        <v>2024-04-19</v>
      </c>
      <c r="H255">
        <f t="shared" si="17"/>
        <v>0</v>
      </c>
      <c r="J255" t="str">
        <f t="shared" si="18"/>
        <v>Иванова Анна СергеевнаНовикова Дарья Викторовна</v>
      </c>
      <c r="K255" t="s">
        <v>48</v>
      </c>
      <c r="L255" t="s">
        <v>138</v>
      </c>
      <c r="M255" t="s">
        <v>213</v>
      </c>
      <c r="N255" t="str">
        <f t="shared" si="19"/>
        <v>Кузнецов Дмитрий ЛьвовичОрлов Алексей Юрьевич</v>
      </c>
      <c r="O255" t="s">
        <v>23</v>
      </c>
      <c r="P255" t="s">
        <v>252</v>
      </c>
      <c r="Q255" t="s">
        <v>391</v>
      </c>
    </row>
    <row r="256" spans="4:17" x14ac:dyDescent="0.25">
      <c r="D256" t="s">
        <v>23</v>
      </c>
      <c r="E256" t="s">
        <v>146</v>
      </c>
      <c r="F256" t="str">
        <f t="shared" si="15"/>
        <v>2023-11-13</v>
      </c>
      <c r="G256" t="str">
        <f t="shared" si="16"/>
        <v>2024-02-23</v>
      </c>
      <c r="H256">
        <f t="shared" si="17"/>
        <v>102</v>
      </c>
      <c r="J256" t="str">
        <f t="shared" si="18"/>
        <v>Орлов Павел ДенисовичАлексеева Екатерина Станиславовна</v>
      </c>
      <c r="K256" t="s">
        <v>17</v>
      </c>
      <c r="L256" t="s">
        <v>126</v>
      </c>
      <c r="M256" t="s">
        <v>213</v>
      </c>
      <c r="N256" t="str">
        <f t="shared" si="19"/>
        <v>Семенова Ирина ВалерьевнаНиколаев Артур Никитич</v>
      </c>
      <c r="O256" t="s">
        <v>46</v>
      </c>
      <c r="P256" t="s">
        <v>129</v>
      </c>
      <c r="Q256" t="s">
        <v>391</v>
      </c>
    </row>
    <row r="257" spans="4:17" x14ac:dyDescent="0.25">
      <c r="D257" t="s">
        <v>23</v>
      </c>
      <c r="E257" t="s">
        <v>85</v>
      </c>
      <c r="F257" t="str">
        <f t="shared" si="15"/>
        <v>2024-01-31</v>
      </c>
      <c r="G257" t="str">
        <f t="shared" si="16"/>
        <v>2024-03-04</v>
      </c>
      <c r="H257">
        <f t="shared" si="17"/>
        <v>33</v>
      </c>
      <c r="J257" t="str">
        <f t="shared" si="18"/>
        <v>Яковлев Артем ИгоревичПавлова Анна Артемовна</v>
      </c>
      <c r="K257" t="s">
        <v>52</v>
      </c>
      <c r="L257" t="s">
        <v>214</v>
      </c>
      <c r="M257" t="s">
        <v>215</v>
      </c>
      <c r="N257" t="str">
        <f t="shared" si="19"/>
        <v>Громова Мария ИльиничнаОрлов Александр Романович</v>
      </c>
      <c r="O257" t="s">
        <v>15</v>
      </c>
      <c r="P257" t="s">
        <v>312</v>
      </c>
      <c r="Q257" t="s">
        <v>390</v>
      </c>
    </row>
    <row r="258" spans="4:17" x14ac:dyDescent="0.25">
      <c r="D258" t="s">
        <v>23</v>
      </c>
      <c r="E258" t="s">
        <v>28</v>
      </c>
      <c r="F258" t="str">
        <f t="shared" si="15"/>
        <v>2023-12-25</v>
      </c>
      <c r="G258" t="str">
        <f t="shared" si="16"/>
        <v>2023-12-25</v>
      </c>
      <c r="H258">
        <f t="shared" si="17"/>
        <v>0</v>
      </c>
      <c r="J258" t="str">
        <f t="shared" si="18"/>
        <v>Кузнецов Дмитрий ЛьвовичВасильева Алиса Дмитриевна</v>
      </c>
      <c r="K258" t="s">
        <v>23</v>
      </c>
      <c r="L258" t="s">
        <v>216</v>
      </c>
      <c r="M258" t="s">
        <v>215</v>
      </c>
      <c r="N258" t="str">
        <f t="shared" si="19"/>
        <v>Орлов Павел ДенисовичСмирнов Александр Владимирович</v>
      </c>
      <c r="O258" t="s">
        <v>17</v>
      </c>
      <c r="P258" t="s">
        <v>101</v>
      </c>
      <c r="Q258" t="s">
        <v>390</v>
      </c>
    </row>
    <row r="259" spans="4:17" x14ac:dyDescent="0.25">
      <c r="D259" t="s">
        <v>23</v>
      </c>
      <c r="E259" t="s">
        <v>25</v>
      </c>
      <c r="F259" t="str">
        <f t="shared" ref="F259:F322" si="20">VLOOKUP(D259&amp;E259,J:M,4,0)</f>
        <v>2024-06-21</v>
      </c>
      <c r="G259" t="str">
        <f t="shared" ref="G259:G322" si="21">VLOOKUP(D259&amp;E259,N:Q,4,0)</f>
        <v>2024-06-21</v>
      </c>
      <c r="H259">
        <f t="shared" ref="H259:H322" si="22">G259-F259</f>
        <v>0</v>
      </c>
      <c r="J259" t="str">
        <f t="shared" ref="J259:J322" si="23">K259&amp;L259</f>
        <v>Громова Мария ИльиничнаСидорова Вероника Павловна</v>
      </c>
      <c r="K259" t="s">
        <v>15</v>
      </c>
      <c r="L259" t="s">
        <v>163</v>
      </c>
      <c r="M259" t="s">
        <v>215</v>
      </c>
      <c r="N259" t="str">
        <f t="shared" ref="N259:N322" si="24">O259&amp;P259</f>
        <v>Громова Мария ИльиничнаВасильева Татьяна Геннадьевна</v>
      </c>
      <c r="O259" t="s">
        <v>15</v>
      </c>
      <c r="P259" t="s">
        <v>37</v>
      </c>
      <c r="Q259" t="s">
        <v>389</v>
      </c>
    </row>
    <row r="260" spans="4:17" x14ac:dyDescent="0.25">
      <c r="D260" t="s">
        <v>23</v>
      </c>
      <c r="E260" t="s">
        <v>97</v>
      </c>
      <c r="F260" t="str">
        <f t="shared" si="20"/>
        <v>2024-01-19</v>
      </c>
      <c r="G260" t="str">
        <f t="shared" si="21"/>
        <v>2024-01-19</v>
      </c>
      <c r="H260">
        <f t="shared" si="22"/>
        <v>0</v>
      </c>
      <c r="J260" t="str">
        <f t="shared" si="23"/>
        <v>Ткаченко Андрей ОлеговичНиколаев Егор Станиславович</v>
      </c>
      <c r="K260" t="s">
        <v>5</v>
      </c>
      <c r="L260" t="s">
        <v>175</v>
      </c>
      <c r="M260" t="s">
        <v>215</v>
      </c>
      <c r="N260" t="str">
        <f t="shared" si="24"/>
        <v>Белов Алексей КонстантиновичВасильева Наталья Никитична</v>
      </c>
      <c r="O260" t="s">
        <v>8</v>
      </c>
      <c r="P260" t="s">
        <v>116</v>
      </c>
      <c r="Q260" t="s">
        <v>389</v>
      </c>
    </row>
    <row r="261" spans="4:17" x14ac:dyDescent="0.25">
      <c r="D261" t="s">
        <v>23</v>
      </c>
      <c r="E261" t="s">
        <v>68</v>
      </c>
      <c r="F261" t="str">
        <f t="shared" si="20"/>
        <v>2023-11-29</v>
      </c>
      <c r="G261" t="str">
        <f t="shared" si="21"/>
        <v>2023-12-25</v>
      </c>
      <c r="H261">
        <f t="shared" si="22"/>
        <v>26</v>
      </c>
      <c r="J261" t="str">
        <f t="shared" si="23"/>
        <v>Семенова Ирина ВалерьевнаВасильева Наталья Никитична</v>
      </c>
      <c r="K261" t="s">
        <v>46</v>
      </c>
      <c r="L261" t="s">
        <v>116</v>
      </c>
      <c r="M261" t="s">
        <v>217</v>
      </c>
      <c r="N261" t="str">
        <f t="shared" si="24"/>
        <v>Белов Алексей КонстантиновичНиколаев Артур Никитич</v>
      </c>
      <c r="O261" t="s">
        <v>8</v>
      </c>
      <c r="P261" t="s">
        <v>129</v>
      </c>
      <c r="Q261" t="s">
        <v>388</v>
      </c>
    </row>
    <row r="262" spans="4:17" x14ac:dyDescent="0.25">
      <c r="D262" t="s">
        <v>23</v>
      </c>
      <c r="E262" t="s">
        <v>108</v>
      </c>
      <c r="F262" t="str">
        <f t="shared" si="20"/>
        <v>2023-10-02</v>
      </c>
      <c r="G262" t="str">
        <f t="shared" si="21"/>
        <v>2023-10-02</v>
      </c>
      <c r="H262">
        <f t="shared" si="22"/>
        <v>0</v>
      </c>
      <c r="J262" t="str">
        <f t="shared" si="23"/>
        <v>Громова Мария ИльиничнаМорозов Сергей Олегович</v>
      </c>
      <c r="K262" t="s">
        <v>15</v>
      </c>
      <c r="L262" t="s">
        <v>150</v>
      </c>
      <c r="M262" t="s">
        <v>217</v>
      </c>
      <c r="N262" t="str">
        <f t="shared" si="24"/>
        <v>Новикова Ольга ПетровнаМорозова София Артемовна</v>
      </c>
      <c r="O262" t="s">
        <v>10</v>
      </c>
      <c r="P262" t="s">
        <v>140</v>
      </c>
      <c r="Q262" t="s">
        <v>388</v>
      </c>
    </row>
    <row r="263" spans="4:17" x14ac:dyDescent="0.25">
      <c r="D263" t="s">
        <v>23</v>
      </c>
      <c r="E263" t="s">
        <v>172</v>
      </c>
      <c r="F263" t="str">
        <f t="shared" si="20"/>
        <v>2023-11-06</v>
      </c>
      <c r="G263" t="str">
        <f t="shared" si="21"/>
        <v>2023-11-06</v>
      </c>
      <c r="H263">
        <f t="shared" si="22"/>
        <v>0</v>
      </c>
      <c r="J263" t="str">
        <f t="shared" si="23"/>
        <v>Семенова Ирина ВалерьевнаСтепанов Александр Юрьевич</v>
      </c>
      <c r="K263" t="s">
        <v>46</v>
      </c>
      <c r="L263" t="s">
        <v>97</v>
      </c>
      <c r="M263" t="s">
        <v>218</v>
      </c>
      <c r="N263" t="str">
        <f t="shared" si="24"/>
        <v>Кузнецов Дмитрий ЛьвовичАлексеева Виктория Александровна</v>
      </c>
      <c r="O263" t="s">
        <v>23</v>
      </c>
      <c r="P263" t="s">
        <v>195</v>
      </c>
      <c r="Q263" t="s">
        <v>388</v>
      </c>
    </row>
    <row r="264" spans="4:17" x14ac:dyDescent="0.25">
      <c r="D264" t="s">
        <v>23</v>
      </c>
      <c r="E264" t="s">
        <v>31</v>
      </c>
      <c r="F264" t="str">
        <f t="shared" si="20"/>
        <v>2024-03-12</v>
      </c>
      <c r="G264" t="str">
        <f t="shared" si="21"/>
        <v>2024-03-12</v>
      </c>
      <c r="H264">
        <f t="shared" si="22"/>
        <v>0</v>
      </c>
      <c r="J264" t="str">
        <f t="shared" si="23"/>
        <v>Яковлев Артем ИгоревичСмирнов Александр Владимирович</v>
      </c>
      <c r="K264" t="s">
        <v>52</v>
      </c>
      <c r="L264" t="s">
        <v>101</v>
      </c>
      <c r="M264" t="s">
        <v>218</v>
      </c>
      <c r="N264" t="str">
        <f t="shared" si="24"/>
        <v>Семенова Ирина ВалерьевнаКозлов Дмитрий Викторович</v>
      </c>
      <c r="O264" t="s">
        <v>46</v>
      </c>
      <c r="P264" t="s">
        <v>35</v>
      </c>
      <c r="Q264" t="s">
        <v>387</v>
      </c>
    </row>
    <row r="265" spans="4:17" x14ac:dyDescent="0.25">
      <c r="D265" t="s">
        <v>23</v>
      </c>
      <c r="E265" t="s">
        <v>244</v>
      </c>
      <c r="F265" t="str">
        <f t="shared" si="20"/>
        <v>2023-12-28</v>
      </c>
      <c r="G265" t="str">
        <f t="shared" si="21"/>
        <v>2024-08-29</v>
      </c>
      <c r="H265">
        <f t="shared" si="22"/>
        <v>245</v>
      </c>
      <c r="J265" t="str">
        <f t="shared" si="23"/>
        <v>Ткаченко Андрей ОлеговичПавлова Светлана Кирилловна</v>
      </c>
      <c r="K265" t="s">
        <v>5</v>
      </c>
      <c r="L265" t="s">
        <v>219</v>
      </c>
      <c r="M265" t="s">
        <v>220</v>
      </c>
      <c r="N265" t="str">
        <f t="shared" si="24"/>
        <v>Новикова Ольга ПетровнаАлексеева Виктория Александровна</v>
      </c>
      <c r="O265" t="s">
        <v>10</v>
      </c>
      <c r="P265" t="s">
        <v>195</v>
      </c>
      <c r="Q265" t="s">
        <v>386</v>
      </c>
    </row>
    <row r="266" spans="4:17" x14ac:dyDescent="0.25">
      <c r="D266" t="s">
        <v>10</v>
      </c>
      <c r="E266" t="s">
        <v>64</v>
      </c>
      <c r="F266" t="str">
        <f t="shared" si="20"/>
        <v>2024-04-08</v>
      </c>
      <c r="G266" t="str">
        <f t="shared" si="21"/>
        <v>2024-07-08</v>
      </c>
      <c r="H266">
        <f t="shared" si="22"/>
        <v>91</v>
      </c>
      <c r="J266" t="str">
        <f t="shared" si="23"/>
        <v>Ткаченко Андрей ОлеговичНиколаев Артур Никитич</v>
      </c>
      <c r="K266" t="s">
        <v>5</v>
      </c>
      <c r="L266" t="s">
        <v>129</v>
      </c>
      <c r="M266" t="s">
        <v>220</v>
      </c>
      <c r="N266" t="str">
        <f t="shared" si="24"/>
        <v>Семенова Ирина ВалерьевнаСеменова Вероника Павловна</v>
      </c>
      <c r="O266" t="s">
        <v>46</v>
      </c>
      <c r="P266" t="s">
        <v>61</v>
      </c>
      <c r="Q266" t="s">
        <v>386</v>
      </c>
    </row>
    <row r="267" spans="4:17" x14ac:dyDescent="0.25">
      <c r="D267" t="s">
        <v>10</v>
      </c>
      <c r="E267" t="s">
        <v>195</v>
      </c>
      <c r="F267" t="str">
        <f t="shared" si="20"/>
        <v>2023-11-23</v>
      </c>
      <c r="G267" t="str">
        <f t="shared" si="21"/>
        <v>2024-05-28</v>
      </c>
      <c r="H267">
        <f t="shared" si="22"/>
        <v>187</v>
      </c>
      <c r="J267" t="str">
        <f t="shared" si="23"/>
        <v>Кузнецов Дмитрий ЛьвовичВасильева Алиса Дмитриевна</v>
      </c>
      <c r="K267" t="s">
        <v>23</v>
      </c>
      <c r="L267" t="s">
        <v>216</v>
      </c>
      <c r="M267" t="s">
        <v>220</v>
      </c>
      <c r="N267" t="str">
        <f t="shared" si="24"/>
        <v>Кузнецов Дмитрий ЛьвовичАлексеева Людмила Никитична</v>
      </c>
      <c r="O267" t="s">
        <v>23</v>
      </c>
      <c r="P267" t="s">
        <v>60</v>
      </c>
      <c r="Q267" t="s">
        <v>386</v>
      </c>
    </row>
    <row r="268" spans="4:17" x14ac:dyDescent="0.25">
      <c r="D268" t="s">
        <v>10</v>
      </c>
      <c r="E268" t="s">
        <v>184</v>
      </c>
      <c r="F268" t="str">
        <f t="shared" si="20"/>
        <v>2024-07-15</v>
      </c>
      <c r="G268" t="str">
        <f t="shared" si="21"/>
        <v>2024-07-15</v>
      </c>
      <c r="H268">
        <f t="shared" si="22"/>
        <v>0</v>
      </c>
      <c r="J268" t="str">
        <f t="shared" si="23"/>
        <v>Громова Мария ИльиничнаОрлова Александра Викторовна</v>
      </c>
      <c r="K268" t="s">
        <v>15</v>
      </c>
      <c r="L268" t="s">
        <v>34</v>
      </c>
      <c r="M268" t="s">
        <v>220</v>
      </c>
      <c r="N268" t="str">
        <f t="shared" si="24"/>
        <v>Новикова Ольга ПетровнаПопова Светлана Владимировна</v>
      </c>
      <c r="O268" t="s">
        <v>10</v>
      </c>
      <c r="P268" t="s">
        <v>316</v>
      </c>
      <c r="Q268" t="s">
        <v>385</v>
      </c>
    </row>
    <row r="269" spans="4:17" x14ac:dyDescent="0.25">
      <c r="D269" t="s">
        <v>10</v>
      </c>
      <c r="E269" t="s">
        <v>60</v>
      </c>
      <c r="F269" t="str">
        <f t="shared" si="20"/>
        <v>2023-09-15</v>
      </c>
      <c r="G269" t="str">
        <f t="shared" si="21"/>
        <v>2024-05-27</v>
      </c>
      <c r="H269">
        <f t="shared" si="22"/>
        <v>255</v>
      </c>
      <c r="J269" t="str">
        <f t="shared" si="23"/>
        <v>Громова Мария ИльиничнаКузнецова София Сергеевна</v>
      </c>
      <c r="K269" t="s">
        <v>15</v>
      </c>
      <c r="L269" t="s">
        <v>86</v>
      </c>
      <c r="M269" t="s">
        <v>221</v>
      </c>
      <c r="N269" t="str">
        <f t="shared" si="24"/>
        <v>Ткаченко Андрей ОлеговичПетров Сергей Викторович</v>
      </c>
      <c r="O269" t="s">
        <v>5</v>
      </c>
      <c r="P269" t="s">
        <v>98</v>
      </c>
      <c r="Q269" t="s">
        <v>385</v>
      </c>
    </row>
    <row r="270" spans="4:17" x14ac:dyDescent="0.25">
      <c r="D270" t="s">
        <v>10</v>
      </c>
      <c r="E270" t="s">
        <v>77</v>
      </c>
      <c r="F270" t="str">
        <f t="shared" si="20"/>
        <v>2024-03-25</v>
      </c>
      <c r="G270" t="str">
        <f t="shared" si="21"/>
        <v>2024-03-25</v>
      </c>
      <c r="H270">
        <f t="shared" si="22"/>
        <v>0</v>
      </c>
      <c r="J270" t="str">
        <f t="shared" si="23"/>
        <v>Орлов Павел ДенисовичПетрова София Алексеевна</v>
      </c>
      <c r="K270" t="s">
        <v>17</v>
      </c>
      <c r="L270" t="s">
        <v>59</v>
      </c>
      <c r="M270" t="s">
        <v>221</v>
      </c>
      <c r="N270" t="str">
        <f t="shared" si="24"/>
        <v>Новикова Ольга ПетровнаАлексеева Людмила Никитична</v>
      </c>
      <c r="O270" t="s">
        <v>10</v>
      </c>
      <c r="P270" t="s">
        <v>60</v>
      </c>
      <c r="Q270" t="s">
        <v>385</v>
      </c>
    </row>
    <row r="271" spans="4:17" x14ac:dyDescent="0.25">
      <c r="D271" t="s">
        <v>10</v>
      </c>
      <c r="E271" t="s">
        <v>243</v>
      </c>
      <c r="F271" t="str">
        <f t="shared" si="20"/>
        <v>2024-04-29</v>
      </c>
      <c r="G271" t="str">
        <f t="shared" si="21"/>
        <v>2024-04-29</v>
      </c>
      <c r="H271">
        <f t="shared" si="22"/>
        <v>0</v>
      </c>
      <c r="J271" t="str">
        <f t="shared" si="23"/>
        <v>Иванова Анна СергеевнаВасильев Артур Дмитриевич</v>
      </c>
      <c r="K271" t="s">
        <v>48</v>
      </c>
      <c r="L271" t="s">
        <v>77</v>
      </c>
      <c r="M271" t="s">
        <v>221</v>
      </c>
      <c r="N271" t="str">
        <f t="shared" si="24"/>
        <v>Яковлев Артем ИгоревичИванова Александра Никитична</v>
      </c>
      <c r="O271" t="s">
        <v>52</v>
      </c>
      <c r="P271" t="s">
        <v>264</v>
      </c>
      <c r="Q271" t="s">
        <v>385</v>
      </c>
    </row>
    <row r="272" spans="4:17" x14ac:dyDescent="0.25">
      <c r="D272" t="s">
        <v>10</v>
      </c>
      <c r="E272" t="s">
        <v>148</v>
      </c>
      <c r="F272" t="str">
        <f t="shared" si="20"/>
        <v>2024-08-12</v>
      </c>
      <c r="G272" t="str">
        <f t="shared" si="21"/>
        <v>2024-08-12</v>
      </c>
      <c r="H272">
        <f t="shared" si="22"/>
        <v>0</v>
      </c>
      <c r="J272" t="str">
        <f t="shared" si="23"/>
        <v>Петров Владимир КирилловичВасильев Никита Викторович</v>
      </c>
      <c r="K272" t="s">
        <v>36</v>
      </c>
      <c r="L272" t="s">
        <v>47</v>
      </c>
      <c r="M272" t="s">
        <v>222</v>
      </c>
      <c r="N272" t="str">
        <f t="shared" si="24"/>
        <v>Орлов Павел ДенисовичИванова Александра Никитична</v>
      </c>
      <c r="O272" t="s">
        <v>17</v>
      </c>
      <c r="P272" t="s">
        <v>264</v>
      </c>
      <c r="Q272" t="s">
        <v>385</v>
      </c>
    </row>
    <row r="273" spans="4:17" x14ac:dyDescent="0.25">
      <c r="D273" t="s">
        <v>10</v>
      </c>
      <c r="E273" t="s">
        <v>95</v>
      </c>
      <c r="F273" t="str">
        <f t="shared" si="20"/>
        <v>2023-11-21</v>
      </c>
      <c r="G273" t="str">
        <f t="shared" si="21"/>
        <v>2023-11-21</v>
      </c>
      <c r="H273">
        <f t="shared" si="22"/>
        <v>0</v>
      </c>
      <c r="J273" t="str">
        <f t="shared" si="23"/>
        <v>Петров Владимир КирилловичЛебедева Полина Артемовна</v>
      </c>
      <c r="K273" t="s">
        <v>36</v>
      </c>
      <c r="L273" t="s">
        <v>38</v>
      </c>
      <c r="M273" t="s">
        <v>222</v>
      </c>
      <c r="N273" t="str">
        <f t="shared" si="24"/>
        <v>Сидорова Елена ВасильевнаКозлов Сергей Ильич</v>
      </c>
      <c r="O273" t="s">
        <v>12</v>
      </c>
      <c r="P273" t="s">
        <v>350</v>
      </c>
      <c r="Q273" t="s">
        <v>384</v>
      </c>
    </row>
    <row r="274" spans="4:17" x14ac:dyDescent="0.25">
      <c r="D274" t="s">
        <v>10</v>
      </c>
      <c r="E274" t="s">
        <v>47</v>
      </c>
      <c r="F274" t="str">
        <f t="shared" si="20"/>
        <v>2024-04-30</v>
      </c>
      <c r="G274" t="str">
        <f t="shared" si="21"/>
        <v>2024-04-30</v>
      </c>
      <c r="H274">
        <f t="shared" si="22"/>
        <v>0</v>
      </c>
      <c r="J274" t="str">
        <f t="shared" si="23"/>
        <v>Ткаченко Андрей ОлеговичПавлов Артур Романович</v>
      </c>
      <c r="K274" t="s">
        <v>5</v>
      </c>
      <c r="L274" t="s">
        <v>223</v>
      </c>
      <c r="M274" t="s">
        <v>222</v>
      </c>
      <c r="N274" t="str">
        <f t="shared" si="24"/>
        <v>Иванова Анна СергеевнаМорозова Светлана Михайловна</v>
      </c>
      <c r="O274" t="s">
        <v>48</v>
      </c>
      <c r="P274" t="s">
        <v>200</v>
      </c>
      <c r="Q274" t="s">
        <v>384</v>
      </c>
    </row>
    <row r="275" spans="4:17" x14ac:dyDescent="0.25">
      <c r="D275" t="s">
        <v>10</v>
      </c>
      <c r="E275" t="s">
        <v>84</v>
      </c>
      <c r="F275" t="str">
        <f t="shared" si="20"/>
        <v>2024-07-09</v>
      </c>
      <c r="G275" t="str">
        <f t="shared" si="21"/>
        <v>2024-07-26</v>
      </c>
      <c r="H275">
        <f t="shared" si="22"/>
        <v>17</v>
      </c>
      <c r="J275" t="str">
        <f t="shared" si="23"/>
        <v>Новикова Ольга ПетровнаПетрова Елена Сергеевна</v>
      </c>
      <c r="K275" t="s">
        <v>10</v>
      </c>
      <c r="L275" t="s">
        <v>123</v>
      </c>
      <c r="M275" t="s">
        <v>224</v>
      </c>
      <c r="N275" t="str">
        <f t="shared" si="24"/>
        <v>Иванова Анна СергеевнаСеменов Алексей Сергеевич</v>
      </c>
      <c r="O275" t="s">
        <v>48</v>
      </c>
      <c r="P275" t="s">
        <v>280</v>
      </c>
      <c r="Q275" t="s">
        <v>384</v>
      </c>
    </row>
    <row r="276" spans="4:17" x14ac:dyDescent="0.25">
      <c r="D276" t="s">
        <v>10</v>
      </c>
      <c r="E276" t="s">
        <v>75</v>
      </c>
      <c r="F276" t="str">
        <f t="shared" si="20"/>
        <v>2023-10-09</v>
      </c>
      <c r="G276" t="str">
        <f t="shared" si="21"/>
        <v>2023-10-09</v>
      </c>
      <c r="H276">
        <f t="shared" si="22"/>
        <v>0</v>
      </c>
      <c r="J276" t="str">
        <f t="shared" si="23"/>
        <v>Кузнецов Дмитрий ЛьвовичВасильев Никита Викторович</v>
      </c>
      <c r="K276" t="s">
        <v>23</v>
      </c>
      <c r="L276" t="s">
        <v>47</v>
      </c>
      <c r="M276" t="s">
        <v>224</v>
      </c>
      <c r="N276" t="str">
        <f t="shared" si="24"/>
        <v>Иванова Анна СергеевнаНиколаева Вероника Юрьевна</v>
      </c>
      <c r="O276" t="s">
        <v>48</v>
      </c>
      <c r="P276" t="s">
        <v>202</v>
      </c>
      <c r="Q276" t="s">
        <v>384</v>
      </c>
    </row>
    <row r="277" spans="4:17" x14ac:dyDescent="0.25">
      <c r="D277" t="s">
        <v>10</v>
      </c>
      <c r="E277" t="s">
        <v>40</v>
      </c>
      <c r="F277" t="str">
        <f t="shared" si="20"/>
        <v>2023-09-08</v>
      </c>
      <c r="G277" t="str">
        <f t="shared" si="21"/>
        <v>2023-09-08</v>
      </c>
      <c r="H277">
        <f t="shared" si="22"/>
        <v>0</v>
      </c>
      <c r="J277" t="str">
        <f t="shared" si="23"/>
        <v>Ткаченко Андрей ОлеговичПетрова Полина Дмитриевна</v>
      </c>
      <c r="K277" t="s">
        <v>5</v>
      </c>
      <c r="L277" t="s">
        <v>109</v>
      </c>
      <c r="M277" t="s">
        <v>224</v>
      </c>
      <c r="N277" t="str">
        <f t="shared" si="24"/>
        <v>Новикова Ольга ПетровнаПетров Максим Александрович</v>
      </c>
      <c r="O277" t="s">
        <v>10</v>
      </c>
      <c r="P277" t="s">
        <v>171</v>
      </c>
      <c r="Q277" t="s">
        <v>384</v>
      </c>
    </row>
    <row r="278" spans="4:17" x14ac:dyDescent="0.25">
      <c r="D278" t="s">
        <v>10</v>
      </c>
      <c r="E278" t="s">
        <v>22</v>
      </c>
      <c r="F278" t="str">
        <f t="shared" si="20"/>
        <v>2023-09-05</v>
      </c>
      <c r="G278" t="str">
        <f t="shared" si="21"/>
        <v>2023-09-05</v>
      </c>
      <c r="H278">
        <f t="shared" si="22"/>
        <v>0</v>
      </c>
      <c r="J278" t="str">
        <f t="shared" si="23"/>
        <v>Ткаченко Андрей ОлеговичЕгоров Георгий Никитич</v>
      </c>
      <c r="K278" t="s">
        <v>5</v>
      </c>
      <c r="L278" t="s">
        <v>39</v>
      </c>
      <c r="M278" t="s">
        <v>225</v>
      </c>
      <c r="N278" t="str">
        <f t="shared" si="24"/>
        <v>Петров Владимир КирилловичЛебедев Иван Юрьевич</v>
      </c>
      <c r="O278" t="s">
        <v>36</v>
      </c>
      <c r="P278" t="s">
        <v>237</v>
      </c>
      <c r="Q278" t="s">
        <v>383</v>
      </c>
    </row>
    <row r="279" spans="4:17" x14ac:dyDescent="0.25">
      <c r="D279" t="s">
        <v>10</v>
      </c>
      <c r="E279" t="s">
        <v>39</v>
      </c>
      <c r="F279" t="str">
        <f t="shared" si="20"/>
        <v>2023-11-27</v>
      </c>
      <c r="G279" t="str">
        <f t="shared" si="21"/>
        <v>2023-11-27</v>
      </c>
      <c r="H279">
        <f t="shared" si="22"/>
        <v>0</v>
      </c>
      <c r="J279" t="str">
        <f t="shared" si="23"/>
        <v>Ткаченко Андрей ОлеговичМорозов Андрей Иванович</v>
      </c>
      <c r="K279" t="s">
        <v>5</v>
      </c>
      <c r="L279" t="s">
        <v>90</v>
      </c>
      <c r="M279" t="s">
        <v>226</v>
      </c>
      <c r="N279" t="str">
        <f t="shared" si="24"/>
        <v>Сидорова Елена ВасильевнаСидоров Михаил Артемович</v>
      </c>
      <c r="O279" t="s">
        <v>12</v>
      </c>
      <c r="P279" t="s">
        <v>185</v>
      </c>
      <c r="Q279" t="s">
        <v>383</v>
      </c>
    </row>
    <row r="280" spans="4:17" x14ac:dyDescent="0.25">
      <c r="D280" t="s">
        <v>10</v>
      </c>
      <c r="E280" t="s">
        <v>130</v>
      </c>
      <c r="F280" t="str">
        <f t="shared" si="20"/>
        <v>2023-10-11</v>
      </c>
      <c r="G280" t="str">
        <f t="shared" si="21"/>
        <v>2023-10-11</v>
      </c>
      <c r="H280">
        <f t="shared" si="22"/>
        <v>0</v>
      </c>
      <c r="J280" t="str">
        <f t="shared" si="23"/>
        <v>Кузнецов Дмитрий ЛьвовичОрлов Кирилл Владимирович</v>
      </c>
      <c r="K280" t="s">
        <v>23</v>
      </c>
      <c r="L280" t="s">
        <v>79</v>
      </c>
      <c r="M280" t="s">
        <v>226</v>
      </c>
      <c r="N280" t="str">
        <f t="shared" si="24"/>
        <v>Кузнецов Дмитрий ЛьвовичНовикова Дарья Викторовна</v>
      </c>
      <c r="O280" t="s">
        <v>23</v>
      </c>
      <c r="P280" t="s">
        <v>138</v>
      </c>
      <c r="Q280" t="s">
        <v>382</v>
      </c>
    </row>
    <row r="281" spans="4:17" x14ac:dyDescent="0.25">
      <c r="D281" t="s">
        <v>10</v>
      </c>
      <c r="E281" t="s">
        <v>229</v>
      </c>
      <c r="F281" t="str">
        <f t="shared" si="20"/>
        <v>2023-12-18</v>
      </c>
      <c r="G281" t="str">
        <f t="shared" si="21"/>
        <v>2023-12-18</v>
      </c>
      <c r="H281">
        <f t="shared" si="22"/>
        <v>0</v>
      </c>
      <c r="J281" t="str">
        <f t="shared" si="23"/>
        <v>Кузнецов Дмитрий ЛьвовичИванов Роман Никитич</v>
      </c>
      <c r="K281" t="s">
        <v>23</v>
      </c>
      <c r="L281" t="s">
        <v>227</v>
      </c>
      <c r="M281" t="s">
        <v>226</v>
      </c>
      <c r="N281" t="str">
        <f t="shared" si="24"/>
        <v>Яковлев Артем ИгоревичСтепанов Никита Михайлович</v>
      </c>
      <c r="O281" t="s">
        <v>52</v>
      </c>
      <c r="P281" t="s">
        <v>68</v>
      </c>
      <c r="Q281" t="s">
        <v>382</v>
      </c>
    </row>
    <row r="282" spans="4:17" x14ac:dyDescent="0.25">
      <c r="D282" t="s">
        <v>10</v>
      </c>
      <c r="E282" t="s">
        <v>227</v>
      </c>
      <c r="F282" t="str">
        <f t="shared" si="20"/>
        <v>2024-03-05</v>
      </c>
      <c r="G282" t="str">
        <f t="shared" si="21"/>
        <v>2024-03-05</v>
      </c>
      <c r="H282">
        <f t="shared" si="22"/>
        <v>0</v>
      </c>
      <c r="J282" t="str">
        <f t="shared" si="23"/>
        <v>Белов Алексей КонстантиновичСмирнова София Ивановна</v>
      </c>
      <c r="K282" t="s">
        <v>8</v>
      </c>
      <c r="L282" t="s">
        <v>25</v>
      </c>
      <c r="M282" t="s">
        <v>226</v>
      </c>
      <c r="N282" t="str">
        <f t="shared" si="24"/>
        <v>Петров Владимир КирилловичПопов Владимир Артемович</v>
      </c>
      <c r="O282" t="s">
        <v>36</v>
      </c>
      <c r="P282" t="s">
        <v>203</v>
      </c>
      <c r="Q282" t="s">
        <v>382</v>
      </c>
    </row>
    <row r="283" spans="4:17" x14ac:dyDescent="0.25">
      <c r="D283" t="s">
        <v>10</v>
      </c>
      <c r="E283" t="s">
        <v>281</v>
      </c>
      <c r="F283" t="str">
        <f t="shared" si="20"/>
        <v>2024-06-18</v>
      </c>
      <c r="G283" t="str">
        <f t="shared" si="21"/>
        <v>2024-08-26</v>
      </c>
      <c r="H283">
        <f t="shared" si="22"/>
        <v>69</v>
      </c>
      <c r="J283" t="str">
        <f t="shared" si="23"/>
        <v>Семенова Ирина ВалерьевнаПетров Алексей Артемович</v>
      </c>
      <c r="K283" t="s">
        <v>46</v>
      </c>
      <c r="L283" t="s">
        <v>151</v>
      </c>
      <c r="M283" t="s">
        <v>226</v>
      </c>
      <c r="N283" t="str">
        <f t="shared" si="24"/>
        <v>Белов Алексей КонстантиновичАлексеева Виктория Александровна</v>
      </c>
      <c r="O283" t="s">
        <v>8</v>
      </c>
      <c r="P283" t="s">
        <v>195</v>
      </c>
      <c r="Q283" t="s">
        <v>381</v>
      </c>
    </row>
    <row r="284" spans="4:17" x14ac:dyDescent="0.25">
      <c r="D284" t="s">
        <v>10</v>
      </c>
      <c r="E284" t="s">
        <v>122</v>
      </c>
      <c r="F284" t="str">
        <f t="shared" si="20"/>
        <v>2023-10-09</v>
      </c>
      <c r="G284" t="str">
        <f t="shared" si="21"/>
        <v>2023-10-09</v>
      </c>
      <c r="H284">
        <f t="shared" si="22"/>
        <v>0</v>
      </c>
      <c r="J284" t="str">
        <f t="shared" si="23"/>
        <v>Иванова Анна СергеевнаВасильева Наталья Никитична</v>
      </c>
      <c r="K284" t="s">
        <v>48</v>
      </c>
      <c r="L284" t="s">
        <v>116</v>
      </c>
      <c r="M284" t="s">
        <v>226</v>
      </c>
      <c r="N284" t="str">
        <f t="shared" si="24"/>
        <v>Петров Владимир КирилловичВасильева Наталья Никитична</v>
      </c>
      <c r="O284" t="s">
        <v>36</v>
      </c>
      <c r="P284" t="s">
        <v>116</v>
      </c>
      <c r="Q284" t="s">
        <v>381</v>
      </c>
    </row>
    <row r="285" spans="4:17" x14ac:dyDescent="0.25">
      <c r="D285" t="s">
        <v>10</v>
      </c>
      <c r="E285" t="s">
        <v>166</v>
      </c>
      <c r="F285" t="str">
        <f t="shared" si="20"/>
        <v>2023-11-03</v>
      </c>
      <c r="G285" t="str">
        <f t="shared" si="21"/>
        <v>2023-11-03</v>
      </c>
      <c r="H285">
        <f t="shared" si="22"/>
        <v>0</v>
      </c>
      <c r="J285" t="str">
        <f t="shared" si="23"/>
        <v>Сидорова Елена ВасильевнаКузнецов Алексей Михайлович</v>
      </c>
      <c r="K285" t="s">
        <v>12</v>
      </c>
      <c r="L285" t="s">
        <v>228</v>
      </c>
      <c r="M285" t="s">
        <v>226</v>
      </c>
      <c r="N285" t="str">
        <f t="shared" si="24"/>
        <v>Кузнецов Дмитрий ЛьвовичНиколаева Ирина Владимировна</v>
      </c>
      <c r="O285" t="s">
        <v>23</v>
      </c>
      <c r="P285" t="s">
        <v>66</v>
      </c>
      <c r="Q285" t="s">
        <v>381</v>
      </c>
    </row>
    <row r="286" spans="4:17" x14ac:dyDescent="0.25">
      <c r="D286" t="s">
        <v>10</v>
      </c>
      <c r="E286" t="s">
        <v>320</v>
      </c>
      <c r="F286" t="str">
        <f t="shared" si="20"/>
        <v>2024-04-22</v>
      </c>
      <c r="G286" t="str">
        <f t="shared" si="21"/>
        <v>2024-04-22</v>
      </c>
      <c r="H286">
        <f t="shared" si="22"/>
        <v>0</v>
      </c>
      <c r="J286" t="str">
        <f t="shared" si="23"/>
        <v>Новикова Ольга ПетровнаИванов Андрей Михайлович</v>
      </c>
      <c r="K286" t="s">
        <v>10</v>
      </c>
      <c r="L286" t="s">
        <v>229</v>
      </c>
      <c r="M286" t="s">
        <v>226</v>
      </c>
      <c r="N286" t="str">
        <f t="shared" si="24"/>
        <v>Ткаченко Андрей ОлеговичФедоров Александр Дмитриевич</v>
      </c>
      <c r="O286" t="s">
        <v>5</v>
      </c>
      <c r="P286" t="s">
        <v>136</v>
      </c>
      <c r="Q286" t="s">
        <v>381</v>
      </c>
    </row>
    <row r="287" spans="4:17" x14ac:dyDescent="0.25">
      <c r="D287" t="s">
        <v>10</v>
      </c>
      <c r="E287" t="s">
        <v>71</v>
      </c>
      <c r="F287" t="str">
        <f t="shared" si="20"/>
        <v>2024-03-04</v>
      </c>
      <c r="G287" t="str">
        <f t="shared" si="21"/>
        <v>2024-03-04</v>
      </c>
      <c r="H287">
        <f t="shared" si="22"/>
        <v>0</v>
      </c>
      <c r="J287" t="str">
        <f t="shared" si="23"/>
        <v>Фролов Сергей ВикторовичОрлов Максим Егорович</v>
      </c>
      <c r="K287" t="s">
        <v>27</v>
      </c>
      <c r="L287" t="s">
        <v>87</v>
      </c>
      <c r="M287" t="s">
        <v>226</v>
      </c>
      <c r="N287" t="str">
        <f t="shared" si="24"/>
        <v>Ткаченко Андрей ОлеговичСтепанов Алексей Артемович</v>
      </c>
      <c r="O287" t="s">
        <v>5</v>
      </c>
      <c r="P287" t="s">
        <v>206</v>
      </c>
      <c r="Q287" t="s">
        <v>381</v>
      </c>
    </row>
    <row r="288" spans="4:17" x14ac:dyDescent="0.25">
      <c r="D288" t="s">
        <v>10</v>
      </c>
      <c r="E288" t="s">
        <v>86</v>
      </c>
      <c r="F288" t="str">
        <f t="shared" si="20"/>
        <v>2023-12-19</v>
      </c>
      <c r="G288" t="str">
        <f t="shared" si="21"/>
        <v>2023-12-19</v>
      </c>
      <c r="H288">
        <f t="shared" si="22"/>
        <v>0</v>
      </c>
      <c r="J288" t="str">
        <f t="shared" si="23"/>
        <v>Новикова Ольга ПетровнаКузнецова София Сергеевна</v>
      </c>
      <c r="K288" t="s">
        <v>10</v>
      </c>
      <c r="L288" t="s">
        <v>86</v>
      </c>
      <c r="M288" t="s">
        <v>230</v>
      </c>
      <c r="N288" t="str">
        <f t="shared" si="24"/>
        <v>Иванова Анна СергеевнаЛебедева Людмила Юрьевна</v>
      </c>
      <c r="O288" t="s">
        <v>48</v>
      </c>
      <c r="P288" t="s">
        <v>238</v>
      </c>
      <c r="Q288" t="s">
        <v>380</v>
      </c>
    </row>
    <row r="289" spans="4:17" x14ac:dyDescent="0.25">
      <c r="D289" t="s">
        <v>10</v>
      </c>
      <c r="E289" t="s">
        <v>6</v>
      </c>
      <c r="F289" t="str">
        <f t="shared" si="20"/>
        <v>2024-06-24</v>
      </c>
      <c r="G289" t="str">
        <f t="shared" si="21"/>
        <v>2024-06-24</v>
      </c>
      <c r="H289">
        <f t="shared" si="22"/>
        <v>0</v>
      </c>
      <c r="J289" t="str">
        <f t="shared" si="23"/>
        <v>Иванова Анна СергеевнаКузнецов Георгий Никитич</v>
      </c>
      <c r="K289" t="s">
        <v>48</v>
      </c>
      <c r="L289" t="s">
        <v>188</v>
      </c>
      <c r="M289" t="s">
        <v>230</v>
      </c>
      <c r="N289" t="str">
        <f t="shared" si="24"/>
        <v>Сидорова Елена ВасильевнаАлексеева Полина Станиславовна</v>
      </c>
      <c r="O289" t="s">
        <v>12</v>
      </c>
      <c r="P289" t="s">
        <v>180</v>
      </c>
      <c r="Q289" t="s">
        <v>380</v>
      </c>
    </row>
    <row r="290" spans="4:17" x14ac:dyDescent="0.25">
      <c r="D290" t="s">
        <v>10</v>
      </c>
      <c r="E290" t="s">
        <v>238</v>
      </c>
      <c r="F290" t="str">
        <f t="shared" si="20"/>
        <v>2023-12-25</v>
      </c>
      <c r="G290" t="str">
        <f t="shared" si="21"/>
        <v>2023-12-25</v>
      </c>
      <c r="H290">
        <f t="shared" si="22"/>
        <v>0</v>
      </c>
      <c r="J290" t="str">
        <f t="shared" si="23"/>
        <v>Петров Владимир КирилловичМорозов Илья Викторович</v>
      </c>
      <c r="K290" t="s">
        <v>36</v>
      </c>
      <c r="L290" t="s">
        <v>231</v>
      </c>
      <c r="M290" t="s">
        <v>230</v>
      </c>
      <c r="N290" t="str">
        <f t="shared" si="24"/>
        <v>Иванова Анна СергеевнаОрлова Александра Викторовна</v>
      </c>
      <c r="O290" t="s">
        <v>48</v>
      </c>
      <c r="P290" t="s">
        <v>34</v>
      </c>
      <c r="Q290" t="s">
        <v>380</v>
      </c>
    </row>
    <row r="291" spans="4:17" x14ac:dyDescent="0.25">
      <c r="D291" t="s">
        <v>10</v>
      </c>
      <c r="E291" t="s">
        <v>69</v>
      </c>
      <c r="F291" t="str">
        <f t="shared" si="20"/>
        <v>2024-06-10</v>
      </c>
      <c r="G291" t="str">
        <f t="shared" si="21"/>
        <v>2024-06-10</v>
      </c>
      <c r="H291">
        <f t="shared" si="22"/>
        <v>0</v>
      </c>
      <c r="J291" t="str">
        <f t="shared" si="23"/>
        <v>Кузнецов Дмитрий ЛьвовичОрлов Алексей Сергеевич</v>
      </c>
      <c r="K291" t="s">
        <v>23</v>
      </c>
      <c r="L291" t="s">
        <v>53</v>
      </c>
      <c r="M291" t="s">
        <v>230</v>
      </c>
      <c r="N291" t="str">
        <f t="shared" si="24"/>
        <v>Ткаченко Андрей ОлеговичСмирнов Егор Никитич</v>
      </c>
      <c r="O291" t="s">
        <v>5</v>
      </c>
      <c r="P291" t="s">
        <v>296</v>
      </c>
      <c r="Q291" t="s">
        <v>380</v>
      </c>
    </row>
    <row r="292" spans="4:17" x14ac:dyDescent="0.25">
      <c r="D292" t="s">
        <v>10</v>
      </c>
      <c r="E292" t="s">
        <v>125</v>
      </c>
      <c r="F292" t="str">
        <f t="shared" si="20"/>
        <v>2023-10-13</v>
      </c>
      <c r="G292" t="str">
        <f t="shared" si="21"/>
        <v>2023-10-13</v>
      </c>
      <c r="H292">
        <f t="shared" si="22"/>
        <v>0</v>
      </c>
      <c r="J292" t="str">
        <f t="shared" si="23"/>
        <v>Орлов Павел ДенисовичИванова Екатерина Егоровна</v>
      </c>
      <c r="K292" t="s">
        <v>17</v>
      </c>
      <c r="L292" t="s">
        <v>131</v>
      </c>
      <c r="M292" t="s">
        <v>230</v>
      </c>
      <c r="N292" t="str">
        <f t="shared" si="24"/>
        <v>Громова Мария ИльиничнаСидорова Вероника Павловна</v>
      </c>
      <c r="O292" t="s">
        <v>15</v>
      </c>
      <c r="P292" t="s">
        <v>163</v>
      </c>
      <c r="Q292" t="s">
        <v>379</v>
      </c>
    </row>
    <row r="293" spans="4:17" x14ac:dyDescent="0.25">
      <c r="D293" t="s">
        <v>10</v>
      </c>
      <c r="E293" t="s">
        <v>56</v>
      </c>
      <c r="F293" t="str">
        <f t="shared" si="20"/>
        <v>2023-09-14</v>
      </c>
      <c r="G293" t="str">
        <f t="shared" si="21"/>
        <v>2024-04-29</v>
      </c>
      <c r="H293">
        <f t="shared" si="22"/>
        <v>228</v>
      </c>
      <c r="J293" t="str">
        <f t="shared" si="23"/>
        <v>Громова Мария ИльиничнаСеменова Вероника Павловна</v>
      </c>
      <c r="K293" t="s">
        <v>15</v>
      </c>
      <c r="L293" t="s">
        <v>61</v>
      </c>
      <c r="M293" t="s">
        <v>230</v>
      </c>
      <c r="N293" t="str">
        <f t="shared" si="24"/>
        <v>Орлов Павел ДенисовичПетрова Людмила Ильинична</v>
      </c>
      <c r="O293" t="s">
        <v>17</v>
      </c>
      <c r="P293" t="s">
        <v>29</v>
      </c>
      <c r="Q293" t="s">
        <v>378</v>
      </c>
    </row>
    <row r="294" spans="4:17" x14ac:dyDescent="0.25">
      <c r="D294" t="s">
        <v>10</v>
      </c>
      <c r="E294" t="s">
        <v>140</v>
      </c>
      <c r="F294" t="str">
        <f t="shared" si="20"/>
        <v>2024-05-30</v>
      </c>
      <c r="G294" t="str">
        <f t="shared" si="21"/>
        <v>2024-05-30</v>
      </c>
      <c r="H294">
        <f t="shared" si="22"/>
        <v>0</v>
      </c>
      <c r="J294" t="str">
        <f t="shared" si="23"/>
        <v>Кузнецов Дмитрий ЛьвовичПавлов Константин Никитич</v>
      </c>
      <c r="K294" t="s">
        <v>23</v>
      </c>
      <c r="L294" t="s">
        <v>232</v>
      </c>
      <c r="M294" t="s">
        <v>233</v>
      </c>
      <c r="N294" t="str">
        <f t="shared" si="24"/>
        <v>Иванова Анна СергеевнаПопова Ольга Егоровна</v>
      </c>
      <c r="O294" t="s">
        <v>48</v>
      </c>
      <c r="P294" t="s">
        <v>9</v>
      </c>
      <c r="Q294" t="s">
        <v>378</v>
      </c>
    </row>
    <row r="295" spans="4:17" x14ac:dyDescent="0.25">
      <c r="D295" t="s">
        <v>10</v>
      </c>
      <c r="E295" t="s">
        <v>202</v>
      </c>
      <c r="F295" t="str">
        <f t="shared" si="20"/>
        <v>2024-08-16</v>
      </c>
      <c r="G295" t="str">
        <f t="shared" si="21"/>
        <v>2024-08-16</v>
      </c>
      <c r="H295">
        <f t="shared" si="22"/>
        <v>0</v>
      </c>
      <c r="J295" t="str">
        <f t="shared" si="23"/>
        <v>Орлов Павел ДенисовичВасильев Александр Иванович</v>
      </c>
      <c r="K295" t="s">
        <v>17</v>
      </c>
      <c r="L295" t="s">
        <v>158</v>
      </c>
      <c r="M295" t="s">
        <v>233</v>
      </c>
      <c r="N295" t="str">
        <f t="shared" si="24"/>
        <v>Яковлев Артем ИгоревичПетрова Людмила Олеговна</v>
      </c>
      <c r="O295" t="s">
        <v>52</v>
      </c>
      <c r="P295" t="s">
        <v>70</v>
      </c>
      <c r="Q295" t="s">
        <v>378</v>
      </c>
    </row>
    <row r="296" spans="4:17" x14ac:dyDescent="0.25">
      <c r="D296" t="s">
        <v>10</v>
      </c>
      <c r="E296" t="s">
        <v>66</v>
      </c>
      <c r="F296" t="str">
        <f t="shared" si="20"/>
        <v>2024-04-08</v>
      </c>
      <c r="G296" t="str">
        <f t="shared" si="21"/>
        <v>2024-04-08</v>
      </c>
      <c r="H296">
        <f t="shared" si="22"/>
        <v>0</v>
      </c>
      <c r="J296" t="str">
        <f t="shared" si="23"/>
        <v>Иванова Анна СергеевнаВолкова Валерия Олеговна</v>
      </c>
      <c r="K296" t="s">
        <v>48</v>
      </c>
      <c r="L296" t="s">
        <v>55</v>
      </c>
      <c r="M296" t="s">
        <v>234</v>
      </c>
      <c r="N296" t="str">
        <f t="shared" si="24"/>
        <v>Петров Владимир КирилловичСтепанов Роман Павлович</v>
      </c>
      <c r="O296" t="s">
        <v>36</v>
      </c>
      <c r="P296" t="s">
        <v>190</v>
      </c>
      <c r="Q296" t="s">
        <v>377</v>
      </c>
    </row>
    <row r="297" spans="4:17" x14ac:dyDescent="0.25">
      <c r="D297" t="s">
        <v>10</v>
      </c>
      <c r="E297" t="s">
        <v>268</v>
      </c>
      <c r="F297" t="str">
        <f t="shared" si="20"/>
        <v>2024-01-19</v>
      </c>
      <c r="G297" t="str">
        <f t="shared" si="21"/>
        <v>2024-01-19</v>
      </c>
      <c r="H297">
        <f t="shared" si="22"/>
        <v>0</v>
      </c>
      <c r="J297" t="str">
        <f t="shared" si="23"/>
        <v>Фролов Сергей ВикторовичНиколаев Павел Артемович</v>
      </c>
      <c r="K297" t="s">
        <v>27</v>
      </c>
      <c r="L297" t="s">
        <v>235</v>
      </c>
      <c r="M297" t="s">
        <v>236</v>
      </c>
      <c r="N297" t="str">
        <f t="shared" si="24"/>
        <v>Орлов Павел ДенисовичПетрова София Алексеевна</v>
      </c>
      <c r="O297" t="s">
        <v>17</v>
      </c>
      <c r="P297" t="s">
        <v>59</v>
      </c>
      <c r="Q297" t="s">
        <v>377</v>
      </c>
    </row>
    <row r="298" spans="4:17" x14ac:dyDescent="0.25">
      <c r="D298" t="s">
        <v>10</v>
      </c>
      <c r="E298" t="s">
        <v>102</v>
      </c>
      <c r="F298" t="str">
        <f t="shared" si="20"/>
        <v>2023-09-28</v>
      </c>
      <c r="G298" t="str">
        <f t="shared" si="21"/>
        <v>2024-01-22</v>
      </c>
      <c r="H298">
        <f t="shared" si="22"/>
        <v>116</v>
      </c>
      <c r="J298" t="str">
        <f t="shared" si="23"/>
        <v>Кузнецов Дмитрий ЛьвовичЛебедев Иван Юрьевич</v>
      </c>
      <c r="K298" t="s">
        <v>23</v>
      </c>
      <c r="L298" t="s">
        <v>237</v>
      </c>
      <c r="M298" t="s">
        <v>236</v>
      </c>
      <c r="N298" t="str">
        <f t="shared" si="24"/>
        <v>Кузнецов Дмитрий ЛьвовичНиколаев Павел Артемович</v>
      </c>
      <c r="O298" t="s">
        <v>23</v>
      </c>
      <c r="P298" t="s">
        <v>235</v>
      </c>
      <c r="Q298" t="s">
        <v>377</v>
      </c>
    </row>
    <row r="299" spans="4:17" x14ac:dyDescent="0.25">
      <c r="D299" t="s">
        <v>10</v>
      </c>
      <c r="E299" t="s">
        <v>53</v>
      </c>
      <c r="F299" t="str">
        <f t="shared" si="20"/>
        <v>2024-08-19</v>
      </c>
      <c r="G299" t="str">
        <f t="shared" si="21"/>
        <v>2024-08-19</v>
      </c>
      <c r="H299">
        <f t="shared" si="22"/>
        <v>0</v>
      </c>
      <c r="J299" t="str">
        <f t="shared" si="23"/>
        <v>Орлов Павел ДенисовичФедорова Алиса Кирилловна</v>
      </c>
      <c r="K299" t="s">
        <v>17</v>
      </c>
      <c r="L299" t="s">
        <v>193</v>
      </c>
      <c r="M299" t="s">
        <v>236</v>
      </c>
      <c r="N299" t="str">
        <f t="shared" si="24"/>
        <v>Орлов Павел ДенисовичПавлов Павел Павлович</v>
      </c>
      <c r="O299" t="s">
        <v>17</v>
      </c>
      <c r="P299" t="s">
        <v>207</v>
      </c>
      <c r="Q299" t="s">
        <v>377</v>
      </c>
    </row>
    <row r="300" spans="4:17" x14ac:dyDescent="0.25">
      <c r="D300" t="s">
        <v>10</v>
      </c>
      <c r="E300" t="s">
        <v>272</v>
      </c>
      <c r="F300" t="str">
        <f t="shared" si="20"/>
        <v>2024-05-13</v>
      </c>
      <c r="G300" t="str">
        <f t="shared" si="21"/>
        <v>2024-05-13</v>
      </c>
      <c r="H300">
        <f t="shared" si="22"/>
        <v>0</v>
      </c>
      <c r="J300" t="str">
        <f t="shared" si="23"/>
        <v>Новикова Ольга ПетровнаЛебедева Людмила Юрьевна</v>
      </c>
      <c r="K300" t="s">
        <v>10</v>
      </c>
      <c r="L300" t="s">
        <v>238</v>
      </c>
      <c r="M300" t="s">
        <v>236</v>
      </c>
      <c r="N300" t="str">
        <f t="shared" si="24"/>
        <v>Ткаченко Андрей ОлеговичПопова Екатерина Владимировна</v>
      </c>
      <c r="O300" t="s">
        <v>5</v>
      </c>
      <c r="P300" t="s">
        <v>11</v>
      </c>
      <c r="Q300" t="s">
        <v>377</v>
      </c>
    </row>
    <row r="301" spans="4:17" x14ac:dyDescent="0.25">
      <c r="D301" t="s">
        <v>10</v>
      </c>
      <c r="E301" t="s">
        <v>79</v>
      </c>
      <c r="F301" t="str">
        <f t="shared" si="20"/>
        <v>2023-09-21</v>
      </c>
      <c r="G301" t="str">
        <f t="shared" si="21"/>
        <v>2023-09-21</v>
      </c>
      <c r="H301">
        <f t="shared" si="22"/>
        <v>0</v>
      </c>
      <c r="J301" t="str">
        <f t="shared" si="23"/>
        <v>Иванова Анна СергеевнаОрлов Роман Дмитриевич</v>
      </c>
      <c r="K301" t="s">
        <v>48</v>
      </c>
      <c r="L301" t="s">
        <v>239</v>
      </c>
      <c r="M301" t="s">
        <v>236</v>
      </c>
      <c r="N301" t="str">
        <f t="shared" si="24"/>
        <v>Новикова Ольга ПетровнаОрлов Владимир Геннадьевич</v>
      </c>
      <c r="O301" t="s">
        <v>10</v>
      </c>
      <c r="P301" t="s">
        <v>272</v>
      </c>
      <c r="Q301" t="s">
        <v>377</v>
      </c>
    </row>
    <row r="302" spans="4:17" x14ac:dyDescent="0.25">
      <c r="D302" t="s">
        <v>10</v>
      </c>
      <c r="E302" t="s">
        <v>87</v>
      </c>
      <c r="F302" t="str">
        <f t="shared" si="20"/>
        <v>2023-10-10</v>
      </c>
      <c r="G302" t="str">
        <f t="shared" si="21"/>
        <v>2024-08-23</v>
      </c>
      <c r="H302">
        <f t="shared" si="22"/>
        <v>318</v>
      </c>
      <c r="J302" t="str">
        <f t="shared" si="23"/>
        <v>Кузнецов Дмитрий ЛьвовичСтепанов Никита Михайлович</v>
      </c>
      <c r="K302" t="s">
        <v>23</v>
      </c>
      <c r="L302" t="s">
        <v>68</v>
      </c>
      <c r="M302" t="s">
        <v>236</v>
      </c>
      <c r="N302" t="str">
        <f t="shared" si="24"/>
        <v>Семенова Ирина ВалерьевнаПопова Светлана Владимировна</v>
      </c>
      <c r="O302" t="s">
        <v>46</v>
      </c>
      <c r="P302" t="s">
        <v>316</v>
      </c>
      <c r="Q302" t="s">
        <v>376</v>
      </c>
    </row>
    <row r="303" spans="4:17" x14ac:dyDescent="0.25">
      <c r="D303" t="s">
        <v>10</v>
      </c>
      <c r="E303" t="s">
        <v>34</v>
      </c>
      <c r="F303" t="str">
        <f t="shared" si="20"/>
        <v>2024-01-08</v>
      </c>
      <c r="G303" t="str">
        <f t="shared" si="21"/>
        <v>2024-01-08</v>
      </c>
      <c r="H303">
        <f t="shared" si="22"/>
        <v>0</v>
      </c>
      <c r="J303" t="str">
        <f t="shared" si="23"/>
        <v>Кузнецов Дмитрий ЛьвовичСмирнов Михаил Алексеевич</v>
      </c>
      <c r="K303" t="s">
        <v>23</v>
      </c>
      <c r="L303" t="s">
        <v>28</v>
      </c>
      <c r="M303" t="s">
        <v>236</v>
      </c>
      <c r="N303" t="str">
        <f t="shared" si="24"/>
        <v>Орлов Павел ДенисовичОрлова Александра Викторовна</v>
      </c>
      <c r="O303" t="s">
        <v>17</v>
      </c>
      <c r="P303" t="s">
        <v>34</v>
      </c>
      <c r="Q303" t="s">
        <v>376</v>
      </c>
    </row>
    <row r="304" spans="4:17" x14ac:dyDescent="0.25">
      <c r="D304" t="s">
        <v>10</v>
      </c>
      <c r="E304" t="s">
        <v>165</v>
      </c>
      <c r="F304" t="str">
        <f t="shared" si="20"/>
        <v>2024-01-12</v>
      </c>
      <c r="G304" t="str">
        <f t="shared" si="21"/>
        <v>2024-01-12</v>
      </c>
      <c r="H304">
        <f t="shared" si="22"/>
        <v>0</v>
      </c>
      <c r="J304" t="str">
        <f t="shared" si="23"/>
        <v>Яковлев Артем ИгоревичНовикова Дарья Викторовна</v>
      </c>
      <c r="K304" t="s">
        <v>52</v>
      </c>
      <c r="L304" t="s">
        <v>138</v>
      </c>
      <c r="M304" t="s">
        <v>236</v>
      </c>
      <c r="N304" t="str">
        <f t="shared" si="24"/>
        <v>Новикова Ольга ПетровнаПавлова Анна Артемовна</v>
      </c>
      <c r="O304" t="s">
        <v>10</v>
      </c>
      <c r="P304" t="s">
        <v>214</v>
      </c>
      <c r="Q304" t="s">
        <v>376</v>
      </c>
    </row>
    <row r="305" spans="4:17" x14ac:dyDescent="0.25">
      <c r="D305" t="s">
        <v>10</v>
      </c>
      <c r="E305" t="s">
        <v>232</v>
      </c>
      <c r="F305" t="str">
        <f t="shared" si="20"/>
        <v>2024-01-23</v>
      </c>
      <c r="G305" t="str">
        <f t="shared" si="21"/>
        <v>2024-01-23</v>
      </c>
      <c r="H305">
        <f t="shared" si="22"/>
        <v>0</v>
      </c>
      <c r="J305" t="str">
        <f t="shared" si="23"/>
        <v>Яковлев Артем ИгоревичВолкова Татьяна Егоровна</v>
      </c>
      <c r="K305" t="s">
        <v>52</v>
      </c>
      <c r="L305" t="s">
        <v>22</v>
      </c>
      <c r="M305" t="s">
        <v>236</v>
      </c>
      <c r="N305" t="str">
        <f t="shared" si="24"/>
        <v>Сидорова Елена ВасильевнаСидоров Михаил Артемович</v>
      </c>
      <c r="O305" t="s">
        <v>12</v>
      </c>
      <c r="P305" t="s">
        <v>185</v>
      </c>
      <c r="Q305" t="s">
        <v>375</v>
      </c>
    </row>
    <row r="306" spans="4:17" x14ac:dyDescent="0.25">
      <c r="D306" t="s">
        <v>10</v>
      </c>
      <c r="E306" t="s">
        <v>103</v>
      </c>
      <c r="F306" t="str">
        <f t="shared" si="20"/>
        <v>2024-04-08</v>
      </c>
      <c r="G306" t="str">
        <f t="shared" si="21"/>
        <v>2024-04-08</v>
      </c>
      <c r="H306">
        <f t="shared" si="22"/>
        <v>0</v>
      </c>
      <c r="J306" t="str">
        <f t="shared" si="23"/>
        <v>Сидорова Елена ВасильевнаКозлова Алиса Алексеевна</v>
      </c>
      <c r="K306" t="s">
        <v>12</v>
      </c>
      <c r="L306" t="s">
        <v>156</v>
      </c>
      <c r="M306" t="s">
        <v>236</v>
      </c>
      <c r="N306" t="str">
        <f t="shared" si="24"/>
        <v>Яковлев Артем ИгоревичСмирнов Константин Михайлович</v>
      </c>
      <c r="O306" t="s">
        <v>52</v>
      </c>
      <c r="P306" t="s">
        <v>85</v>
      </c>
      <c r="Q306" t="s">
        <v>374</v>
      </c>
    </row>
    <row r="307" spans="4:17" x14ac:dyDescent="0.25">
      <c r="D307" t="s">
        <v>10</v>
      </c>
      <c r="E307" t="s">
        <v>207</v>
      </c>
      <c r="F307" t="str">
        <f t="shared" si="20"/>
        <v>2023-11-30</v>
      </c>
      <c r="G307" t="str">
        <f t="shared" si="21"/>
        <v>2023-11-30</v>
      </c>
      <c r="H307">
        <f t="shared" si="22"/>
        <v>0</v>
      </c>
      <c r="J307" t="str">
        <f t="shared" si="23"/>
        <v>Семенова Ирина ВалерьевнаВолков Никита Кириллович</v>
      </c>
      <c r="K307" t="s">
        <v>46</v>
      </c>
      <c r="L307" t="s">
        <v>240</v>
      </c>
      <c r="M307" t="s">
        <v>241</v>
      </c>
      <c r="N307" t="str">
        <f t="shared" si="24"/>
        <v>Сидорова Елена ВасильевнаСидорова Виктория Ильинична</v>
      </c>
      <c r="O307" t="s">
        <v>12</v>
      </c>
      <c r="P307" t="s">
        <v>270</v>
      </c>
      <c r="Q307" t="s">
        <v>374</v>
      </c>
    </row>
    <row r="308" spans="4:17" x14ac:dyDescent="0.25">
      <c r="D308" t="s">
        <v>10</v>
      </c>
      <c r="E308" t="s">
        <v>214</v>
      </c>
      <c r="F308" t="str">
        <f t="shared" si="20"/>
        <v>2024-05-10</v>
      </c>
      <c r="G308" t="str">
        <f t="shared" si="21"/>
        <v>2024-05-10</v>
      </c>
      <c r="H308">
        <f t="shared" si="22"/>
        <v>0</v>
      </c>
      <c r="J308" t="str">
        <f t="shared" si="23"/>
        <v>Орлов Павел ДенисовичВасильева Алиса Дмитриевна</v>
      </c>
      <c r="K308" t="s">
        <v>17</v>
      </c>
      <c r="L308" t="s">
        <v>216</v>
      </c>
      <c r="M308" t="s">
        <v>241</v>
      </c>
      <c r="N308" t="str">
        <f t="shared" si="24"/>
        <v>Орлов Павел ДенисовичИванова Анна Викторовна</v>
      </c>
      <c r="O308" t="s">
        <v>17</v>
      </c>
      <c r="P308" t="s">
        <v>281</v>
      </c>
      <c r="Q308" t="s">
        <v>374</v>
      </c>
    </row>
    <row r="309" spans="4:17" x14ac:dyDescent="0.25">
      <c r="D309" t="s">
        <v>10</v>
      </c>
      <c r="E309" t="s">
        <v>191</v>
      </c>
      <c r="F309" t="str">
        <f t="shared" si="20"/>
        <v>2024-06-14</v>
      </c>
      <c r="G309" t="str">
        <f t="shared" si="21"/>
        <v>2024-06-14</v>
      </c>
      <c r="H309">
        <f t="shared" si="22"/>
        <v>0</v>
      </c>
      <c r="J309" t="str">
        <f t="shared" si="23"/>
        <v>Фролов Сергей ВикторовичКозлова Полина Кирилловна</v>
      </c>
      <c r="K309" t="s">
        <v>27</v>
      </c>
      <c r="L309" t="s">
        <v>67</v>
      </c>
      <c r="M309" t="s">
        <v>241</v>
      </c>
      <c r="N309" t="str">
        <f t="shared" si="24"/>
        <v>Фролов Сергей ВикторовичСеменов Андрей Кириллович</v>
      </c>
      <c r="O309" t="s">
        <v>27</v>
      </c>
      <c r="P309" t="s">
        <v>93</v>
      </c>
      <c r="Q309" t="s">
        <v>374</v>
      </c>
    </row>
    <row r="310" spans="4:17" x14ac:dyDescent="0.25">
      <c r="D310" t="s">
        <v>10</v>
      </c>
      <c r="E310" t="s">
        <v>171</v>
      </c>
      <c r="F310" t="str">
        <f t="shared" si="20"/>
        <v>2024-05-24</v>
      </c>
      <c r="G310" t="str">
        <f t="shared" si="21"/>
        <v>2024-05-24</v>
      </c>
      <c r="H310">
        <f t="shared" si="22"/>
        <v>0</v>
      </c>
      <c r="J310" t="str">
        <f t="shared" si="23"/>
        <v>Фролов Сергей ВикторовичАлексеева Алиса Александровна</v>
      </c>
      <c r="K310" t="s">
        <v>27</v>
      </c>
      <c r="L310" t="s">
        <v>89</v>
      </c>
      <c r="M310" t="s">
        <v>242</v>
      </c>
      <c r="N310" t="str">
        <f t="shared" si="24"/>
        <v>Орлов Павел ДенисовичМорозова София Артемовна</v>
      </c>
      <c r="O310" t="s">
        <v>17</v>
      </c>
      <c r="P310" t="s">
        <v>140</v>
      </c>
      <c r="Q310" t="s">
        <v>374</v>
      </c>
    </row>
    <row r="311" spans="4:17" x14ac:dyDescent="0.25">
      <c r="D311" t="s">
        <v>10</v>
      </c>
      <c r="E311" t="s">
        <v>256</v>
      </c>
      <c r="F311" t="str">
        <f t="shared" si="20"/>
        <v>2024-02-23</v>
      </c>
      <c r="G311" t="str">
        <f t="shared" si="21"/>
        <v>2024-07-03</v>
      </c>
      <c r="H311">
        <f t="shared" si="22"/>
        <v>131</v>
      </c>
      <c r="J311" t="str">
        <f t="shared" si="23"/>
        <v>Фролов Сергей ВикторовичВасильев Георгий Станиславович</v>
      </c>
      <c r="K311" t="s">
        <v>27</v>
      </c>
      <c r="L311" t="s">
        <v>243</v>
      </c>
      <c r="M311" t="s">
        <v>242</v>
      </c>
      <c r="N311" t="str">
        <f t="shared" si="24"/>
        <v>Семенова Ирина ВалерьевнаОрлов Владимир Геннадьевич</v>
      </c>
      <c r="O311" t="s">
        <v>46</v>
      </c>
      <c r="P311" t="s">
        <v>272</v>
      </c>
      <c r="Q311" t="s">
        <v>374</v>
      </c>
    </row>
    <row r="312" spans="4:17" x14ac:dyDescent="0.25">
      <c r="D312" t="s">
        <v>10</v>
      </c>
      <c r="E312" t="s">
        <v>198</v>
      </c>
      <c r="F312" t="str">
        <f t="shared" si="20"/>
        <v>2024-03-26</v>
      </c>
      <c r="G312" t="str">
        <f t="shared" si="21"/>
        <v>2024-03-26</v>
      </c>
      <c r="H312">
        <f t="shared" si="22"/>
        <v>0</v>
      </c>
      <c r="J312" t="str">
        <f t="shared" si="23"/>
        <v>Белов Алексей КонстантиновичВасильева Татьяна Геннадьевна</v>
      </c>
      <c r="K312" t="s">
        <v>8</v>
      </c>
      <c r="L312" t="s">
        <v>37</v>
      </c>
      <c r="M312" t="s">
        <v>242</v>
      </c>
      <c r="N312" t="str">
        <f t="shared" si="24"/>
        <v>Семенова Ирина ВалерьевнаПопова Александра Юрьевна</v>
      </c>
      <c r="O312" t="s">
        <v>46</v>
      </c>
      <c r="P312" t="s">
        <v>118</v>
      </c>
      <c r="Q312" t="s">
        <v>373</v>
      </c>
    </row>
    <row r="313" spans="4:17" x14ac:dyDescent="0.25">
      <c r="D313" t="s">
        <v>10</v>
      </c>
      <c r="E313" t="s">
        <v>123</v>
      </c>
      <c r="F313" t="str">
        <f t="shared" si="20"/>
        <v>2023-12-14</v>
      </c>
      <c r="G313" t="str">
        <f t="shared" si="21"/>
        <v>2024-06-07</v>
      </c>
      <c r="H313">
        <f t="shared" si="22"/>
        <v>176</v>
      </c>
      <c r="J313" t="str">
        <f t="shared" si="23"/>
        <v>Кузнецов Дмитрий ЛьвовичФедорова Полина Павловна</v>
      </c>
      <c r="K313" t="s">
        <v>23</v>
      </c>
      <c r="L313" t="s">
        <v>244</v>
      </c>
      <c r="M313" t="s">
        <v>245</v>
      </c>
      <c r="N313" t="str">
        <f t="shared" si="24"/>
        <v>Кузнецов Дмитрий ЛьвовичКузнецов Сергей Станиславович</v>
      </c>
      <c r="O313" t="s">
        <v>23</v>
      </c>
      <c r="P313" t="s">
        <v>209</v>
      </c>
      <c r="Q313" t="s">
        <v>373</v>
      </c>
    </row>
    <row r="314" spans="4:17" x14ac:dyDescent="0.25">
      <c r="D314" t="s">
        <v>10</v>
      </c>
      <c r="E314" t="s">
        <v>282</v>
      </c>
      <c r="F314" t="str">
        <f t="shared" si="20"/>
        <v>2024-01-29</v>
      </c>
      <c r="G314" t="str">
        <f t="shared" si="21"/>
        <v>2024-01-29</v>
      </c>
      <c r="H314">
        <f t="shared" si="22"/>
        <v>0</v>
      </c>
      <c r="J314" t="str">
        <f t="shared" si="23"/>
        <v>Фролов Сергей ВикторовичОрлова Валерия Юрьевна</v>
      </c>
      <c r="K314" t="s">
        <v>27</v>
      </c>
      <c r="L314" t="s">
        <v>81</v>
      </c>
      <c r="M314" t="s">
        <v>245</v>
      </c>
      <c r="N314" t="str">
        <f t="shared" si="24"/>
        <v>Кузнецов Дмитрий ЛьвовичМорозов Дмитрий Кириллович</v>
      </c>
      <c r="O314" t="s">
        <v>23</v>
      </c>
      <c r="P314" t="s">
        <v>32</v>
      </c>
      <c r="Q314" t="s">
        <v>373</v>
      </c>
    </row>
    <row r="315" spans="4:17" x14ac:dyDescent="0.25">
      <c r="D315" t="s">
        <v>10</v>
      </c>
      <c r="E315" t="s">
        <v>11</v>
      </c>
      <c r="F315" t="str">
        <f t="shared" si="20"/>
        <v>2023-09-01</v>
      </c>
      <c r="G315" t="str">
        <f t="shared" si="21"/>
        <v>2023-09-01</v>
      </c>
      <c r="H315">
        <f t="shared" si="22"/>
        <v>0</v>
      </c>
      <c r="J315" t="str">
        <f t="shared" si="23"/>
        <v>Петров Владимир КирилловичСмирнова София Ивановна</v>
      </c>
      <c r="K315" t="s">
        <v>36</v>
      </c>
      <c r="L315" t="s">
        <v>25</v>
      </c>
      <c r="M315" t="s">
        <v>246</v>
      </c>
      <c r="N315" t="str">
        <f t="shared" si="24"/>
        <v>Яковлев Артем ИгоревичВолкова Виктория Михайловна</v>
      </c>
      <c r="O315" t="s">
        <v>52</v>
      </c>
      <c r="P315" t="s">
        <v>40</v>
      </c>
      <c r="Q315" t="s">
        <v>373</v>
      </c>
    </row>
    <row r="316" spans="4:17" x14ac:dyDescent="0.25">
      <c r="D316" t="s">
        <v>10</v>
      </c>
      <c r="E316" t="s">
        <v>316</v>
      </c>
      <c r="F316" t="str">
        <f t="shared" si="20"/>
        <v>2024-05-27</v>
      </c>
      <c r="G316" t="str">
        <f t="shared" si="21"/>
        <v>2024-05-27</v>
      </c>
      <c r="H316">
        <f t="shared" si="22"/>
        <v>0</v>
      </c>
      <c r="J316" t="str">
        <f t="shared" si="23"/>
        <v>Фролов Сергей ВикторовичНиколаева Ирина Владимировна</v>
      </c>
      <c r="K316" t="s">
        <v>27</v>
      </c>
      <c r="L316" t="s">
        <v>66</v>
      </c>
      <c r="M316" t="s">
        <v>246</v>
      </c>
      <c r="N316" t="str">
        <f t="shared" si="24"/>
        <v>Яковлев Артем ИгоревичКузнецов Никита Сергеевич</v>
      </c>
      <c r="O316" t="s">
        <v>52</v>
      </c>
      <c r="P316" t="s">
        <v>248</v>
      </c>
      <c r="Q316" t="s">
        <v>373</v>
      </c>
    </row>
    <row r="317" spans="4:17" x14ac:dyDescent="0.25">
      <c r="D317" t="s">
        <v>10</v>
      </c>
      <c r="E317" t="s">
        <v>280</v>
      </c>
      <c r="F317" t="str">
        <f t="shared" si="20"/>
        <v>2024-01-29</v>
      </c>
      <c r="G317" t="str">
        <f t="shared" si="21"/>
        <v>2024-01-29</v>
      </c>
      <c r="H317">
        <f t="shared" si="22"/>
        <v>0</v>
      </c>
      <c r="J317" t="str">
        <f t="shared" si="23"/>
        <v>Сидорова Елена ВасильевнаПавлов Павел Павлович</v>
      </c>
      <c r="K317" t="s">
        <v>12</v>
      </c>
      <c r="L317" t="s">
        <v>207</v>
      </c>
      <c r="M317" t="s">
        <v>246</v>
      </c>
      <c r="N317" t="str">
        <f t="shared" si="24"/>
        <v>Белов Алексей КонстантиновичНовикова Дарья Викторовна</v>
      </c>
      <c r="O317" t="s">
        <v>8</v>
      </c>
      <c r="P317" t="s">
        <v>138</v>
      </c>
      <c r="Q317" t="s">
        <v>373</v>
      </c>
    </row>
    <row r="318" spans="4:17" x14ac:dyDescent="0.25">
      <c r="D318" t="s">
        <v>10</v>
      </c>
      <c r="E318" t="s">
        <v>428</v>
      </c>
      <c r="F318" t="str">
        <f t="shared" si="20"/>
        <v>2024-07-29</v>
      </c>
      <c r="G318" t="str">
        <f t="shared" si="21"/>
        <v>2024-08-12</v>
      </c>
      <c r="H318">
        <f t="shared" si="22"/>
        <v>14</v>
      </c>
      <c r="J318" t="str">
        <f t="shared" si="23"/>
        <v>Петров Владимир КирилловичСидоров Артем Викторович</v>
      </c>
      <c r="K318" t="s">
        <v>36</v>
      </c>
      <c r="L318" t="s">
        <v>13</v>
      </c>
      <c r="M318" t="s">
        <v>246</v>
      </c>
      <c r="N318" t="str">
        <f t="shared" si="24"/>
        <v>Ткаченко Андрей ОлеговичПопов Дмитрий Ильич</v>
      </c>
      <c r="O318" t="s">
        <v>5</v>
      </c>
      <c r="P318" t="s">
        <v>105</v>
      </c>
      <c r="Q318" t="s">
        <v>371</v>
      </c>
    </row>
    <row r="319" spans="4:17" x14ac:dyDescent="0.25">
      <c r="D319" t="s">
        <v>10</v>
      </c>
      <c r="E319" t="s">
        <v>300</v>
      </c>
      <c r="F319" t="str">
        <f t="shared" si="20"/>
        <v>2024-03-15</v>
      </c>
      <c r="G319" t="str">
        <f t="shared" si="21"/>
        <v>2024-03-15</v>
      </c>
      <c r="H319">
        <f t="shared" si="22"/>
        <v>0</v>
      </c>
      <c r="J319" t="str">
        <f t="shared" si="23"/>
        <v>Петров Владимир КирилловичВасильев Александр Никитич</v>
      </c>
      <c r="K319" t="s">
        <v>36</v>
      </c>
      <c r="L319" t="s">
        <v>161</v>
      </c>
      <c r="M319" t="s">
        <v>246</v>
      </c>
      <c r="N319" t="str">
        <f t="shared" si="24"/>
        <v>Белов Алексей КонстантиновичСтепанова Анна Никитична</v>
      </c>
      <c r="O319" t="s">
        <v>8</v>
      </c>
      <c r="P319" t="s">
        <v>108</v>
      </c>
      <c r="Q319" t="s">
        <v>371</v>
      </c>
    </row>
    <row r="320" spans="4:17" x14ac:dyDescent="0.25">
      <c r="D320" t="s">
        <v>10</v>
      </c>
      <c r="E320" t="s">
        <v>61</v>
      </c>
      <c r="F320" t="str">
        <f t="shared" si="20"/>
        <v>2023-09-15</v>
      </c>
      <c r="G320" t="str">
        <f t="shared" si="21"/>
        <v>2023-09-15</v>
      </c>
      <c r="H320">
        <f t="shared" si="22"/>
        <v>0</v>
      </c>
      <c r="J320" t="str">
        <f t="shared" si="23"/>
        <v>Громова Мария ИльиничнаСтепанов Александр Юрьевич</v>
      </c>
      <c r="K320" t="s">
        <v>15</v>
      </c>
      <c r="L320" t="s">
        <v>97</v>
      </c>
      <c r="M320" t="s">
        <v>247</v>
      </c>
      <c r="N320" t="str">
        <f t="shared" si="24"/>
        <v>Сидорова Елена ВасильевнаНиколаев Павел Артемович</v>
      </c>
      <c r="O320" t="s">
        <v>12</v>
      </c>
      <c r="P320" t="s">
        <v>235</v>
      </c>
      <c r="Q320" t="s">
        <v>371</v>
      </c>
    </row>
    <row r="321" spans="4:17" x14ac:dyDescent="0.25">
      <c r="D321" t="s">
        <v>10</v>
      </c>
      <c r="E321" t="s">
        <v>13</v>
      </c>
      <c r="F321" t="str">
        <f t="shared" si="20"/>
        <v>2023-09-29</v>
      </c>
      <c r="G321" t="str">
        <f t="shared" si="21"/>
        <v>2023-09-29</v>
      </c>
      <c r="H321">
        <f t="shared" si="22"/>
        <v>0</v>
      </c>
      <c r="J321" t="str">
        <f t="shared" si="23"/>
        <v>Громова Мария ИльиничнаКузнецов Никита Сергеевич</v>
      </c>
      <c r="K321" t="s">
        <v>15</v>
      </c>
      <c r="L321" t="s">
        <v>248</v>
      </c>
      <c r="M321" t="s">
        <v>247</v>
      </c>
      <c r="N321" t="str">
        <f t="shared" si="24"/>
        <v>Семенова Ирина ВалерьевнаНовикова Алиса Юрьевна</v>
      </c>
      <c r="O321" t="s">
        <v>46</v>
      </c>
      <c r="P321" t="s">
        <v>102</v>
      </c>
      <c r="Q321" t="s">
        <v>371</v>
      </c>
    </row>
    <row r="322" spans="4:17" x14ac:dyDescent="0.25">
      <c r="D322" t="s">
        <v>10</v>
      </c>
      <c r="E322" t="s">
        <v>18</v>
      </c>
      <c r="F322" t="str">
        <f t="shared" si="20"/>
        <v>2023-10-11</v>
      </c>
      <c r="G322" t="str">
        <f t="shared" si="21"/>
        <v>2023-10-11</v>
      </c>
      <c r="H322">
        <f t="shared" si="22"/>
        <v>0</v>
      </c>
      <c r="J322" t="str">
        <f t="shared" si="23"/>
        <v>Петров Владимир КирилловичПетрова Людмила Олеговна</v>
      </c>
      <c r="K322" t="s">
        <v>36</v>
      </c>
      <c r="L322" t="s">
        <v>70</v>
      </c>
      <c r="M322" t="s">
        <v>247</v>
      </c>
      <c r="N322" t="str">
        <f t="shared" si="24"/>
        <v>Сидорова Елена ВасильевнаПопова Александра Юрьевна</v>
      </c>
      <c r="O322" t="s">
        <v>12</v>
      </c>
      <c r="P322" t="s">
        <v>118</v>
      </c>
      <c r="Q322" t="s">
        <v>371</v>
      </c>
    </row>
    <row r="323" spans="4:17" x14ac:dyDescent="0.25">
      <c r="D323" t="s">
        <v>10</v>
      </c>
      <c r="E323" t="s">
        <v>101</v>
      </c>
      <c r="F323" t="str">
        <f t="shared" ref="F323:F386" si="25">VLOOKUP(D323&amp;E323,J:M,4,0)</f>
        <v>2024-05-01</v>
      </c>
      <c r="G323" t="str">
        <f t="shared" ref="G323:G386" si="26">VLOOKUP(D323&amp;E323,N:Q,4,0)</f>
        <v>2024-05-01</v>
      </c>
      <c r="H323">
        <f t="shared" ref="H323:H386" si="27">G323-F323</f>
        <v>0</v>
      </c>
      <c r="J323" t="str">
        <f t="shared" ref="J323:J386" si="28">K323&amp;L323</f>
        <v>Орлов Павел ДенисовичПавлов Никита Ильич</v>
      </c>
      <c r="K323" t="s">
        <v>17</v>
      </c>
      <c r="L323" t="s">
        <v>249</v>
      </c>
      <c r="M323" t="s">
        <v>247</v>
      </c>
      <c r="N323" t="str">
        <f t="shared" ref="N323:N386" si="29">O323&amp;P323</f>
        <v>Петров Владимир КирилловичСмирнова Виктория Дмитриевна</v>
      </c>
      <c r="O323" t="s">
        <v>36</v>
      </c>
      <c r="P323" t="s">
        <v>372</v>
      </c>
      <c r="Q323" t="s">
        <v>371</v>
      </c>
    </row>
    <row r="324" spans="4:17" x14ac:dyDescent="0.25">
      <c r="D324" t="s">
        <v>10</v>
      </c>
      <c r="E324" t="s">
        <v>20</v>
      </c>
      <c r="F324" t="str">
        <f t="shared" si="25"/>
        <v>2023-09-05</v>
      </c>
      <c r="G324" t="str">
        <f t="shared" si="26"/>
        <v>2024-08-30</v>
      </c>
      <c r="H324">
        <f t="shared" si="27"/>
        <v>360</v>
      </c>
      <c r="J324" t="str">
        <f t="shared" si="28"/>
        <v>Яковлев Артем ИгоревичСмирнов Александр Владимирович</v>
      </c>
      <c r="K324" t="s">
        <v>52</v>
      </c>
      <c r="L324" t="s">
        <v>101</v>
      </c>
      <c r="M324" t="s">
        <v>250</v>
      </c>
      <c r="N324" t="str">
        <f t="shared" si="29"/>
        <v>Яковлев Артем ИгоревичСтепанов Алексей Артемович</v>
      </c>
      <c r="O324" t="s">
        <v>52</v>
      </c>
      <c r="P324" t="s">
        <v>206</v>
      </c>
      <c r="Q324" t="s">
        <v>371</v>
      </c>
    </row>
    <row r="325" spans="4:17" x14ac:dyDescent="0.25">
      <c r="D325" t="s">
        <v>10</v>
      </c>
      <c r="E325" t="s">
        <v>296</v>
      </c>
      <c r="F325" t="str">
        <f t="shared" si="25"/>
        <v>2024-02-12</v>
      </c>
      <c r="G325" t="str">
        <f t="shared" si="26"/>
        <v>2024-02-12</v>
      </c>
      <c r="H325">
        <f t="shared" si="27"/>
        <v>0</v>
      </c>
      <c r="J325" t="str">
        <f t="shared" si="28"/>
        <v>Семенова Ирина ВалерьевнаСтепанова Анна Никитична</v>
      </c>
      <c r="K325" t="s">
        <v>46</v>
      </c>
      <c r="L325" t="s">
        <v>108</v>
      </c>
      <c r="M325" t="s">
        <v>250</v>
      </c>
      <c r="N325" t="str">
        <f t="shared" si="29"/>
        <v>Громова Мария ИльиничнаПетрова Наталья Геннадьевна</v>
      </c>
      <c r="O325" t="s">
        <v>15</v>
      </c>
      <c r="P325" t="s">
        <v>82</v>
      </c>
      <c r="Q325" t="s">
        <v>371</v>
      </c>
    </row>
    <row r="326" spans="4:17" x14ac:dyDescent="0.25">
      <c r="D326" t="s">
        <v>10</v>
      </c>
      <c r="E326" t="s">
        <v>25</v>
      </c>
      <c r="F326" t="str">
        <f t="shared" si="25"/>
        <v>2024-02-01</v>
      </c>
      <c r="G326" t="str">
        <f t="shared" si="26"/>
        <v>2024-02-01</v>
      </c>
      <c r="H326">
        <f t="shared" si="27"/>
        <v>0</v>
      </c>
      <c r="J326" t="str">
        <f t="shared" si="28"/>
        <v>Иванова Анна СергеевнаСмирнов Константин Михайлович</v>
      </c>
      <c r="K326" t="s">
        <v>48</v>
      </c>
      <c r="L326" t="s">
        <v>85</v>
      </c>
      <c r="M326" t="s">
        <v>251</v>
      </c>
      <c r="N326" t="str">
        <f t="shared" si="29"/>
        <v>Громова Мария ИльиничнаАлексеева Виктория Александровна</v>
      </c>
      <c r="O326" t="s">
        <v>15</v>
      </c>
      <c r="P326" t="s">
        <v>195</v>
      </c>
      <c r="Q326" t="s">
        <v>370</v>
      </c>
    </row>
    <row r="327" spans="4:17" x14ac:dyDescent="0.25">
      <c r="D327" t="s">
        <v>10</v>
      </c>
      <c r="E327" t="s">
        <v>68</v>
      </c>
      <c r="F327" t="str">
        <f t="shared" si="25"/>
        <v>2023-10-05</v>
      </c>
      <c r="G327" t="str">
        <f t="shared" si="26"/>
        <v>2023-10-05</v>
      </c>
      <c r="H327">
        <f t="shared" si="27"/>
        <v>0</v>
      </c>
      <c r="J327" t="str">
        <f t="shared" si="28"/>
        <v>Кузнецов Дмитрий ЛьвовичВолкова Татьяна Егоровна</v>
      </c>
      <c r="K327" t="s">
        <v>23</v>
      </c>
      <c r="L327" t="s">
        <v>22</v>
      </c>
      <c r="M327" t="s">
        <v>251</v>
      </c>
      <c r="N327" t="str">
        <f t="shared" si="29"/>
        <v>Белов Алексей КонстантиновичМорозов Дмитрий Кириллович</v>
      </c>
      <c r="O327" t="s">
        <v>8</v>
      </c>
      <c r="P327" t="s">
        <v>32</v>
      </c>
      <c r="Q327" t="s">
        <v>370</v>
      </c>
    </row>
    <row r="328" spans="4:17" x14ac:dyDescent="0.25">
      <c r="D328" t="s">
        <v>10</v>
      </c>
      <c r="E328" t="s">
        <v>108</v>
      </c>
      <c r="F328" t="str">
        <f t="shared" si="25"/>
        <v>2024-06-11</v>
      </c>
      <c r="G328" t="str">
        <f t="shared" si="26"/>
        <v>2024-06-11</v>
      </c>
      <c r="H328">
        <f t="shared" si="27"/>
        <v>0</v>
      </c>
      <c r="J328" t="str">
        <f t="shared" si="28"/>
        <v>Ткаченко Андрей ОлеговичПетров Алексей Артемович</v>
      </c>
      <c r="K328" t="s">
        <v>5</v>
      </c>
      <c r="L328" t="s">
        <v>151</v>
      </c>
      <c r="M328" t="s">
        <v>251</v>
      </c>
      <c r="N328" t="str">
        <f t="shared" si="29"/>
        <v>Петров Владимир КирилловичВолкова Виктория Михайловна</v>
      </c>
      <c r="O328" t="s">
        <v>36</v>
      </c>
      <c r="P328" t="s">
        <v>40</v>
      </c>
      <c r="Q328" t="s">
        <v>370</v>
      </c>
    </row>
    <row r="329" spans="4:17" x14ac:dyDescent="0.25">
      <c r="D329" t="s">
        <v>10</v>
      </c>
      <c r="E329" t="s">
        <v>107</v>
      </c>
      <c r="F329" t="str">
        <f t="shared" si="25"/>
        <v>2024-07-29</v>
      </c>
      <c r="G329" t="str">
        <f t="shared" si="26"/>
        <v>2024-07-29</v>
      </c>
      <c r="H329">
        <f t="shared" si="27"/>
        <v>0</v>
      </c>
      <c r="J329" t="str">
        <f t="shared" si="28"/>
        <v>Орлов Павел ДенисовичПавлова Светлана Кирилловна</v>
      </c>
      <c r="K329" t="s">
        <v>17</v>
      </c>
      <c r="L329" t="s">
        <v>219</v>
      </c>
      <c r="M329" t="s">
        <v>251</v>
      </c>
      <c r="N329" t="str">
        <f t="shared" si="29"/>
        <v>Семенова Ирина ВалерьевнаМорозов Андрей Иванович</v>
      </c>
      <c r="O329" t="s">
        <v>46</v>
      </c>
      <c r="P329" t="s">
        <v>90</v>
      </c>
      <c r="Q329" t="s">
        <v>370</v>
      </c>
    </row>
    <row r="330" spans="4:17" x14ac:dyDescent="0.25">
      <c r="D330" t="s">
        <v>10</v>
      </c>
      <c r="E330" t="s">
        <v>244</v>
      </c>
      <c r="F330" t="str">
        <f t="shared" si="25"/>
        <v>2024-08-30</v>
      </c>
      <c r="G330" t="str">
        <f t="shared" si="26"/>
        <v>2024-08-30</v>
      </c>
      <c r="H330">
        <f t="shared" si="27"/>
        <v>0</v>
      </c>
      <c r="J330" t="str">
        <f t="shared" si="28"/>
        <v>Ткаченко Андрей ОлеговичОрлова Валерия Юрьевна</v>
      </c>
      <c r="K330" t="s">
        <v>5</v>
      </c>
      <c r="L330" t="s">
        <v>81</v>
      </c>
      <c r="M330" t="s">
        <v>251</v>
      </c>
      <c r="N330" t="str">
        <f t="shared" si="29"/>
        <v>Фролов Сергей ВикторовичИванов Андрей Михайлович</v>
      </c>
      <c r="O330" t="s">
        <v>27</v>
      </c>
      <c r="P330" t="s">
        <v>229</v>
      </c>
      <c r="Q330" t="s">
        <v>369</v>
      </c>
    </row>
    <row r="331" spans="4:17" x14ac:dyDescent="0.25">
      <c r="D331" t="s">
        <v>10</v>
      </c>
      <c r="E331" t="s">
        <v>292</v>
      </c>
      <c r="F331" t="str">
        <f t="shared" si="25"/>
        <v>2024-03-29</v>
      </c>
      <c r="G331" t="str">
        <f t="shared" si="26"/>
        <v>2024-04-18</v>
      </c>
      <c r="H331">
        <f t="shared" si="27"/>
        <v>20</v>
      </c>
      <c r="J331" t="str">
        <f t="shared" si="28"/>
        <v>Громова Мария ИльиничнаОрлова Валерия Юрьевна</v>
      </c>
      <c r="K331" t="s">
        <v>15</v>
      </c>
      <c r="L331" t="s">
        <v>81</v>
      </c>
      <c r="M331" t="s">
        <v>251</v>
      </c>
      <c r="N331" t="str">
        <f t="shared" si="29"/>
        <v>Яковлев Артем ИгоревичФедоров Александр Дмитриевич</v>
      </c>
      <c r="O331" t="s">
        <v>52</v>
      </c>
      <c r="P331" t="s">
        <v>136</v>
      </c>
      <c r="Q331" t="s">
        <v>368</v>
      </c>
    </row>
    <row r="332" spans="4:17" x14ac:dyDescent="0.25">
      <c r="D332" t="s">
        <v>17</v>
      </c>
      <c r="E332" t="s">
        <v>438</v>
      </c>
      <c r="F332" t="str">
        <f t="shared" si="25"/>
        <v>2024-08-12</v>
      </c>
      <c r="G332" t="str">
        <f t="shared" si="26"/>
        <v>2024-08-12</v>
      </c>
      <c r="H332">
        <f t="shared" si="27"/>
        <v>0</v>
      </c>
      <c r="J332" t="str">
        <f t="shared" si="28"/>
        <v>Семенова Ирина ВалерьевнаОрлов Алексей Юрьевич</v>
      </c>
      <c r="K332" t="s">
        <v>46</v>
      </c>
      <c r="L332" t="s">
        <v>252</v>
      </c>
      <c r="M332" t="s">
        <v>253</v>
      </c>
      <c r="N332" t="str">
        <f t="shared" si="29"/>
        <v>Фролов Сергей ВикторовичАлексеева Алиса Ильинична</v>
      </c>
      <c r="O332" t="s">
        <v>27</v>
      </c>
      <c r="P332" t="s">
        <v>64</v>
      </c>
      <c r="Q332" t="s">
        <v>368</v>
      </c>
    </row>
    <row r="333" spans="4:17" x14ac:dyDescent="0.25">
      <c r="D333" t="s">
        <v>17</v>
      </c>
      <c r="E333" t="s">
        <v>64</v>
      </c>
      <c r="F333" t="str">
        <f t="shared" si="25"/>
        <v>2024-01-12</v>
      </c>
      <c r="G333" t="str">
        <f t="shared" si="26"/>
        <v>2024-01-12</v>
      </c>
      <c r="H333">
        <f t="shared" si="27"/>
        <v>0</v>
      </c>
      <c r="J333" t="str">
        <f t="shared" si="28"/>
        <v>Фролов Сергей ВикторовичНовиков Иван Никитич</v>
      </c>
      <c r="K333" t="s">
        <v>27</v>
      </c>
      <c r="L333" t="s">
        <v>181</v>
      </c>
      <c r="M333" t="s">
        <v>254</v>
      </c>
      <c r="N333" t="str">
        <f t="shared" si="29"/>
        <v>Новикова Ольга ПетровнаСмирнов Александр Владимирович</v>
      </c>
      <c r="O333" t="s">
        <v>10</v>
      </c>
      <c r="P333" t="s">
        <v>101</v>
      </c>
      <c r="Q333" t="s">
        <v>368</v>
      </c>
    </row>
    <row r="334" spans="4:17" x14ac:dyDescent="0.25">
      <c r="D334" t="s">
        <v>17</v>
      </c>
      <c r="E334" t="s">
        <v>195</v>
      </c>
      <c r="F334" t="str">
        <f t="shared" si="25"/>
        <v>2024-03-26</v>
      </c>
      <c r="G334" t="str">
        <f t="shared" si="26"/>
        <v>2024-08-19</v>
      </c>
      <c r="H334">
        <f t="shared" si="27"/>
        <v>146</v>
      </c>
      <c r="J334" t="str">
        <f t="shared" si="28"/>
        <v>Петров Владимир КирилловичПавлов Константин Никитич</v>
      </c>
      <c r="K334" t="s">
        <v>36</v>
      </c>
      <c r="L334" t="s">
        <v>232</v>
      </c>
      <c r="M334" t="s">
        <v>254</v>
      </c>
      <c r="N334" t="str">
        <f t="shared" si="29"/>
        <v>Громова Мария ИльиничнаАлексеев Павел Дмитриевич</v>
      </c>
      <c r="O334" t="s">
        <v>15</v>
      </c>
      <c r="P334" t="s">
        <v>168</v>
      </c>
      <c r="Q334" t="s">
        <v>368</v>
      </c>
    </row>
    <row r="335" spans="4:17" x14ac:dyDescent="0.25">
      <c r="D335" t="s">
        <v>17</v>
      </c>
      <c r="E335" t="s">
        <v>126</v>
      </c>
      <c r="F335" t="str">
        <f t="shared" si="25"/>
        <v>2023-12-05</v>
      </c>
      <c r="G335" t="str">
        <f t="shared" si="26"/>
        <v>2023-12-05</v>
      </c>
      <c r="H335">
        <f t="shared" si="27"/>
        <v>0</v>
      </c>
      <c r="J335" t="str">
        <f t="shared" si="28"/>
        <v>Яковлев Артем ИгоревичСмирнова София Ильинична</v>
      </c>
      <c r="K335" t="s">
        <v>52</v>
      </c>
      <c r="L335" t="s">
        <v>160</v>
      </c>
      <c r="M335" t="s">
        <v>254</v>
      </c>
      <c r="N335" t="str">
        <f t="shared" si="29"/>
        <v>Семенова Ирина ВалерьевнаНиколаев Артур Никитич</v>
      </c>
      <c r="O335" t="s">
        <v>46</v>
      </c>
      <c r="P335" t="s">
        <v>129</v>
      </c>
      <c r="Q335" t="s">
        <v>367</v>
      </c>
    </row>
    <row r="336" spans="4:17" x14ac:dyDescent="0.25">
      <c r="D336" t="s">
        <v>17</v>
      </c>
      <c r="E336" t="s">
        <v>184</v>
      </c>
      <c r="F336" t="str">
        <f t="shared" si="25"/>
        <v>2024-01-09</v>
      </c>
      <c r="G336" t="str">
        <f t="shared" si="26"/>
        <v>2024-07-01</v>
      </c>
      <c r="H336">
        <f t="shared" si="27"/>
        <v>174</v>
      </c>
      <c r="J336" t="str">
        <f t="shared" si="28"/>
        <v>Фролов Сергей ВикторовичПетрова Дарья Егоровна</v>
      </c>
      <c r="K336" t="s">
        <v>27</v>
      </c>
      <c r="L336" t="s">
        <v>24</v>
      </c>
      <c r="M336" t="s">
        <v>254</v>
      </c>
      <c r="N336" t="str">
        <f t="shared" si="29"/>
        <v>Семенова Ирина ВалерьевнаСтепанов Артем Юрьевич</v>
      </c>
      <c r="O336" t="s">
        <v>46</v>
      </c>
      <c r="P336" t="s">
        <v>328</v>
      </c>
      <c r="Q336" t="s">
        <v>367</v>
      </c>
    </row>
    <row r="337" spans="4:17" x14ac:dyDescent="0.25">
      <c r="D337" t="s">
        <v>17</v>
      </c>
      <c r="E337" t="s">
        <v>180</v>
      </c>
      <c r="F337" t="str">
        <f t="shared" si="25"/>
        <v>2023-12-04</v>
      </c>
      <c r="G337" t="str">
        <f t="shared" si="26"/>
        <v>2023-12-04</v>
      </c>
      <c r="H337">
        <f t="shared" si="27"/>
        <v>0</v>
      </c>
      <c r="J337" t="str">
        <f t="shared" si="28"/>
        <v>Семенова Ирина ВалерьевнаНиколаев Павел Артемович</v>
      </c>
      <c r="K337" t="s">
        <v>46</v>
      </c>
      <c r="L337" t="s">
        <v>235</v>
      </c>
      <c r="M337" t="s">
        <v>254</v>
      </c>
      <c r="N337" t="str">
        <f t="shared" si="29"/>
        <v>Новикова Ольга ПетровнаВасильев Никита Викторович</v>
      </c>
      <c r="O337" t="s">
        <v>10</v>
      </c>
      <c r="P337" t="s">
        <v>47</v>
      </c>
      <c r="Q337" t="s">
        <v>367</v>
      </c>
    </row>
    <row r="338" spans="4:17" x14ac:dyDescent="0.25">
      <c r="D338" t="s">
        <v>17</v>
      </c>
      <c r="E338" t="s">
        <v>158</v>
      </c>
      <c r="F338" t="str">
        <f t="shared" si="25"/>
        <v>2023-12-20</v>
      </c>
      <c r="G338" t="str">
        <f t="shared" si="26"/>
        <v>2023-12-20</v>
      </c>
      <c r="H338">
        <f t="shared" si="27"/>
        <v>0</v>
      </c>
      <c r="J338" t="str">
        <f t="shared" si="28"/>
        <v>Орлов Павел ДенисовичОрлова Александра Викторовна</v>
      </c>
      <c r="K338" t="s">
        <v>17</v>
      </c>
      <c r="L338" t="s">
        <v>34</v>
      </c>
      <c r="M338" t="s">
        <v>255</v>
      </c>
      <c r="N338" t="str">
        <f t="shared" si="29"/>
        <v>Иванова Анна СергеевнаСидоров Дмитрий Алексеевич</v>
      </c>
      <c r="O338" t="s">
        <v>48</v>
      </c>
      <c r="P338" t="s">
        <v>141</v>
      </c>
      <c r="Q338" t="s">
        <v>366</v>
      </c>
    </row>
    <row r="339" spans="4:17" x14ac:dyDescent="0.25">
      <c r="D339" t="s">
        <v>17</v>
      </c>
      <c r="E339" t="s">
        <v>47</v>
      </c>
      <c r="F339" t="str">
        <f t="shared" si="25"/>
        <v>2024-06-05</v>
      </c>
      <c r="G339" t="str">
        <f t="shared" si="26"/>
        <v>2024-06-05</v>
      </c>
      <c r="H339">
        <f t="shared" si="27"/>
        <v>0</v>
      </c>
      <c r="J339" t="str">
        <f t="shared" si="28"/>
        <v>Орлов Павел ДенисовичОрлов Кирилл Владимирович</v>
      </c>
      <c r="K339" t="s">
        <v>17</v>
      </c>
      <c r="L339" t="s">
        <v>79</v>
      </c>
      <c r="M339" t="s">
        <v>255</v>
      </c>
      <c r="N339" t="str">
        <f t="shared" si="29"/>
        <v>Семенова Ирина ВалерьевнаНиколаева Ирина Владимировна</v>
      </c>
      <c r="O339" t="s">
        <v>46</v>
      </c>
      <c r="P339" t="s">
        <v>66</v>
      </c>
      <c r="Q339" t="s">
        <v>366</v>
      </c>
    </row>
    <row r="340" spans="4:17" x14ac:dyDescent="0.25">
      <c r="D340" t="s">
        <v>17</v>
      </c>
      <c r="E340" t="s">
        <v>216</v>
      </c>
      <c r="F340" t="str">
        <f t="shared" si="25"/>
        <v>2023-12-26</v>
      </c>
      <c r="G340" t="str">
        <f t="shared" si="26"/>
        <v>2023-12-26</v>
      </c>
      <c r="H340">
        <f t="shared" si="27"/>
        <v>0</v>
      </c>
      <c r="J340" t="str">
        <f t="shared" si="28"/>
        <v>Новикова Ольга ПетровнаОрлова Александра Викторовна</v>
      </c>
      <c r="K340" t="s">
        <v>10</v>
      </c>
      <c r="L340" t="s">
        <v>34</v>
      </c>
      <c r="M340" t="s">
        <v>255</v>
      </c>
      <c r="N340" t="str">
        <f t="shared" si="29"/>
        <v>Белов Алексей КонстантиновичВасильев Александр Иванович</v>
      </c>
      <c r="O340" t="s">
        <v>8</v>
      </c>
      <c r="P340" t="s">
        <v>158</v>
      </c>
      <c r="Q340" t="s">
        <v>366</v>
      </c>
    </row>
    <row r="341" spans="4:17" x14ac:dyDescent="0.25">
      <c r="D341" t="s">
        <v>17</v>
      </c>
      <c r="E341" t="s">
        <v>304</v>
      </c>
      <c r="F341" t="str">
        <f t="shared" si="25"/>
        <v>2024-02-19</v>
      </c>
      <c r="G341" t="str">
        <f t="shared" si="26"/>
        <v>2024-02-19</v>
      </c>
      <c r="H341">
        <f t="shared" si="27"/>
        <v>0</v>
      </c>
      <c r="J341" t="str">
        <f t="shared" si="28"/>
        <v>Кузнецов Дмитрий ЛьвовичЛебедев Иван Юрьевич</v>
      </c>
      <c r="K341" t="s">
        <v>23</v>
      </c>
      <c r="L341" t="s">
        <v>237</v>
      </c>
      <c r="M341" t="s">
        <v>255</v>
      </c>
      <c r="N341" t="str">
        <f t="shared" si="29"/>
        <v>Ткаченко Андрей ОлеговичИванова Екатерина Егоровна</v>
      </c>
      <c r="O341" t="s">
        <v>5</v>
      </c>
      <c r="P341" t="s">
        <v>131</v>
      </c>
      <c r="Q341" t="s">
        <v>366</v>
      </c>
    </row>
    <row r="342" spans="4:17" x14ac:dyDescent="0.25">
      <c r="D342" t="s">
        <v>17</v>
      </c>
      <c r="E342" t="s">
        <v>116</v>
      </c>
      <c r="F342" t="str">
        <f t="shared" si="25"/>
        <v>2024-03-22</v>
      </c>
      <c r="G342" t="str">
        <f t="shared" si="26"/>
        <v>2024-03-22</v>
      </c>
      <c r="H342">
        <f t="shared" si="27"/>
        <v>0</v>
      </c>
      <c r="J342" t="str">
        <f t="shared" si="28"/>
        <v>Фролов Сергей ВикторовичКозлов Артем Владимирович</v>
      </c>
      <c r="K342" t="s">
        <v>27</v>
      </c>
      <c r="L342" t="s">
        <v>113</v>
      </c>
      <c r="M342" t="s">
        <v>255</v>
      </c>
      <c r="N342" t="str">
        <f t="shared" si="29"/>
        <v>Новикова Ольга ПетровнаВасильев Георгий Станиславович</v>
      </c>
      <c r="O342" t="s">
        <v>10</v>
      </c>
      <c r="P342" t="s">
        <v>243</v>
      </c>
      <c r="Q342" t="s">
        <v>366</v>
      </c>
    </row>
    <row r="343" spans="4:17" x14ac:dyDescent="0.25">
      <c r="D343" t="s">
        <v>17</v>
      </c>
      <c r="E343" t="s">
        <v>37</v>
      </c>
      <c r="F343" t="str">
        <f t="shared" si="25"/>
        <v>2023-11-20</v>
      </c>
      <c r="G343" t="str">
        <f t="shared" si="26"/>
        <v>2024-03-01</v>
      </c>
      <c r="H343">
        <f t="shared" si="27"/>
        <v>102</v>
      </c>
      <c r="J343" t="str">
        <f t="shared" si="28"/>
        <v>Петров Владимир КирилловичКузнецова София Сергеевна</v>
      </c>
      <c r="K343" t="s">
        <v>36</v>
      </c>
      <c r="L343" t="s">
        <v>86</v>
      </c>
      <c r="M343" t="s">
        <v>255</v>
      </c>
      <c r="N343" t="str">
        <f t="shared" si="29"/>
        <v>Новикова Ольга ПетровнаМорозова Ольга Геннадьевна</v>
      </c>
      <c r="O343" t="s">
        <v>10</v>
      </c>
      <c r="P343" t="s">
        <v>56</v>
      </c>
      <c r="Q343" t="s">
        <v>366</v>
      </c>
    </row>
    <row r="344" spans="4:17" x14ac:dyDescent="0.25">
      <c r="D344" t="s">
        <v>17</v>
      </c>
      <c r="E344" t="s">
        <v>84</v>
      </c>
      <c r="F344" t="str">
        <f t="shared" si="25"/>
        <v>2023-09-22</v>
      </c>
      <c r="G344" t="str">
        <f t="shared" si="26"/>
        <v>2024-04-25</v>
      </c>
      <c r="H344">
        <f t="shared" si="27"/>
        <v>216</v>
      </c>
      <c r="J344" t="str">
        <f t="shared" si="28"/>
        <v>Белов Алексей КонстантиновичКозлов Артур Андреевич</v>
      </c>
      <c r="K344" t="s">
        <v>8</v>
      </c>
      <c r="L344" t="s">
        <v>63</v>
      </c>
      <c r="M344" t="s">
        <v>255</v>
      </c>
      <c r="N344" t="str">
        <f t="shared" si="29"/>
        <v>Петров Владимир КирилловичПетрова Виктория Олеговна</v>
      </c>
      <c r="O344" t="s">
        <v>36</v>
      </c>
      <c r="P344" t="s">
        <v>338</v>
      </c>
      <c r="Q344" t="s">
        <v>365</v>
      </c>
    </row>
    <row r="345" spans="4:17" x14ac:dyDescent="0.25">
      <c r="D345" t="s">
        <v>17</v>
      </c>
      <c r="E345" t="s">
        <v>55</v>
      </c>
      <c r="F345" t="str">
        <f t="shared" si="25"/>
        <v>2024-07-01</v>
      </c>
      <c r="G345" t="str">
        <f t="shared" si="26"/>
        <v>2024-07-01</v>
      </c>
      <c r="H345">
        <f t="shared" si="27"/>
        <v>0</v>
      </c>
      <c r="J345" t="str">
        <f t="shared" si="28"/>
        <v>Фролов Сергей ВикторовичВолкова Наталья Александровна</v>
      </c>
      <c r="K345" t="s">
        <v>27</v>
      </c>
      <c r="L345" t="s">
        <v>115</v>
      </c>
      <c r="M345" t="s">
        <v>255</v>
      </c>
      <c r="N345" t="str">
        <f t="shared" si="29"/>
        <v>Белов Алексей КонстантиновичСтепанов Артем Юрьевич</v>
      </c>
      <c r="O345" t="s">
        <v>8</v>
      </c>
      <c r="P345" t="s">
        <v>328</v>
      </c>
      <c r="Q345" t="s">
        <v>365</v>
      </c>
    </row>
    <row r="346" spans="4:17" x14ac:dyDescent="0.25">
      <c r="D346" t="s">
        <v>17</v>
      </c>
      <c r="E346" t="s">
        <v>40</v>
      </c>
      <c r="F346" t="str">
        <f t="shared" si="25"/>
        <v>2023-11-29</v>
      </c>
      <c r="G346" t="str">
        <f t="shared" si="26"/>
        <v>2024-07-15</v>
      </c>
      <c r="H346">
        <f t="shared" si="27"/>
        <v>229</v>
      </c>
      <c r="J346" t="str">
        <f t="shared" si="28"/>
        <v>Семенова Ирина ВалерьевнаПетров Михаил Юрьевич</v>
      </c>
      <c r="K346" t="s">
        <v>46</v>
      </c>
      <c r="L346" t="s">
        <v>256</v>
      </c>
      <c r="M346" t="s">
        <v>255</v>
      </c>
      <c r="N346" t="str">
        <f t="shared" si="29"/>
        <v>Сидорова Елена ВасильевнаПавлов Никита Ильич</v>
      </c>
      <c r="O346" t="s">
        <v>12</v>
      </c>
      <c r="P346" t="s">
        <v>249</v>
      </c>
      <c r="Q346" t="s">
        <v>363</v>
      </c>
    </row>
    <row r="347" spans="4:17" x14ac:dyDescent="0.25">
      <c r="D347" t="s">
        <v>17</v>
      </c>
      <c r="E347" t="s">
        <v>417</v>
      </c>
      <c r="F347" t="str">
        <f t="shared" si="25"/>
        <v>2024-07-15</v>
      </c>
      <c r="G347" t="str">
        <f t="shared" si="26"/>
        <v>2024-07-15</v>
      </c>
      <c r="H347">
        <f t="shared" si="27"/>
        <v>0</v>
      </c>
      <c r="J347" t="str">
        <f t="shared" si="28"/>
        <v>Яковлев Артем ИгоревичКозлова Алиса Алексеевна</v>
      </c>
      <c r="K347" t="s">
        <v>52</v>
      </c>
      <c r="L347" t="s">
        <v>156</v>
      </c>
      <c r="M347" t="s">
        <v>257</v>
      </c>
      <c r="N347" t="str">
        <f t="shared" si="29"/>
        <v>Орлов Павел ДенисовичВолков Константин Алексеевич</v>
      </c>
      <c r="O347" t="s">
        <v>17</v>
      </c>
      <c r="P347" t="s">
        <v>84</v>
      </c>
      <c r="Q347" t="s">
        <v>363</v>
      </c>
    </row>
    <row r="348" spans="4:17" x14ac:dyDescent="0.25">
      <c r="D348" t="s">
        <v>17</v>
      </c>
      <c r="E348" t="s">
        <v>130</v>
      </c>
      <c r="F348" t="str">
        <f t="shared" si="25"/>
        <v>2023-11-23</v>
      </c>
      <c r="G348" t="str">
        <f t="shared" si="26"/>
        <v>2023-11-23</v>
      </c>
      <c r="H348">
        <f t="shared" si="27"/>
        <v>0</v>
      </c>
      <c r="J348" t="str">
        <f t="shared" si="28"/>
        <v>Семенова Ирина ВалерьевнаПетрова Дарья Кирилловна</v>
      </c>
      <c r="K348" t="s">
        <v>46</v>
      </c>
      <c r="L348" t="s">
        <v>198</v>
      </c>
      <c r="M348" t="s">
        <v>257</v>
      </c>
      <c r="N348" t="str">
        <f t="shared" si="29"/>
        <v>Петров Владимир КирилловичЛебедева Ирина Романовна</v>
      </c>
      <c r="O348" t="s">
        <v>36</v>
      </c>
      <c r="P348" t="s">
        <v>364</v>
      </c>
      <c r="Q348" t="s">
        <v>363</v>
      </c>
    </row>
    <row r="349" spans="4:17" x14ac:dyDescent="0.25">
      <c r="D349" t="s">
        <v>17</v>
      </c>
      <c r="E349" t="s">
        <v>264</v>
      </c>
      <c r="F349" t="str">
        <f t="shared" si="25"/>
        <v>2024-05-27</v>
      </c>
      <c r="G349" t="str">
        <f t="shared" si="26"/>
        <v>2024-05-27</v>
      </c>
      <c r="H349">
        <f t="shared" si="27"/>
        <v>0</v>
      </c>
      <c r="J349" t="str">
        <f t="shared" si="28"/>
        <v>Фролов Сергей ВикторовичОрлова Валерия Юрьевна</v>
      </c>
      <c r="K349" t="s">
        <v>27</v>
      </c>
      <c r="L349" t="s">
        <v>81</v>
      </c>
      <c r="M349" t="s">
        <v>257</v>
      </c>
      <c r="N349" t="str">
        <f t="shared" si="29"/>
        <v>Сидорова Елена ВасильевнаИванова Анна Викторовна</v>
      </c>
      <c r="O349" t="s">
        <v>12</v>
      </c>
      <c r="P349" t="s">
        <v>281</v>
      </c>
      <c r="Q349" t="s">
        <v>363</v>
      </c>
    </row>
    <row r="350" spans="4:17" x14ac:dyDescent="0.25">
      <c r="D350" t="s">
        <v>17</v>
      </c>
      <c r="E350" t="s">
        <v>281</v>
      </c>
      <c r="F350" t="str">
        <f t="shared" si="25"/>
        <v>2024-05-08</v>
      </c>
      <c r="G350" t="str">
        <f t="shared" si="26"/>
        <v>2024-05-08</v>
      </c>
      <c r="H350">
        <f t="shared" si="27"/>
        <v>0</v>
      </c>
      <c r="J350" t="str">
        <f t="shared" si="28"/>
        <v>Сидорова Елена ВасильевнаВолков Никита Кириллович</v>
      </c>
      <c r="K350" t="s">
        <v>12</v>
      </c>
      <c r="L350" t="s">
        <v>240</v>
      </c>
      <c r="M350" t="s">
        <v>257</v>
      </c>
      <c r="N350" t="str">
        <f t="shared" si="29"/>
        <v>Кузнецов Дмитрий ЛьвовичИванова Александра Никитична</v>
      </c>
      <c r="O350" t="s">
        <v>23</v>
      </c>
      <c r="P350" t="s">
        <v>264</v>
      </c>
      <c r="Q350" t="s">
        <v>363</v>
      </c>
    </row>
    <row r="351" spans="4:17" x14ac:dyDescent="0.25">
      <c r="D351" t="s">
        <v>17</v>
      </c>
      <c r="E351" t="s">
        <v>131</v>
      </c>
      <c r="F351" t="str">
        <f t="shared" si="25"/>
        <v>2023-10-20</v>
      </c>
      <c r="G351" t="str">
        <f t="shared" si="26"/>
        <v>2024-02-26</v>
      </c>
      <c r="H351">
        <f t="shared" si="27"/>
        <v>129</v>
      </c>
      <c r="J351" t="str">
        <f t="shared" si="28"/>
        <v>Орлов Павел ДенисовичАлексеева Ксения Андреевна</v>
      </c>
      <c r="K351" t="s">
        <v>17</v>
      </c>
      <c r="L351" t="s">
        <v>184</v>
      </c>
      <c r="M351" t="s">
        <v>257</v>
      </c>
      <c r="N351" t="str">
        <f t="shared" si="29"/>
        <v>Фролов Сергей ВикторовичМорозов Никита Иванович</v>
      </c>
      <c r="O351" t="s">
        <v>27</v>
      </c>
      <c r="P351" t="s">
        <v>335</v>
      </c>
      <c r="Q351" t="s">
        <v>362</v>
      </c>
    </row>
    <row r="352" spans="4:17" x14ac:dyDescent="0.25">
      <c r="D352" t="s">
        <v>17</v>
      </c>
      <c r="E352" t="s">
        <v>74</v>
      </c>
      <c r="F352" t="str">
        <f t="shared" si="25"/>
        <v>2023-09-19</v>
      </c>
      <c r="G352" t="str">
        <f t="shared" si="26"/>
        <v>2023-09-19</v>
      </c>
      <c r="H352">
        <f t="shared" si="27"/>
        <v>0</v>
      </c>
      <c r="J352" t="str">
        <f t="shared" si="28"/>
        <v>Громова Мария ИльиничнаЛебедев Артур Олегович</v>
      </c>
      <c r="K352" t="s">
        <v>15</v>
      </c>
      <c r="L352" t="s">
        <v>258</v>
      </c>
      <c r="M352" t="s">
        <v>257</v>
      </c>
      <c r="N352" t="str">
        <f t="shared" si="29"/>
        <v>Иванова Анна СергеевнаВолков Роман Иванович</v>
      </c>
      <c r="O352" t="s">
        <v>48</v>
      </c>
      <c r="P352" t="s">
        <v>75</v>
      </c>
      <c r="Q352" t="s">
        <v>362</v>
      </c>
    </row>
    <row r="353" spans="4:17" x14ac:dyDescent="0.25">
      <c r="D353" t="s">
        <v>17</v>
      </c>
      <c r="E353" t="s">
        <v>156</v>
      </c>
      <c r="F353" t="str">
        <f t="shared" si="25"/>
        <v>2024-03-04</v>
      </c>
      <c r="G353" t="str">
        <f t="shared" si="26"/>
        <v>2024-03-04</v>
      </c>
      <c r="H353">
        <f t="shared" si="27"/>
        <v>0</v>
      </c>
      <c r="J353" t="str">
        <f t="shared" si="28"/>
        <v>Орлов Павел ДенисовичПавлов Артур Романович</v>
      </c>
      <c r="K353" t="s">
        <v>17</v>
      </c>
      <c r="L353" t="s">
        <v>223</v>
      </c>
      <c r="M353" t="s">
        <v>257</v>
      </c>
      <c r="N353" t="str">
        <f t="shared" si="29"/>
        <v>Ткаченко Андрей ОлеговичИванова Анна Викторовна</v>
      </c>
      <c r="O353" t="s">
        <v>5</v>
      </c>
      <c r="P353" t="s">
        <v>281</v>
      </c>
      <c r="Q353" t="s">
        <v>362</v>
      </c>
    </row>
    <row r="354" spans="4:17" x14ac:dyDescent="0.25">
      <c r="D354" t="s">
        <v>17</v>
      </c>
      <c r="E354" t="s">
        <v>248</v>
      </c>
      <c r="F354" t="str">
        <f t="shared" si="25"/>
        <v>2024-01-29</v>
      </c>
      <c r="G354" t="str">
        <f t="shared" si="26"/>
        <v>2024-01-29</v>
      </c>
      <c r="H354">
        <f t="shared" si="27"/>
        <v>0</v>
      </c>
      <c r="J354" t="str">
        <f t="shared" si="28"/>
        <v>Кузнецов Дмитрий ЛьвовичЛебедева Полина Артемовна</v>
      </c>
      <c r="K354" t="s">
        <v>23</v>
      </c>
      <c r="L354" t="s">
        <v>38</v>
      </c>
      <c r="M354" t="s">
        <v>257</v>
      </c>
      <c r="N354" t="str">
        <f t="shared" si="29"/>
        <v>Иванова Анна СергеевнаСеменов Никита Михайлович</v>
      </c>
      <c r="O354" t="s">
        <v>48</v>
      </c>
      <c r="P354" t="s">
        <v>300</v>
      </c>
      <c r="Q354" t="s">
        <v>362</v>
      </c>
    </row>
    <row r="355" spans="4:17" x14ac:dyDescent="0.25">
      <c r="D355" t="s">
        <v>17</v>
      </c>
      <c r="E355" t="s">
        <v>209</v>
      </c>
      <c r="F355" t="str">
        <f t="shared" si="25"/>
        <v>2023-12-01</v>
      </c>
      <c r="G355" t="str">
        <f t="shared" si="26"/>
        <v>2023-12-01</v>
      </c>
      <c r="H355">
        <f t="shared" si="27"/>
        <v>0</v>
      </c>
      <c r="J355" t="str">
        <f t="shared" si="28"/>
        <v>Громова Мария ИльиничнаНиколаев Александр Романович</v>
      </c>
      <c r="K355" t="s">
        <v>15</v>
      </c>
      <c r="L355" t="s">
        <v>80</v>
      </c>
      <c r="M355" t="s">
        <v>259</v>
      </c>
      <c r="N355" t="str">
        <f t="shared" si="29"/>
        <v>Фролов Сергей ВикторовичЛебедева Людмила Юрьевна</v>
      </c>
      <c r="O355" t="s">
        <v>27</v>
      </c>
      <c r="P355" t="s">
        <v>238</v>
      </c>
      <c r="Q355" t="s">
        <v>362</v>
      </c>
    </row>
    <row r="356" spans="4:17" x14ac:dyDescent="0.25">
      <c r="D356" t="s">
        <v>17</v>
      </c>
      <c r="E356" t="s">
        <v>120</v>
      </c>
      <c r="F356" t="str">
        <f t="shared" si="25"/>
        <v>2024-07-22</v>
      </c>
      <c r="G356" t="str">
        <f t="shared" si="26"/>
        <v>2024-07-22</v>
      </c>
      <c r="H356">
        <f t="shared" si="27"/>
        <v>0</v>
      </c>
      <c r="J356" t="str">
        <f t="shared" si="28"/>
        <v>Фролов Сергей ВикторовичОрлов Роман Дмитриевич</v>
      </c>
      <c r="K356" t="s">
        <v>27</v>
      </c>
      <c r="L356" t="s">
        <v>239</v>
      </c>
      <c r="M356" t="s">
        <v>259</v>
      </c>
      <c r="N356" t="str">
        <f t="shared" si="29"/>
        <v>Иванова Анна СергеевнаФедорова Вероника Ивановна</v>
      </c>
      <c r="O356" t="s">
        <v>48</v>
      </c>
      <c r="P356" t="s">
        <v>107</v>
      </c>
      <c r="Q356" t="s">
        <v>361</v>
      </c>
    </row>
    <row r="357" spans="4:17" x14ac:dyDescent="0.25">
      <c r="D357" t="s">
        <v>17</v>
      </c>
      <c r="E357" t="s">
        <v>86</v>
      </c>
      <c r="F357" t="str">
        <f t="shared" si="25"/>
        <v>2023-09-22</v>
      </c>
      <c r="G357" t="str">
        <f t="shared" si="26"/>
        <v>2024-03-04</v>
      </c>
      <c r="H357">
        <f t="shared" si="27"/>
        <v>164</v>
      </c>
      <c r="J357" t="str">
        <f t="shared" si="28"/>
        <v>Яковлев Артем ИгоревичПавлова Анна Михайловна</v>
      </c>
      <c r="K357" t="s">
        <v>52</v>
      </c>
      <c r="L357" t="s">
        <v>191</v>
      </c>
      <c r="M357" t="s">
        <v>259</v>
      </c>
      <c r="N357" t="str">
        <f t="shared" si="29"/>
        <v>Семенова Ирина ВалерьевнаАлексеева Полина Станиславовна</v>
      </c>
      <c r="O357" t="s">
        <v>46</v>
      </c>
      <c r="P357" t="s">
        <v>180</v>
      </c>
      <c r="Q357" t="s">
        <v>361</v>
      </c>
    </row>
    <row r="358" spans="4:17" x14ac:dyDescent="0.25">
      <c r="D358" t="s">
        <v>17</v>
      </c>
      <c r="E358" t="s">
        <v>6</v>
      </c>
      <c r="F358" t="str">
        <f t="shared" si="25"/>
        <v>2024-03-18</v>
      </c>
      <c r="G358" t="str">
        <f t="shared" si="26"/>
        <v>2024-03-18</v>
      </c>
      <c r="H358">
        <f t="shared" si="27"/>
        <v>0</v>
      </c>
      <c r="J358" t="str">
        <f t="shared" si="28"/>
        <v>Фролов Сергей ВикторовичМорозова Людмила Юрьевна</v>
      </c>
      <c r="K358" t="s">
        <v>27</v>
      </c>
      <c r="L358" t="s">
        <v>44</v>
      </c>
      <c r="M358" t="s">
        <v>260</v>
      </c>
      <c r="N358" t="str">
        <f t="shared" si="29"/>
        <v>Петров Владимир КирилловичСмирнов Михаил Алексеевич</v>
      </c>
      <c r="O358" t="s">
        <v>36</v>
      </c>
      <c r="P358" t="s">
        <v>28</v>
      </c>
      <c r="Q358" t="s">
        <v>361</v>
      </c>
    </row>
    <row r="359" spans="4:17" x14ac:dyDescent="0.25">
      <c r="D359" t="s">
        <v>17</v>
      </c>
      <c r="E359" t="s">
        <v>62</v>
      </c>
      <c r="F359" t="str">
        <f t="shared" si="25"/>
        <v>2024-01-15</v>
      </c>
      <c r="G359" t="str">
        <f t="shared" si="26"/>
        <v>2024-06-17</v>
      </c>
      <c r="H359">
        <f t="shared" si="27"/>
        <v>154</v>
      </c>
      <c r="J359" t="str">
        <f t="shared" si="28"/>
        <v>Новикова Ольга ПетровнаОрлова Анна Дмитриевна</v>
      </c>
      <c r="K359" t="s">
        <v>10</v>
      </c>
      <c r="L359" t="s">
        <v>165</v>
      </c>
      <c r="M359" t="s">
        <v>261</v>
      </c>
      <c r="N359" t="str">
        <f t="shared" si="29"/>
        <v>Кузнецов Дмитрий ЛьвовичАлексеев Андрей Кириллович</v>
      </c>
      <c r="O359" t="s">
        <v>23</v>
      </c>
      <c r="P359" t="s">
        <v>317</v>
      </c>
      <c r="Q359" t="s">
        <v>361</v>
      </c>
    </row>
    <row r="360" spans="4:17" x14ac:dyDescent="0.25">
      <c r="D360" t="s">
        <v>17</v>
      </c>
      <c r="E360" t="s">
        <v>38</v>
      </c>
      <c r="F360" t="str">
        <f t="shared" si="25"/>
        <v>2024-07-29</v>
      </c>
      <c r="G360" t="str">
        <f t="shared" si="26"/>
        <v>2024-07-29</v>
      </c>
      <c r="H360">
        <f t="shared" si="27"/>
        <v>0</v>
      </c>
      <c r="J360" t="str">
        <f t="shared" si="28"/>
        <v>Яковлев Артем ИгоревичКузнецов Георгий Никитич</v>
      </c>
      <c r="K360" t="s">
        <v>52</v>
      </c>
      <c r="L360" t="s">
        <v>188</v>
      </c>
      <c r="M360" t="s">
        <v>261</v>
      </c>
      <c r="N360" t="str">
        <f t="shared" si="29"/>
        <v>Ткаченко Андрей ОлеговичЛебедева Людмила Юрьевна</v>
      </c>
      <c r="O360" t="s">
        <v>5</v>
      </c>
      <c r="P360" t="s">
        <v>238</v>
      </c>
      <c r="Q360" t="s">
        <v>360</v>
      </c>
    </row>
    <row r="361" spans="4:17" x14ac:dyDescent="0.25">
      <c r="D361" t="s">
        <v>17</v>
      </c>
      <c r="E361" t="s">
        <v>150</v>
      </c>
      <c r="F361" t="str">
        <f t="shared" si="25"/>
        <v>2024-03-27</v>
      </c>
      <c r="G361" t="str">
        <f t="shared" si="26"/>
        <v>2024-03-27</v>
      </c>
      <c r="H361">
        <f t="shared" si="27"/>
        <v>0</v>
      </c>
      <c r="J361" t="str">
        <f t="shared" si="28"/>
        <v>Орлов Павел ДенисовичАлексеева Алиса Ильинична</v>
      </c>
      <c r="K361" t="s">
        <v>17</v>
      </c>
      <c r="L361" t="s">
        <v>64</v>
      </c>
      <c r="M361" t="s">
        <v>261</v>
      </c>
      <c r="N361" t="str">
        <f t="shared" si="29"/>
        <v>Новикова Ольга ПетровнаКузнецов Павел Егорович</v>
      </c>
      <c r="O361" t="s">
        <v>10</v>
      </c>
      <c r="P361" t="s">
        <v>320</v>
      </c>
      <c r="Q361" t="s">
        <v>360</v>
      </c>
    </row>
    <row r="362" spans="4:17" x14ac:dyDescent="0.25">
      <c r="D362" t="s">
        <v>17</v>
      </c>
      <c r="E362" t="s">
        <v>69</v>
      </c>
      <c r="F362" t="str">
        <f t="shared" si="25"/>
        <v>2023-09-18</v>
      </c>
      <c r="G362" t="str">
        <f t="shared" si="26"/>
        <v>2023-09-18</v>
      </c>
      <c r="H362">
        <f t="shared" si="27"/>
        <v>0</v>
      </c>
      <c r="J362" t="str">
        <f t="shared" si="28"/>
        <v>Орлов Павел ДенисовичЛебедев Роман Станиславович</v>
      </c>
      <c r="K362" t="s">
        <v>17</v>
      </c>
      <c r="L362" t="s">
        <v>62</v>
      </c>
      <c r="M362" t="s">
        <v>262</v>
      </c>
      <c r="N362" t="str">
        <f t="shared" si="29"/>
        <v>Иванова Анна СергеевнаКозлов Артем Владимирович</v>
      </c>
      <c r="O362" t="s">
        <v>48</v>
      </c>
      <c r="P362" t="s">
        <v>113</v>
      </c>
      <c r="Q362" t="s">
        <v>360</v>
      </c>
    </row>
    <row r="363" spans="4:17" x14ac:dyDescent="0.25">
      <c r="D363" t="s">
        <v>17</v>
      </c>
      <c r="E363" t="s">
        <v>144</v>
      </c>
      <c r="F363" t="str">
        <f t="shared" si="25"/>
        <v>2024-02-05</v>
      </c>
      <c r="G363" t="str">
        <f t="shared" si="26"/>
        <v>2024-02-05</v>
      </c>
      <c r="H363">
        <f t="shared" si="27"/>
        <v>0</v>
      </c>
      <c r="J363" t="str">
        <f t="shared" si="28"/>
        <v>Иванова Анна СергеевнаМорозов Константин Романович</v>
      </c>
      <c r="K363" t="s">
        <v>48</v>
      </c>
      <c r="L363" t="s">
        <v>91</v>
      </c>
      <c r="M363" t="s">
        <v>262</v>
      </c>
      <c r="N363" t="str">
        <f t="shared" si="29"/>
        <v>Иванова Анна СергеевнаКозлова Ксения Владимировна</v>
      </c>
      <c r="O363" t="s">
        <v>48</v>
      </c>
      <c r="P363" t="s">
        <v>173</v>
      </c>
      <c r="Q363" t="s">
        <v>360</v>
      </c>
    </row>
    <row r="364" spans="4:17" x14ac:dyDescent="0.25">
      <c r="D364" t="s">
        <v>17</v>
      </c>
      <c r="E364" t="s">
        <v>140</v>
      </c>
      <c r="F364" t="str">
        <f t="shared" si="25"/>
        <v>2024-05-08</v>
      </c>
      <c r="G364" t="str">
        <f t="shared" si="26"/>
        <v>2024-05-08</v>
      </c>
      <c r="H364">
        <f t="shared" si="27"/>
        <v>0</v>
      </c>
      <c r="J364" t="str">
        <f t="shared" si="28"/>
        <v>Орлов Павел ДенисовичСидорова Полина Александровна</v>
      </c>
      <c r="K364" t="s">
        <v>17</v>
      </c>
      <c r="L364" t="s">
        <v>18</v>
      </c>
      <c r="M364" t="s">
        <v>262</v>
      </c>
      <c r="N364" t="str">
        <f t="shared" si="29"/>
        <v>Семенова Ирина ВалерьевнаНиколаев Павел Артемович</v>
      </c>
      <c r="O364" t="s">
        <v>46</v>
      </c>
      <c r="P364" t="s">
        <v>235</v>
      </c>
      <c r="Q364" t="s">
        <v>360</v>
      </c>
    </row>
    <row r="365" spans="4:17" x14ac:dyDescent="0.25">
      <c r="D365" t="s">
        <v>17</v>
      </c>
      <c r="E365" t="s">
        <v>129</v>
      </c>
      <c r="F365" t="str">
        <f t="shared" si="25"/>
        <v>2024-06-04</v>
      </c>
      <c r="G365" t="str">
        <f t="shared" si="26"/>
        <v>2024-06-04</v>
      </c>
      <c r="H365">
        <f t="shared" si="27"/>
        <v>0</v>
      </c>
      <c r="J365" t="str">
        <f t="shared" si="28"/>
        <v>Белов Алексей КонстантиновичНиколаев Егор Станиславович</v>
      </c>
      <c r="K365" t="s">
        <v>8</v>
      </c>
      <c r="L365" t="s">
        <v>175</v>
      </c>
      <c r="M365" t="s">
        <v>262</v>
      </c>
      <c r="N365" t="str">
        <f t="shared" si="29"/>
        <v>Кузнецов Дмитрий ЛьвовичСмирнов Егор Никитич</v>
      </c>
      <c r="O365" t="s">
        <v>23</v>
      </c>
      <c r="P365" t="s">
        <v>296</v>
      </c>
      <c r="Q365" t="s">
        <v>358</v>
      </c>
    </row>
    <row r="366" spans="4:17" x14ac:dyDescent="0.25">
      <c r="D366" t="s">
        <v>17</v>
      </c>
      <c r="E366" t="s">
        <v>175</v>
      </c>
      <c r="F366" t="str">
        <f t="shared" si="25"/>
        <v>2024-07-31</v>
      </c>
      <c r="G366" t="str">
        <f t="shared" si="26"/>
        <v>2024-08-12</v>
      </c>
      <c r="H366">
        <f t="shared" si="27"/>
        <v>12</v>
      </c>
      <c r="J366" t="str">
        <f t="shared" si="28"/>
        <v>Сидорова Елена ВасильевнаПавлова Анна Артемовна</v>
      </c>
      <c r="K366" t="s">
        <v>12</v>
      </c>
      <c r="L366" t="s">
        <v>214</v>
      </c>
      <c r="M366" t="s">
        <v>262</v>
      </c>
      <c r="N366" t="str">
        <f t="shared" si="29"/>
        <v>Белов Алексей КонстантиновичСмирнова София Ильинична</v>
      </c>
      <c r="O366" t="s">
        <v>8</v>
      </c>
      <c r="P366" t="s">
        <v>160</v>
      </c>
      <c r="Q366" t="s">
        <v>358</v>
      </c>
    </row>
    <row r="367" spans="4:17" x14ac:dyDescent="0.25">
      <c r="D367" t="s">
        <v>17</v>
      </c>
      <c r="E367" t="s">
        <v>268</v>
      </c>
      <c r="F367" t="str">
        <f t="shared" si="25"/>
        <v>2024-08-12</v>
      </c>
      <c r="G367" t="str">
        <f t="shared" si="26"/>
        <v>2024-08-12</v>
      </c>
      <c r="H367">
        <f t="shared" si="27"/>
        <v>0</v>
      </c>
      <c r="J367" t="str">
        <f t="shared" si="28"/>
        <v>Семенова Ирина ВалерьевнаМорозова Людмила Юрьевна</v>
      </c>
      <c r="K367" t="s">
        <v>46</v>
      </c>
      <c r="L367" t="s">
        <v>44</v>
      </c>
      <c r="M367" t="s">
        <v>262</v>
      </c>
      <c r="N367" t="str">
        <f t="shared" si="29"/>
        <v>Петров Владимир КирилловичСеменова Виктория Владимировна</v>
      </c>
      <c r="O367" t="s">
        <v>36</v>
      </c>
      <c r="P367" t="s">
        <v>73</v>
      </c>
      <c r="Q367" t="s">
        <v>358</v>
      </c>
    </row>
    <row r="368" spans="4:17" x14ac:dyDescent="0.25">
      <c r="D368" t="s">
        <v>17</v>
      </c>
      <c r="E368" t="s">
        <v>16</v>
      </c>
      <c r="F368" t="str">
        <f t="shared" si="25"/>
        <v>2024-08-05</v>
      </c>
      <c r="G368" t="str">
        <f t="shared" si="26"/>
        <v>2024-08-05</v>
      </c>
      <c r="H368">
        <f t="shared" si="27"/>
        <v>0</v>
      </c>
      <c r="J368" t="str">
        <f t="shared" si="28"/>
        <v>Семенова Ирина ВалерьевнаСеменова Виктория Владимировна</v>
      </c>
      <c r="K368" t="s">
        <v>46</v>
      </c>
      <c r="L368" t="s">
        <v>73</v>
      </c>
      <c r="M368" t="s">
        <v>262</v>
      </c>
      <c r="N368" t="str">
        <f t="shared" si="29"/>
        <v>Петров Владимир КирилловичОрлов Михаил Олегович</v>
      </c>
      <c r="O368" t="s">
        <v>36</v>
      </c>
      <c r="P368" t="s">
        <v>359</v>
      </c>
      <c r="Q368" t="s">
        <v>358</v>
      </c>
    </row>
    <row r="369" spans="4:17" x14ac:dyDescent="0.25">
      <c r="D369" t="s">
        <v>17</v>
      </c>
      <c r="E369" t="s">
        <v>102</v>
      </c>
      <c r="F369" t="str">
        <f t="shared" si="25"/>
        <v>2024-04-08</v>
      </c>
      <c r="G369" t="str">
        <f t="shared" si="26"/>
        <v>2024-04-08</v>
      </c>
      <c r="H369">
        <f t="shared" si="27"/>
        <v>0</v>
      </c>
      <c r="J369" t="str">
        <f t="shared" si="28"/>
        <v>Сидорова Елена ВасильевнаПавлов Павел Павлович</v>
      </c>
      <c r="K369" t="s">
        <v>12</v>
      </c>
      <c r="L369" t="s">
        <v>207</v>
      </c>
      <c r="M369" t="s">
        <v>263</v>
      </c>
      <c r="N369" t="str">
        <f t="shared" si="29"/>
        <v>Громова Мария ИльиничнаКузнецова София Сергеевна</v>
      </c>
      <c r="O369" t="s">
        <v>15</v>
      </c>
      <c r="P369" t="s">
        <v>86</v>
      </c>
      <c r="Q369" t="s">
        <v>357</v>
      </c>
    </row>
    <row r="370" spans="4:17" x14ac:dyDescent="0.25">
      <c r="D370" t="s">
        <v>17</v>
      </c>
      <c r="E370" t="s">
        <v>312</v>
      </c>
      <c r="F370" t="str">
        <f t="shared" si="25"/>
        <v>2024-06-12</v>
      </c>
      <c r="G370" t="str">
        <f t="shared" si="26"/>
        <v>2024-06-12</v>
      </c>
      <c r="H370">
        <f t="shared" si="27"/>
        <v>0</v>
      </c>
      <c r="J370" t="str">
        <f t="shared" si="28"/>
        <v>Семенова Ирина ВалерьевнаИванова Александра Никитична</v>
      </c>
      <c r="K370" t="s">
        <v>46</v>
      </c>
      <c r="L370" t="s">
        <v>264</v>
      </c>
      <c r="M370" t="s">
        <v>263</v>
      </c>
      <c r="N370" t="str">
        <f t="shared" si="29"/>
        <v>Громова Мария ИльиничнаКозлова Ксения Владимировна</v>
      </c>
      <c r="O370" t="s">
        <v>15</v>
      </c>
      <c r="P370" t="s">
        <v>173</v>
      </c>
      <c r="Q370" t="s">
        <v>357</v>
      </c>
    </row>
    <row r="371" spans="4:17" x14ac:dyDescent="0.25">
      <c r="D371" t="s">
        <v>17</v>
      </c>
      <c r="E371" t="s">
        <v>53</v>
      </c>
      <c r="F371" t="str">
        <f t="shared" si="25"/>
        <v>2023-11-07</v>
      </c>
      <c r="G371" t="str">
        <f t="shared" si="26"/>
        <v>2023-11-07</v>
      </c>
      <c r="H371">
        <f t="shared" si="27"/>
        <v>0</v>
      </c>
      <c r="J371" t="str">
        <f t="shared" si="28"/>
        <v>Петров Владимир КирилловичНовикова Дарья Викторовна</v>
      </c>
      <c r="K371" t="s">
        <v>36</v>
      </c>
      <c r="L371" t="s">
        <v>138</v>
      </c>
      <c r="M371" t="s">
        <v>265</v>
      </c>
      <c r="N371" t="str">
        <f t="shared" si="29"/>
        <v>Новикова Ольга ПетровнаФедорова Татьяна Никитична</v>
      </c>
      <c r="O371" t="s">
        <v>10</v>
      </c>
      <c r="P371" t="s">
        <v>292</v>
      </c>
      <c r="Q371" t="s">
        <v>357</v>
      </c>
    </row>
    <row r="372" spans="4:17" x14ac:dyDescent="0.25">
      <c r="D372" t="s">
        <v>17</v>
      </c>
      <c r="E372" t="s">
        <v>79</v>
      </c>
      <c r="F372" t="str">
        <f t="shared" si="25"/>
        <v>2024-01-08</v>
      </c>
      <c r="G372" t="str">
        <f t="shared" si="26"/>
        <v>2024-03-13</v>
      </c>
      <c r="H372">
        <f t="shared" si="27"/>
        <v>65</v>
      </c>
      <c r="J372" t="str">
        <f t="shared" si="28"/>
        <v>Ткаченко Андрей ОлеговичМорозова Ольга Геннадьевна</v>
      </c>
      <c r="K372" t="s">
        <v>5</v>
      </c>
      <c r="L372" t="s">
        <v>56</v>
      </c>
      <c r="M372" t="s">
        <v>265</v>
      </c>
      <c r="N372" t="str">
        <f t="shared" si="29"/>
        <v>Семенова Ирина ВалерьевнаЛебедев Павел Кириллович</v>
      </c>
      <c r="O372" t="s">
        <v>46</v>
      </c>
      <c r="P372" t="s">
        <v>6</v>
      </c>
      <c r="Q372" t="s">
        <v>356</v>
      </c>
    </row>
    <row r="373" spans="4:17" x14ac:dyDescent="0.25">
      <c r="D373" t="s">
        <v>17</v>
      </c>
      <c r="E373" t="s">
        <v>239</v>
      </c>
      <c r="F373" t="str">
        <f t="shared" si="25"/>
        <v>2024-02-14</v>
      </c>
      <c r="G373" t="str">
        <f t="shared" si="26"/>
        <v>2024-02-14</v>
      </c>
      <c r="H373">
        <f t="shared" si="27"/>
        <v>0</v>
      </c>
      <c r="J373" t="str">
        <f t="shared" si="28"/>
        <v>Кузнецов Дмитрий ЛьвовичВасильев Георгий Станиславович</v>
      </c>
      <c r="K373" t="s">
        <v>23</v>
      </c>
      <c r="L373" t="s">
        <v>243</v>
      </c>
      <c r="M373" t="s">
        <v>266</v>
      </c>
      <c r="N373" t="str">
        <f t="shared" si="29"/>
        <v>Сидорова Елена ВасильевнаФедоров Александр Дмитриевич</v>
      </c>
      <c r="O373" t="s">
        <v>12</v>
      </c>
      <c r="P373" t="s">
        <v>136</v>
      </c>
      <c r="Q373" t="s">
        <v>356</v>
      </c>
    </row>
    <row r="374" spans="4:17" x14ac:dyDescent="0.25">
      <c r="D374" t="s">
        <v>17</v>
      </c>
      <c r="E374" t="s">
        <v>34</v>
      </c>
      <c r="F374" t="str">
        <f t="shared" si="25"/>
        <v>2024-01-08</v>
      </c>
      <c r="G374" t="str">
        <f t="shared" si="26"/>
        <v>2024-05-10</v>
      </c>
      <c r="H374">
        <f t="shared" si="27"/>
        <v>123</v>
      </c>
      <c r="J374" t="str">
        <f t="shared" si="28"/>
        <v>Белов Алексей КонстантиновичПопова Ольга Егоровна</v>
      </c>
      <c r="K374" t="s">
        <v>8</v>
      </c>
      <c r="L374" t="s">
        <v>9</v>
      </c>
      <c r="M374" t="s">
        <v>267</v>
      </c>
      <c r="N374" t="str">
        <f t="shared" si="29"/>
        <v>Ткаченко Андрей ОлеговичСеменов Сергей Дмитриевич</v>
      </c>
      <c r="O374" t="s">
        <v>5</v>
      </c>
      <c r="P374" t="s">
        <v>293</v>
      </c>
      <c r="Q374" t="s">
        <v>356</v>
      </c>
    </row>
    <row r="375" spans="4:17" x14ac:dyDescent="0.25">
      <c r="D375" t="s">
        <v>17</v>
      </c>
      <c r="E375" t="s">
        <v>223</v>
      </c>
      <c r="F375" t="str">
        <f t="shared" si="25"/>
        <v>2024-01-09</v>
      </c>
      <c r="G375" t="str">
        <f t="shared" si="26"/>
        <v>2024-01-09</v>
      </c>
      <c r="H375">
        <f t="shared" si="27"/>
        <v>0</v>
      </c>
      <c r="J375" t="str">
        <f t="shared" si="28"/>
        <v>Новикова Ольга ПетровнаНиколаева Ирина Романовна</v>
      </c>
      <c r="K375" t="s">
        <v>10</v>
      </c>
      <c r="L375" t="s">
        <v>268</v>
      </c>
      <c r="M375" t="s">
        <v>267</v>
      </c>
      <c r="N375" t="str">
        <f t="shared" si="29"/>
        <v>Семенова Ирина ВалерьевнаМорозов Илья Викторович</v>
      </c>
      <c r="O375" t="s">
        <v>46</v>
      </c>
      <c r="P375" t="s">
        <v>231</v>
      </c>
      <c r="Q375" t="s">
        <v>355</v>
      </c>
    </row>
    <row r="376" spans="4:17" x14ac:dyDescent="0.25">
      <c r="D376" t="s">
        <v>17</v>
      </c>
      <c r="E376" t="s">
        <v>232</v>
      </c>
      <c r="F376" t="str">
        <f t="shared" si="25"/>
        <v>2024-08-29</v>
      </c>
      <c r="G376" t="str">
        <f t="shared" si="26"/>
        <v>2024-08-29</v>
      </c>
      <c r="H376">
        <f t="shared" si="27"/>
        <v>0</v>
      </c>
      <c r="J376" t="str">
        <f t="shared" si="28"/>
        <v>Орлов Павел ДенисовичФедорова Алиса Кирилловна</v>
      </c>
      <c r="K376" t="s">
        <v>17</v>
      </c>
      <c r="L376" t="s">
        <v>193</v>
      </c>
      <c r="M376" t="s">
        <v>267</v>
      </c>
      <c r="N376" t="str">
        <f t="shared" si="29"/>
        <v>Громова Мария ИльиничнаСеменов Алексей Сергеевич</v>
      </c>
      <c r="O376" t="s">
        <v>15</v>
      </c>
      <c r="P376" t="s">
        <v>280</v>
      </c>
      <c r="Q376" t="s">
        <v>355</v>
      </c>
    </row>
    <row r="377" spans="4:17" x14ac:dyDescent="0.25">
      <c r="D377" t="s">
        <v>17</v>
      </c>
      <c r="E377" t="s">
        <v>249</v>
      </c>
      <c r="F377" t="str">
        <f t="shared" si="25"/>
        <v>2024-01-01</v>
      </c>
      <c r="G377" t="str">
        <f t="shared" si="26"/>
        <v>2024-02-06</v>
      </c>
      <c r="H377">
        <f t="shared" si="27"/>
        <v>36</v>
      </c>
      <c r="J377" t="str">
        <f t="shared" si="28"/>
        <v>Кузнецов Дмитрий ЛьвовичСтепанов Александр Юрьевич</v>
      </c>
      <c r="K377" t="s">
        <v>23</v>
      </c>
      <c r="L377" t="s">
        <v>97</v>
      </c>
      <c r="M377" t="s">
        <v>267</v>
      </c>
      <c r="N377" t="str">
        <f t="shared" si="29"/>
        <v>Фролов Сергей ВикторовичНиколаев Павел Артемович</v>
      </c>
      <c r="O377" t="s">
        <v>27</v>
      </c>
      <c r="P377" t="s">
        <v>235</v>
      </c>
      <c r="Q377" t="s">
        <v>355</v>
      </c>
    </row>
    <row r="378" spans="4:17" x14ac:dyDescent="0.25">
      <c r="D378" t="s">
        <v>17</v>
      </c>
      <c r="E378" t="s">
        <v>207</v>
      </c>
      <c r="F378" t="str">
        <f t="shared" si="25"/>
        <v>2024-05-13</v>
      </c>
      <c r="G378" t="str">
        <f t="shared" si="26"/>
        <v>2024-05-13</v>
      </c>
      <c r="H378">
        <f t="shared" si="27"/>
        <v>0</v>
      </c>
      <c r="J378" t="str">
        <f t="shared" si="28"/>
        <v>Новикова Ольга ПетровнаНовикова Алиса Юрьевна</v>
      </c>
      <c r="K378" t="s">
        <v>10</v>
      </c>
      <c r="L378" t="s">
        <v>102</v>
      </c>
      <c r="M378" t="s">
        <v>269</v>
      </c>
      <c r="N378" t="str">
        <f t="shared" si="29"/>
        <v>Орлов Павел ДенисовичАлексеева Ксения Андреевна</v>
      </c>
      <c r="O378" t="s">
        <v>17</v>
      </c>
      <c r="P378" t="s">
        <v>184</v>
      </c>
      <c r="Q378" t="s">
        <v>354</v>
      </c>
    </row>
    <row r="379" spans="4:17" x14ac:dyDescent="0.25">
      <c r="D379" t="s">
        <v>17</v>
      </c>
      <c r="E379" t="s">
        <v>134</v>
      </c>
      <c r="F379" t="str">
        <f t="shared" si="25"/>
        <v>2024-08-07</v>
      </c>
      <c r="G379" t="str">
        <f t="shared" si="26"/>
        <v>2024-08-07</v>
      </c>
      <c r="H379">
        <f t="shared" si="27"/>
        <v>0</v>
      </c>
      <c r="J379" t="str">
        <f t="shared" si="28"/>
        <v>Громова Мария ИльиничнаСтепанов Александр Юрьевич</v>
      </c>
      <c r="K379" t="s">
        <v>15</v>
      </c>
      <c r="L379" t="s">
        <v>97</v>
      </c>
      <c r="M379" t="s">
        <v>269</v>
      </c>
      <c r="N379" t="str">
        <f t="shared" si="29"/>
        <v>Яковлев Артем ИгоревичСеменова Виктория Владимировна</v>
      </c>
      <c r="O379" t="s">
        <v>52</v>
      </c>
      <c r="P379" t="s">
        <v>73</v>
      </c>
      <c r="Q379" t="s">
        <v>354</v>
      </c>
    </row>
    <row r="380" spans="4:17" x14ac:dyDescent="0.25">
      <c r="D380" t="s">
        <v>17</v>
      </c>
      <c r="E380" t="s">
        <v>191</v>
      </c>
      <c r="F380" t="str">
        <f t="shared" si="25"/>
        <v>2024-03-18</v>
      </c>
      <c r="G380" t="str">
        <f t="shared" si="26"/>
        <v>2024-03-18</v>
      </c>
      <c r="H380">
        <f t="shared" si="27"/>
        <v>0</v>
      </c>
      <c r="J380" t="str">
        <f t="shared" si="28"/>
        <v>Петров Владимир КирилловичСидорова Виктория Ильинична</v>
      </c>
      <c r="K380" t="s">
        <v>36</v>
      </c>
      <c r="L380" t="s">
        <v>270</v>
      </c>
      <c r="M380" t="s">
        <v>269</v>
      </c>
      <c r="N380" t="str">
        <f t="shared" si="29"/>
        <v>Орлов Павел ДенисовичСидорова Виктория Ильинична</v>
      </c>
      <c r="O380" t="s">
        <v>17</v>
      </c>
      <c r="P380" t="s">
        <v>270</v>
      </c>
      <c r="Q380" t="s">
        <v>354</v>
      </c>
    </row>
    <row r="381" spans="4:17" x14ac:dyDescent="0.25">
      <c r="D381" t="s">
        <v>17</v>
      </c>
      <c r="E381" t="s">
        <v>57</v>
      </c>
      <c r="F381" t="str">
        <f t="shared" si="25"/>
        <v>2023-12-04</v>
      </c>
      <c r="G381" t="str">
        <f t="shared" si="26"/>
        <v>2023-12-04</v>
      </c>
      <c r="H381">
        <f t="shared" si="27"/>
        <v>0</v>
      </c>
      <c r="J381" t="str">
        <f t="shared" si="28"/>
        <v>Фролов Сергей ВикторовичИванова Екатерина Егоровна</v>
      </c>
      <c r="K381" t="s">
        <v>27</v>
      </c>
      <c r="L381" t="s">
        <v>131</v>
      </c>
      <c r="M381" t="s">
        <v>269</v>
      </c>
      <c r="N381" t="str">
        <f t="shared" si="29"/>
        <v>Иванова Анна СергеевнаПетрова Дарья Егоровна</v>
      </c>
      <c r="O381" t="s">
        <v>48</v>
      </c>
      <c r="P381" t="s">
        <v>24</v>
      </c>
      <c r="Q381" t="s">
        <v>354</v>
      </c>
    </row>
    <row r="382" spans="4:17" x14ac:dyDescent="0.25">
      <c r="D382" t="s">
        <v>17</v>
      </c>
      <c r="E382" t="s">
        <v>112</v>
      </c>
      <c r="F382" t="str">
        <f t="shared" si="25"/>
        <v>2024-07-08</v>
      </c>
      <c r="G382" t="str">
        <f t="shared" si="26"/>
        <v>2024-07-08</v>
      </c>
      <c r="H382">
        <f t="shared" si="27"/>
        <v>0</v>
      </c>
      <c r="J382" t="str">
        <f t="shared" si="28"/>
        <v>Фролов Сергей ВикторовичПопов Михаил Александрович</v>
      </c>
      <c r="K382" t="s">
        <v>27</v>
      </c>
      <c r="L382" t="s">
        <v>271</v>
      </c>
      <c r="M382" t="s">
        <v>269</v>
      </c>
      <c r="N382" t="str">
        <f t="shared" si="29"/>
        <v>Сидорова Елена ВасильевнаОрлов Роман Дмитриевич</v>
      </c>
      <c r="O382" t="s">
        <v>12</v>
      </c>
      <c r="P382" t="s">
        <v>239</v>
      </c>
      <c r="Q382" t="s">
        <v>354</v>
      </c>
    </row>
    <row r="383" spans="4:17" x14ac:dyDescent="0.25">
      <c r="D383" t="s">
        <v>17</v>
      </c>
      <c r="E383" t="s">
        <v>219</v>
      </c>
      <c r="F383" t="str">
        <f t="shared" si="25"/>
        <v>2024-01-03</v>
      </c>
      <c r="G383" t="str">
        <f t="shared" si="26"/>
        <v>2024-01-03</v>
      </c>
      <c r="H383">
        <f t="shared" si="27"/>
        <v>0</v>
      </c>
      <c r="J383" t="str">
        <f t="shared" si="28"/>
        <v>Ткаченко Андрей ОлеговичОрлов Владимир Геннадьевич</v>
      </c>
      <c r="K383" t="s">
        <v>5</v>
      </c>
      <c r="L383" t="s">
        <v>272</v>
      </c>
      <c r="M383" t="s">
        <v>269</v>
      </c>
      <c r="N383" t="str">
        <f t="shared" si="29"/>
        <v>Ткаченко Андрей ОлеговичКузнецова Валерия Романовна</v>
      </c>
      <c r="O383" t="s">
        <v>5</v>
      </c>
      <c r="P383" t="s">
        <v>71</v>
      </c>
      <c r="Q383" t="s">
        <v>353</v>
      </c>
    </row>
    <row r="384" spans="4:17" x14ac:dyDescent="0.25">
      <c r="D384" t="s">
        <v>17</v>
      </c>
      <c r="E384" t="s">
        <v>198</v>
      </c>
      <c r="F384" t="str">
        <f t="shared" si="25"/>
        <v>2024-02-26</v>
      </c>
      <c r="G384" t="str">
        <f t="shared" si="26"/>
        <v>2024-02-26</v>
      </c>
      <c r="H384">
        <f t="shared" si="27"/>
        <v>0</v>
      </c>
      <c r="J384" t="str">
        <f t="shared" si="28"/>
        <v>Белов Алексей КонстантиновичОрлов Алексей Юрьевич</v>
      </c>
      <c r="K384" t="s">
        <v>8</v>
      </c>
      <c r="L384" t="s">
        <v>252</v>
      </c>
      <c r="M384" t="s">
        <v>269</v>
      </c>
      <c r="N384" t="str">
        <f t="shared" si="29"/>
        <v>Семенова Ирина ВалерьевнаВасильева Наталья Никитична</v>
      </c>
      <c r="O384" t="s">
        <v>46</v>
      </c>
      <c r="P384" t="s">
        <v>116</v>
      </c>
      <c r="Q384" t="s">
        <v>353</v>
      </c>
    </row>
    <row r="385" spans="4:17" x14ac:dyDescent="0.25">
      <c r="D385" t="s">
        <v>17</v>
      </c>
      <c r="E385" t="s">
        <v>29</v>
      </c>
      <c r="F385" t="str">
        <f t="shared" si="25"/>
        <v>2024-05-15</v>
      </c>
      <c r="G385" t="str">
        <f t="shared" si="26"/>
        <v>2024-05-15</v>
      </c>
      <c r="H385">
        <f t="shared" si="27"/>
        <v>0</v>
      </c>
      <c r="J385" t="str">
        <f t="shared" si="28"/>
        <v>Белов Алексей КонстантиновичСидоров Михаил Артемович</v>
      </c>
      <c r="K385" t="s">
        <v>8</v>
      </c>
      <c r="L385" t="s">
        <v>185</v>
      </c>
      <c r="M385" t="s">
        <v>269</v>
      </c>
      <c r="N385" t="str">
        <f t="shared" si="29"/>
        <v>Семенова Ирина ВалерьевнаИванова Анна Викторовна</v>
      </c>
      <c r="O385" t="s">
        <v>46</v>
      </c>
      <c r="P385" t="s">
        <v>281</v>
      </c>
      <c r="Q385" t="s">
        <v>352</v>
      </c>
    </row>
    <row r="386" spans="4:17" x14ac:dyDescent="0.25">
      <c r="D386" t="s">
        <v>17</v>
      </c>
      <c r="E386" t="s">
        <v>59</v>
      </c>
      <c r="F386" t="str">
        <f t="shared" si="25"/>
        <v>2023-12-12</v>
      </c>
      <c r="G386" t="str">
        <f t="shared" si="26"/>
        <v>2024-08-05</v>
      </c>
      <c r="H386">
        <f t="shared" si="27"/>
        <v>237</v>
      </c>
      <c r="J386" t="str">
        <f t="shared" si="28"/>
        <v>Семенова Ирина ВалерьевнаКозлов Михаил Артемович</v>
      </c>
      <c r="K386" t="s">
        <v>46</v>
      </c>
      <c r="L386" t="s">
        <v>273</v>
      </c>
      <c r="M386" t="s">
        <v>274</v>
      </c>
      <c r="N386" t="str">
        <f t="shared" si="29"/>
        <v>Ткаченко Андрей ОлеговичЛебедева Ирина Михайловна</v>
      </c>
      <c r="O386" t="s">
        <v>5</v>
      </c>
      <c r="P386" t="s">
        <v>302</v>
      </c>
      <c r="Q386" t="s">
        <v>352</v>
      </c>
    </row>
    <row r="387" spans="4:17" x14ac:dyDescent="0.25">
      <c r="D387" t="s">
        <v>17</v>
      </c>
      <c r="E387" t="s">
        <v>275</v>
      </c>
      <c r="F387" t="str">
        <f t="shared" ref="F387:F450" si="30">VLOOKUP(D387&amp;E387,J:M,4,0)</f>
        <v>2024-01-23</v>
      </c>
      <c r="G387" t="str">
        <f t="shared" ref="G387:G450" si="31">VLOOKUP(D387&amp;E387,N:Q,4,0)</f>
        <v>2024-01-23</v>
      </c>
      <c r="H387">
        <f t="shared" ref="H387:H450" si="32">G387-F387</f>
        <v>0</v>
      </c>
      <c r="J387" t="str">
        <f t="shared" ref="J387:J450" si="33">K387&amp;L387</f>
        <v>Ткаченко Андрей ОлеговичСтепанов Алексей Артемович</v>
      </c>
      <c r="K387" t="s">
        <v>5</v>
      </c>
      <c r="L387" t="s">
        <v>206</v>
      </c>
      <c r="M387" t="s">
        <v>274</v>
      </c>
      <c r="N387" t="str">
        <f t="shared" ref="N387:N450" si="34">O387&amp;P387</f>
        <v>Громова Мария ИльиничнаПетрова Полина Дмитриевна</v>
      </c>
      <c r="O387" t="s">
        <v>15</v>
      </c>
      <c r="P387" t="s">
        <v>109</v>
      </c>
      <c r="Q387" t="s">
        <v>351</v>
      </c>
    </row>
    <row r="388" spans="4:17" x14ac:dyDescent="0.25">
      <c r="D388" t="s">
        <v>17</v>
      </c>
      <c r="E388" t="s">
        <v>203</v>
      </c>
      <c r="F388" t="str">
        <f t="shared" si="30"/>
        <v>2024-02-14</v>
      </c>
      <c r="G388" t="str">
        <f t="shared" si="31"/>
        <v>2024-02-14</v>
      </c>
      <c r="H388">
        <f t="shared" si="32"/>
        <v>0</v>
      </c>
      <c r="J388" t="str">
        <f t="shared" si="33"/>
        <v>Кузнецов Дмитрий ЛьвовичКузнецова Валерия Романовна</v>
      </c>
      <c r="K388" t="s">
        <v>23</v>
      </c>
      <c r="L388" t="s">
        <v>71</v>
      </c>
      <c r="M388" t="s">
        <v>274</v>
      </c>
      <c r="N388" t="str">
        <f t="shared" si="34"/>
        <v>Новикова Ольга ПетровнаПавлов Матвей Дмитриевич</v>
      </c>
      <c r="O388" t="s">
        <v>10</v>
      </c>
      <c r="P388" t="s">
        <v>103</v>
      </c>
      <c r="Q388" t="s">
        <v>349</v>
      </c>
    </row>
    <row r="389" spans="4:17" x14ac:dyDescent="0.25">
      <c r="D389" t="s">
        <v>17</v>
      </c>
      <c r="E389" t="s">
        <v>105</v>
      </c>
      <c r="F389" t="str">
        <f t="shared" si="30"/>
        <v>2023-12-04</v>
      </c>
      <c r="G389" t="str">
        <f t="shared" si="31"/>
        <v>2024-08-27</v>
      </c>
      <c r="H389">
        <f t="shared" si="32"/>
        <v>267</v>
      </c>
      <c r="J389" t="str">
        <f t="shared" si="33"/>
        <v>Новикова Ольга ПетровнаПавлов Константин Никитич</v>
      </c>
      <c r="K389" t="s">
        <v>10</v>
      </c>
      <c r="L389" t="s">
        <v>232</v>
      </c>
      <c r="M389" t="s">
        <v>274</v>
      </c>
      <c r="N389" t="str">
        <f t="shared" si="34"/>
        <v>Иванова Анна СергеевнаНовиков Сергей Никитич</v>
      </c>
      <c r="O389" t="s">
        <v>48</v>
      </c>
      <c r="P389" t="s">
        <v>197</v>
      </c>
      <c r="Q389" t="s">
        <v>349</v>
      </c>
    </row>
    <row r="390" spans="4:17" x14ac:dyDescent="0.25">
      <c r="D390" t="s">
        <v>17</v>
      </c>
      <c r="E390" t="s">
        <v>9</v>
      </c>
      <c r="F390" t="str">
        <f t="shared" si="30"/>
        <v>2024-08-19</v>
      </c>
      <c r="G390" t="str">
        <f t="shared" si="31"/>
        <v>2024-08-19</v>
      </c>
      <c r="H390">
        <f t="shared" si="32"/>
        <v>0</v>
      </c>
      <c r="J390" t="str">
        <f t="shared" si="33"/>
        <v>Орлов Павел ДенисовичПетрова Юлия Геннадьевна</v>
      </c>
      <c r="K390" t="s">
        <v>17</v>
      </c>
      <c r="L390" t="s">
        <v>275</v>
      </c>
      <c r="M390" t="s">
        <v>274</v>
      </c>
      <c r="N390" t="str">
        <f t="shared" si="34"/>
        <v>Иванова Анна СергеевнаКозлов Сергей Ильич</v>
      </c>
      <c r="O390" t="s">
        <v>48</v>
      </c>
      <c r="P390" t="s">
        <v>350</v>
      </c>
      <c r="Q390" t="s">
        <v>349</v>
      </c>
    </row>
    <row r="391" spans="4:17" x14ac:dyDescent="0.25">
      <c r="D391" t="s">
        <v>17</v>
      </c>
      <c r="E391" t="s">
        <v>449</v>
      </c>
      <c r="F391" t="str">
        <f t="shared" si="30"/>
        <v>2024-08-26</v>
      </c>
      <c r="G391" t="str">
        <f t="shared" si="31"/>
        <v>2024-08-26</v>
      </c>
      <c r="H391">
        <f t="shared" si="32"/>
        <v>0</v>
      </c>
      <c r="J391" t="str">
        <f t="shared" si="33"/>
        <v>Белов Алексей КонстантиновичНиколаев Павел Артемович</v>
      </c>
      <c r="K391" t="s">
        <v>8</v>
      </c>
      <c r="L391" t="s">
        <v>235</v>
      </c>
      <c r="M391" t="s">
        <v>274</v>
      </c>
      <c r="N391" t="str">
        <f t="shared" si="34"/>
        <v>Кузнецов Дмитрий ЛьвовичНиколаев Павел Артемович</v>
      </c>
      <c r="O391" t="s">
        <v>23</v>
      </c>
      <c r="P391" t="s">
        <v>235</v>
      </c>
      <c r="Q391" t="s">
        <v>349</v>
      </c>
    </row>
    <row r="392" spans="4:17" x14ac:dyDescent="0.25">
      <c r="D392" t="s">
        <v>17</v>
      </c>
      <c r="E392" t="s">
        <v>300</v>
      </c>
      <c r="F392" t="str">
        <f t="shared" si="30"/>
        <v>2024-02-29</v>
      </c>
      <c r="G392" t="str">
        <f t="shared" si="31"/>
        <v>2024-02-29</v>
      </c>
      <c r="H392">
        <f t="shared" si="32"/>
        <v>0</v>
      </c>
      <c r="J392" t="str">
        <f t="shared" si="33"/>
        <v>Громова Мария ИльиничнаЕгорова Полина Сергеевна</v>
      </c>
      <c r="K392" t="s">
        <v>15</v>
      </c>
      <c r="L392" t="s">
        <v>19</v>
      </c>
      <c r="M392" t="s">
        <v>276</v>
      </c>
      <c r="N392" t="str">
        <f t="shared" si="34"/>
        <v>Орлов Павел ДенисовичНовикова Алиса Юрьевна</v>
      </c>
      <c r="O392" t="s">
        <v>17</v>
      </c>
      <c r="P392" t="s">
        <v>102</v>
      </c>
      <c r="Q392" t="s">
        <v>349</v>
      </c>
    </row>
    <row r="393" spans="4:17" x14ac:dyDescent="0.25">
      <c r="D393" t="s">
        <v>17</v>
      </c>
      <c r="E393" t="s">
        <v>141</v>
      </c>
      <c r="F393" t="str">
        <f t="shared" si="30"/>
        <v>2023-10-27</v>
      </c>
      <c r="G393" t="str">
        <f t="shared" si="31"/>
        <v>2023-10-27</v>
      </c>
      <c r="H393">
        <f t="shared" si="32"/>
        <v>0</v>
      </c>
      <c r="J393" t="str">
        <f t="shared" si="33"/>
        <v>Кузнецов Дмитрий ЛьвовичПавлова Екатерина Павловна</v>
      </c>
      <c r="K393" t="s">
        <v>23</v>
      </c>
      <c r="L393" t="s">
        <v>57</v>
      </c>
      <c r="M393" t="s">
        <v>276</v>
      </c>
      <c r="N393" t="str">
        <f t="shared" si="34"/>
        <v>Фролов Сергей ВикторовичПетров Сергей Викторович</v>
      </c>
      <c r="O393" t="s">
        <v>27</v>
      </c>
      <c r="P393" t="s">
        <v>98</v>
      </c>
      <c r="Q393" t="s">
        <v>349</v>
      </c>
    </row>
    <row r="394" spans="4:17" x14ac:dyDescent="0.25">
      <c r="D394" t="s">
        <v>17</v>
      </c>
      <c r="E394" t="s">
        <v>287</v>
      </c>
      <c r="F394" t="str">
        <f t="shared" si="30"/>
        <v>2024-02-06</v>
      </c>
      <c r="G394" t="str">
        <f t="shared" si="31"/>
        <v>2024-02-06</v>
      </c>
      <c r="H394">
        <f t="shared" si="32"/>
        <v>0</v>
      </c>
      <c r="J394" t="str">
        <f t="shared" si="33"/>
        <v>Семенова Ирина ВалерьевнаМорозов Дмитрий Кириллович</v>
      </c>
      <c r="K394" t="s">
        <v>46</v>
      </c>
      <c r="L394" t="s">
        <v>32</v>
      </c>
      <c r="M394" t="s">
        <v>276</v>
      </c>
      <c r="N394" t="str">
        <f t="shared" si="34"/>
        <v>Новикова Ольга ПетровнаНиколаева Ирина Владимировна</v>
      </c>
      <c r="O394" t="s">
        <v>10</v>
      </c>
      <c r="P394" t="s">
        <v>66</v>
      </c>
      <c r="Q394" t="s">
        <v>349</v>
      </c>
    </row>
    <row r="395" spans="4:17" x14ac:dyDescent="0.25">
      <c r="D395" t="s">
        <v>17</v>
      </c>
      <c r="E395" t="s">
        <v>270</v>
      </c>
      <c r="F395" t="str">
        <f t="shared" si="30"/>
        <v>2024-04-15</v>
      </c>
      <c r="G395" t="str">
        <f t="shared" si="31"/>
        <v>2024-07-08</v>
      </c>
      <c r="H395">
        <f t="shared" si="32"/>
        <v>84</v>
      </c>
      <c r="J395" t="str">
        <f t="shared" si="33"/>
        <v>Иванова Анна СергеевнаПавлов Матвей Дмитриевич</v>
      </c>
      <c r="K395" t="s">
        <v>48</v>
      </c>
      <c r="L395" t="s">
        <v>103</v>
      </c>
      <c r="M395" t="s">
        <v>277</v>
      </c>
      <c r="N395" t="str">
        <f t="shared" si="34"/>
        <v>Громова Мария ИльиничнаКузнецов Никита Сергеевич</v>
      </c>
      <c r="O395" t="s">
        <v>15</v>
      </c>
      <c r="P395" t="s">
        <v>248</v>
      </c>
      <c r="Q395" t="s">
        <v>349</v>
      </c>
    </row>
    <row r="396" spans="4:17" x14ac:dyDescent="0.25">
      <c r="D396" t="s">
        <v>17</v>
      </c>
      <c r="E396" t="s">
        <v>18</v>
      </c>
      <c r="F396" t="str">
        <f t="shared" si="30"/>
        <v>2023-09-04</v>
      </c>
      <c r="G396" t="str">
        <f t="shared" si="31"/>
        <v>2024-01-15</v>
      </c>
      <c r="H396">
        <f t="shared" si="32"/>
        <v>133</v>
      </c>
      <c r="J396" t="str">
        <f t="shared" si="33"/>
        <v>Яковлев Артем ИгоревичКозлова Ирина Павловна</v>
      </c>
      <c r="K396" t="s">
        <v>52</v>
      </c>
      <c r="L396" t="s">
        <v>122</v>
      </c>
      <c r="M396" t="s">
        <v>277</v>
      </c>
      <c r="N396" t="str">
        <f t="shared" si="34"/>
        <v>Семенова Ирина ВалерьевнаПопова Светлана Владимировна</v>
      </c>
      <c r="O396" t="s">
        <v>46</v>
      </c>
      <c r="P396" t="s">
        <v>316</v>
      </c>
      <c r="Q396" t="s">
        <v>349</v>
      </c>
    </row>
    <row r="397" spans="4:17" x14ac:dyDescent="0.25">
      <c r="D397" t="s">
        <v>17</v>
      </c>
      <c r="E397" t="s">
        <v>101</v>
      </c>
      <c r="F397" t="str">
        <f t="shared" si="30"/>
        <v>2024-02-27</v>
      </c>
      <c r="G397" t="str">
        <f t="shared" si="31"/>
        <v>2024-06-03</v>
      </c>
      <c r="H397">
        <f t="shared" si="32"/>
        <v>97</v>
      </c>
      <c r="J397" t="str">
        <f t="shared" si="33"/>
        <v>Петров Владимир КирилловичЛебедева Екатерина Сергеевна</v>
      </c>
      <c r="K397" t="s">
        <v>36</v>
      </c>
      <c r="L397" t="s">
        <v>278</v>
      </c>
      <c r="M397" t="s">
        <v>277</v>
      </c>
      <c r="N397" t="str">
        <f t="shared" si="34"/>
        <v>Белов Алексей КонстантиновичЛебедев Артур Олегович</v>
      </c>
      <c r="O397" t="s">
        <v>8</v>
      </c>
      <c r="P397" t="s">
        <v>258</v>
      </c>
      <c r="Q397" t="s">
        <v>349</v>
      </c>
    </row>
    <row r="398" spans="4:17" x14ac:dyDescent="0.25">
      <c r="D398" t="s">
        <v>17</v>
      </c>
      <c r="E398" t="s">
        <v>20</v>
      </c>
      <c r="F398" t="str">
        <f t="shared" si="30"/>
        <v>2023-09-29</v>
      </c>
      <c r="G398" t="str">
        <f t="shared" si="31"/>
        <v>2023-09-29</v>
      </c>
      <c r="H398">
        <f t="shared" si="32"/>
        <v>0</v>
      </c>
      <c r="J398" t="str">
        <f t="shared" si="33"/>
        <v>Ткаченко Андрей ОлеговичИванов Роман Никитич</v>
      </c>
      <c r="K398" t="s">
        <v>5</v>
      </c>
      <c r="L398" t="s">
        <v>227</v>
      </c>
      <c r="M398" t="s">
        <v>279</v>
      </c>
      <c r="N398" t="str">
        <f t="shared" si="34"/>
        <v>Иванова Анна СергеевнаСтепанов Алексей Артемович</v>
      </c>
      <c r="O398" t="s">
        <v>48</v>
      </c>
      <c r="P398" t="s">
        <v>206</v>
      </c>
      <c r="Q398" t="s">
        <v>349</v>
      </c>
    </row>
    <row r="399" spans="4:17" x14ac:dyDescent="0.25">
      <c r="D399" t="s">
        <v>17</v>
      </c>
      <c r="E399" t="s">
        <v>146</v>
      </c>
      <c r="F399" t="str">
        <f t="shared" si="30"/>
        <v>2023-10-20</v>
      </c>
      <c r="G399" t="str">
        <f t="shared" si="31"/>
        <v>2023-10-20</v>
      </c>
      <c r="H399">
        <f t="shared" si="32"/>
        <v>0</v>
      </c>
      <c r="J399" t="str">
        <f t="shared" si="33"/>
        <v>Новикова Ольга ПетровнаСеменов Алексей Сергеевич</v>
      </c>
      <c r="K399" t="s">
        <v>10</v>
      </c>
      <c r="L399" t="s">
        <v>280</v>
      </c>
      <c r="M399" t="s">
        <v>279</v>
      </c>
      <c r="N399" t="str">
        <f t="shared" si="34"/>
        <v>Новикова Ольга ПетровнаАлексеева Алиса Ильинична</v>
      </c>
      <c r="O399" t="s">
        <v>10</v>
      </c>
      <c r="P399" t="s">
        <v>64</v>
      </c>
      <c r="Q399" t="s">
        <v>349</v>
      </c>
    </row>
    <row r="400" spans="4:17" x14ac:dyDescent="0.25">
      <c r="D400" t="s">
        <v>17</v>
      </c>
      <c r="E400" t="s">
        <v>28</v>
      </c>
      <c r="F400" t="str">
        <f t="shared" si="30"/>
        <v>2023-10-11</v>
      </c>
      <c r="G400" t="str">
        <f t="shared" si="31"/>
        <v>2023-10-11</v>
      </c>
      <c r="H400">
        <f t="shared" si="32"/>
        <v>0</v>
      </c>
      <c r="J400" t="str">
        <f t="shared" si="33"/>
        <v>Ткаченко Андрей ОлеговичПавлова Анна Михайловна</v>
      </c>
      <c r="K400" t="s">
        <v>5</v>
      </c>
      <c r="L400" t="s">
        <v>191</v>
      </c>
      <c r="M400" t="s">
        <v>279</v>
      </c>
      <c r="N400" t="str">
        <f t="shared" si="34"/>
        <v>Семенова Ирина ВалерьевнаКузнецов Никита Сергеевич</v>
      </c>
      <c r="O400" t="s">
        <v>46</v>
      </c>
      <c r="P400" t="s">
        <v>248</v>
      </c>
      <c r="Q400" t="s">
        <v>348</v>
      </c>
    </row>
    <row r="401" spans="4:17" x14ac:dyDescent="0.25">
      <c r="D401" t="s">
        <v>17</v>
      </c>
      <c r="E401" t="s">
        <v>25</v>
      </c>
      <c r="F401" t="str">
        <f t="shared" si="30"/>
        <v>2024-02-07</v>
      </c>
      <c r="G401" t="str">
        <f t="shared" si="31"/>
        <v>2024-02-07</v>
      </c>
      <c r="H401">
        <f t="shared" si="32"/>
        <v>0</v>
      </c>
      <c r="J401" t="str">
        <f t="shared" si="33"/>
        <v>Сидорова Елена ВасильевнаИванова Анна Викторовна</v>
      </c>
      <c r="K401" t="s">
        <v>12</v>
      </c>
      <c r="L401" t="s">
        <v>281</v>
      </c>
      <c r="M401" t="s">
        <v>279</v>
      </c>
      <c r="N401" t="str">
        <f t="shared" si="34"/>
        <v>Иванова Анна СергеевнаПетрова Дарья Егоровна</v>
      </c>
      <c r="O401" t="s">
        <v>48</v>
      </c>
      <c r="P401" t="s">
        <v>24</v>
      </c>
      <c r="Q401" t="s">
        <v>347</v>
      </c>
    </row>
    <row r="402" spans="4:17" x14ac:dyDescent="0.25">
      <c r="D402" t="s">
        <v>17</v>
      </c>
      <c r="E402" t="s">
        <v>108</v>
      </c>
      <c r="F402" t="str">
        <f t="shared" si="30"/>
        <v>2023-11-01</v>
      </c>
      <c r="G402" t="str">
        <f t="shared" si="31"/>
        <v>2023-11-01</v>
      </c>
      <c r="H402">
        <f t="shared" si="32"/>
        <v>0</v>
      </c>
      <c r="J402" t="str">
        <f t="shared" si="33"/>
        <v>Сидорова Елена ВасильевнаПетрова Дарья Егоровна</v>
      </c>
      <c r="K402" t="s">
        <v>12</v>
      </c>
      <c r="L402" t="s">
        <v>24</v>
      </c>
      <c r="M402" t="s">
        <v>279</v>
      </c>
      <c r="N402" t="str">
        <f t="shared" si="34"/>
        <v>Фролов Сергей ВикторовичФедорова Наталья Александровна</v>
      </c>
      <c r="O402" t="s">
        <v>27</v>
      </c>
      <c r="P402" t="s">
        <v>31</v>
      </c>
      <c r="Q402" t="s">
        <v>347</v>
      </c>
    </row>
    <row r="403" spans="4:17" x14ac:dyDescent="0.25">
      <c r="D403" t="s">
        <v>17</v>
      </c>
      <c r="E403" t="s">
        <v>136</v>
      </c>
      <c r="F403" t="str">
        <f t="shared" si="30"/>
        <v>2024-06-17</v>
      </c>
      <c r="G403" t="str">
        <f t="shared" si="31"/>
        <v>2024-06-17</v>
      </c>
      <c r="H403">
        <f t="shared" si="32"/>
        <v>0</v>
      </c>
      <c r="J403" t="str">
        <f t="shared" si="33"/>
        <v>Петров Владимир КирилловичОрлов Алексей Сергеевич</v>
      </c>
      <c r="K403" t="s">
        <v>36</v>
      </c>
      <c r="L403" t="s">
        <v>53</v>
      </c>
      <c r="M403" t="s">
        <v>279</v>
      </c>
      <c r="N403" t="str">
        <f t="shared" si="34"/>
        <v>Сидорова Елена ВасильевнаФедоров Дмитрий Викторович</v>
      </c>
      <c r="O403" t="s">
        <v>12</v>
      </c>
      <c r="P403" t="s">
        <v>157</v>
      </c>
      <c r="Q403" t="s">
        <v>346</v>
      </c>
    </row>
    <row r="404" spans="4:17" x14ac:dyDescent="0.25">
      <c r="D404" t="s">
        <v>17</v>
      </c>
      <c r="E404" t="s">
        <v>193</v>
      </c>
      <c r="F404" t="str">
        <f t="shared" si="30"/>
        <v>2023-11-21</v>
      </c>
      <c r="G404" t="str">
        <f t="shared" si="31"/>
        <v>2024-01-19</v>
      </c>
      <c r="H404">
        <f t="shared" si="32"/>
        <v>59</v>
      </c>
      <c r="J404" t="str">
        <f t="shared" si="33"/>
        <v>Новикова Ольга ПетровнаПопова Дарья Владимировна</v>
      </c>
      <c r="K404" t="s">
        <v>10</v>
      </c>
      <c r="L404" t="s">
        <v>282</v>
      </c>
      <c r="M404" t="s">
        <v>279</v>
      </c>
      <c r="N404" t="str">
        <f t="shared" si="34"/>
        <v>Сидорова Елена ВасильевнаКузнецова Валерия Романовна</v>
      </c>
      <c r="O404" t="s">
        <v>12</v>
      </c>
      <c r="P404" t="s">
        <v>71</v>
      </c>
      <c r="Q404" t="s">
        <v>346</v>
      </c>
    </row>
    <row r="405" spans="4:17" x14ac:dyDescent="0.25">
      <c r="D405" t="s">
        <v>17</v>
      </c>
      <c r="E405" t="s">
        <v>31</v>
      </c>
      <c r="F405" t="str">
        <f t="shared" si="30"/>
        <v>2023-09-07</v>
      </c>
      <c r="G405" t="str">
        <f t="shared" si="31"/>
        <v>2023-09-07</v>
      </c>
      <c r="H405">
        <f t="shared" si="32"/>
        <v>0</v>
      </c>
      <c r="J405" t="str">
        <f t="shared" si="33"/>
        <v>Фролов Сергей ВикторовичСтепанов Никита Михайлович</v>
      </c>
      <c r="K405" t="s">
        <v>27</v>
      </c>
      <c r="L405" t="s">
        <v>68</v>
      </c>
      <c r="M405" t="s">
        <v>279</v>
      </c>
      <c r="N405" t="str">
        <f t="shared" si="34"/>
        <v>Кузнецов Дмитрий ЛьвовичЕгоров Георгий Никитич</v>
      </c>
      <c r="O405" t="s">
        <v>23</v>
      </c>
      <c r="P405" t="s">
        <v>39</v>
      </c>
      <c r="Q405" t="s">
        <v>346</v>
      </c>
    </row>
    <row r="406" spans="4:17" x14ac:dyDescent="0.25">
      <c r="D406" t="s">
        <v>36</v>
      </c>
      <c r="E406" t="s">
        <v>168</v>
      </c>
      <c r="F406" t="str">
        <f t="shared" si="30"/>
        <v>2023-11-03</v>
      </c>
      <c r="G406" t="str">
        <f t="shared" si="31"/>
        <v>2023-11-03</v>
      </c>
      <c r="H406">
        <f t="shared" si="32"/>
        <v>0</v>
      </c>
      <c r="J406" t="str">
        <f t="shared" si="33"/>
        <v>Орлов Павел ДенисовичКузнецов Никита Сергеевич</v>
      </c>
      <c r="K406" t="s">
        <v>17</v>
      </c>
      <c r="L406" t="s">
        <v>248</v>
      </c>
      <c r="M406" t="s">
        <v>279</v>
      </c>
      <c r="N406" t="str">
        <f t="shared" si="34"/>
        <v>Кузнецов Дмитрий ЛьвовичКузнецов Алексей Михайлович</v>
      </c>
      <c r="O406" t="s">
        <v>23</v>
      </c>
      <c r="P406" t="s">
        <v>228</v>
      </c>
      <c r="Q406" t="s">
        <v>346</v>
      </c>
    </row>
    <row r="407" spans="4:17" x14ac:dyDescent="0.25">
      <c r="D407" t="s">
        <v>36</v>
      </c>
      <c r="E407" t="s">
        <v>89</v>
      </c>
      <c r="F407" t="str">
        <f t="shared" si="30"/>
        <v>2023-09-25</v>
      </c>
      <c r="G407" t="str">
        <f t="shared" si="31"/>
        <v>2023-09-25</v>
      </c>
      <c r="H407">
        <f t="shared" si="32"/>
        <v>0</v>
      </c>
      <c r="J407" t="str">
        <f t="shared" si="33"/>
        <v>Яковлев Артем ИгоревичНиколаева Вероника Юрьевна</v>
      </c>
      <c r="K407" t="s">
        <v>52</v>
      </c>
      <c r="L407" t="s">
        <v>202</v>
      </c>
      <c r="M407" t="s">
        <v>279</v>
      </c>
      <c r="N407" t="str">
        <f t="shared" si="34"/>
        <v>Семенова Ирина ВалерьевнаФедорова Вероника Ивановна</v>
      </c>
      <c r="O407" t="s">
        <v>46</v>
      </c>
      <c r="P407" t="s">
        <v>107</v>
      </c>
      <c r="Q407" t="s">
        <v>345</v>
      </c>
    </row>
    <row r="408" spans="4:17" x14ac:dyDescent="0.25">
      <c r="D408" t="s">
        <v>36</v>
      </c>
      <c r="E408" t="s">
        <v>64</v>
      </c>
      <c r="F408" t="str">
        <f t="shared" si="30"/>
        <v>2023-10-30</v>
      </c>
      <c r="G408" t="str">
        <f t="shared" si="31"/>
        <v>2023-10-30</v>
      </c>
      <c r="H408">
        <f t="shared" si="32"/>
        <v>0</v>
      </c>
      <c r="J408" t="str">
        <f t="shared" si="33"/>
        <v>Кузнецов Дмитрий ЛьвовичОрлов Максим Егорович</v>
      </c>
      <c r="K408" t="s">
        <v>23</v>
      </c>
      <c r="L408" t="s">
        <v>87</v>
      </c>
      <c r="M408" t="s">
        <v>279</v>
      </c>
      <c r="N408" t="str">
        <f t="shared" si="34"/>
        <v>Петров Владимир КирилловичФедоров Александр Дмитриевич</v>
      </c>
      <c r="O408" t="s">
        <v>36</v>
      </c>
      <c r="P408" t="s">
        <v>136</v>
      </c>
      <c r="Q408" t="s">
        <v>345</v>
      </c>
    </row>
    <row r="409" spans="4:17" x14ac:dyDescent="0.25">
      <c r="D409" t="s">
        <v>36</v>
      </c>
      <c r="E409" t="s">
        <v>195</v>
      </c>
      <c r="F409" t="str">
        <f t="shared" si="30"/>
        <v>2024-03-19</v>
      </c>
      <c r="G409" t="str">
        <f t="shared" si="31"/>
        <v>2024-07-22</v>
      </c>
      <c r="H409">
        <f t="shared" si="32"/>
        <v>125</v>
      </c>
      <c r="J409" t="str">
        <f t="shared" si="33"/>
        <v>Белов Алексей КонстантиновичВасильев Никита Викторович</v>
      </c>
      <c r="K409" t="s">
        <v>8</v>
      </c>
      <c r="L409" t="s">
        <v>47</v>
      </c>
      <c r="M409" t="s">
        <v>283</v>
      </c>
      <c r="N409" t="str">
        <f t="shared" si="34"/>
        <v>Иванова Анна СергеевнаМорозова София Артемовна</v>
      </c>
      <c r="O409" t="s">
        <v>48</v>
      </c>
      <c r="P409" t="s">
        <v>140</v>
      </c>
      <c r="Q409" t="s">
        <v>344</v>
      </c>
    </row>
    <row r="410" spans="4:17" x14ac:dyDescent="0.25">
      <c r="D410" t="s">
        <v>36</v>
      </c>
      <c r="E410" t="s">
        <v>184</v>
      </c>
      <c r="F410" t="str">
        <f t="shared" si="30"/>
        <v>2024-07-16</v>
      </c>
      <c r="G410" t="str">
        <f t="shared" si="31"/>
        <v>2024-07-30</v>
      </c>
      <c r="H410">
        <f t="shared" si="32"/>
        <v>14</v>
      </c>
      <c r="J410" t="str">
        <f t="shared" si="33"/>
        <v>Белов Алексей КонстантиновичОрлова Анна Дмитриевна</v>
      </c>
      <c r="K410" t="s">
        <v>8</v>
      </c>
      <c r="L410" t="s">
        <v>165</v>
      </c>
      <c r="M410" t="s">
        <v>283</v>
      </c>
      <c r="N410" t="str">
        <f t="shared" si="34"/>
        <v>Сидорова Елена ВасильевнаПетрова Дарья Егоровна</v>
      </c>
      <c r="O410" t="s">
        <v>12</v>
      </c>
      <c r="P410" t="s">
        <v>24</v>
      </c>
      <c r="Q410" t="s">
        <v>344</v>
      </c>
    </row>
    <row r="411" spans="4:17" x14ac:dyDescent="0.25">
      <c r="D411" t="s">
        <v>36</v>
      </c>
      <c r="E411" t="s">
        <v>60</v>
      </c>
      <c r="F411" t="str">
        <f t="shared" si="30"/>
        <v>2024-02-09</v>
      </c>
      <c r="G411" t="str">
        <f t="shared" si="31"/>
        <v>2024-02-09</v>
      </c>
      <c r="H411">
        <f t="shared" si="32"/>
        <v>0</v>
      </c>
      <c r="J411" t="str">
        <f t="shared" si="33"/>
        <v>Семенова Ирина ВалерьевнаЛебедева Екатерина Сергеевна</v>
      </c>
      <c r="K411" t="s">
        <v>46</v>
      </c>
      <c r="L411" t="s">
        <v>278</v>
      </c>
      <c r="M411" t="s">
        <v>283</v>
      </c>
      <c r="N411" t="str">
        <f t="shared" si="34"/>
        <v>Иванова Анна СергеевнаВолков Роман Иванович</v>
      </c>
      <c r="O411" t="s">
        <v>48</v>
      </c>
      <c r="P411" t="s">
        <v>75</v>
      </c>
      <c r="Q411" t="s">
        <v>344</v>
      </c>
    </row>
    <row r="412" spans="4:17" x14ac:dyDescent="0.25">
      <c r="D412" t="s">
        <v>36</v>
      </c>
      <c r="E412" t="s">
        <v>158</v>
      </c>
      <c r="F412" t="str">
        <f t="shared" si="30"/>
        <v>2023-10-30</v>
      </c>
      <c r="G412" t="str">
        <f t="shared" si="31"/>
        <v>2024-02-15</v>
      </c>
      <c r="H412">
        <f t="shared" si="32"/>
        <v>108</v>
      </c>
      <c r="J412" t="str">
        <f t="shared" si="33"/>
        <v>Кузнецов Дмитрий ЛьвовичСмирнов Константин Михайлович</v>
      </c>
      <c r="K412" t="s">
        <v>23</v>
      </c>
      <c r="L412" t="s">
        <v>85</v>
      </c>
      <c r="M412" t="s">
        <v>284</v>
      </c>
      <c r="N412" t="str">
        <f t="shared" si="34"/>
        <v>Семенова Ирина ВалерьевнаПетрова Наталья Геннадьевна</v>
      </c>
      <c r="O412" t="s">
        <v>46</v>
      </c>
      <c r="P412" t="s">
        <v>82</v>
      </c>
      <c r="Q412" t="s">
        <v>344</v>
      </c>
    </row>
    <row r="413" spans="4:17" x14ac:dyDescent="0.25">
      <c r="D413" t="s">
        <v>36</v>
      </c>
      <c r="E413" t="s">
        <v>161</v>
      </c>
      <c r="F413" t="str">
        <f t="shared" si="30"/>
        <v>2023-11-01</v>
      </c>
      <c r="G413" t="str">
        <f t="shared" si="31"/>
        <v>2024-07-19</v>
      </c>
      <c r="H413">
        <f t="shared" si="32"/>
        <v>261</v>
      </c>
      <c r="J413" t="str">
        <f t="shared" si="33"/>
        <v>Белов Алексей КонстантиновичСмирнова София Ивановна</v>
      </c>
      <c r="K413" t="s">
        <v>8</v>
      </c>
      <c r="L413" t="s">
        <v>25</v>
      </c>
      <c r="M413" t="s">
        <v>284</v>
      </c>
      <c r="N413" t="str">
        <f t="shared" si="34"/>
        <v>Сидорова Елена ВасильевнаОрлов Роман Дмитриевич</v>
      </c>
      <c r="O413" t="s">
        <v>12</v>
      </c>
      <c r="P413" t="s">
        <v>239</v>
      </c>
      <c r="Q413" t="s">
        <v>344</v>
      </c>
    </row>
    <row r="414" spans="4:17" x14ac:dyDescent="0.25">
      <c r="D414" t="s">
        <v>36</v>
      </c>
      <c r="E414" t="s">
        <v>148</v>
      </c>
      <c r="F414" t="str">
        <f t="shared" si="30"/>
        <v>2024-02-08</v>
      </c>
      <c r="G414" t="str">
        <f t="shared" si="31"/>
        <v>2024-02-08</v>
      </c>
      <c r="H414">
        <f t="shared" si="32"/>
        <v>0</v>
      </c>
      <c r="J414" t="str">
        <f t="shared" si="33"/>
        <v>Новикова Ольга ПетровнаСмирнова София Ивановна</v>
      </c>
      <c r="K414" t="s">
        <v>10</v>
      </c>
      <c r="L414" t="s">
        <v>25</v>
      </c>
      <c r="M414" t="s">
        <v>285</v>
      </c>
      <c r="N414" t="str">
        <f t="shared" si="34"/>
        <v>Иванова Анна СергеевнаВолков Алексей Артемович</v>
      </c>
      <c r="O414" t="s">
        <v>48</v>
      </c>
      <c r="P414" t="s">
        <v>111</v>
      </c>
      <c r="Q414" t="s">
        <v>344</v>
      </c>
    </row>
    <row r="415" spans="4:17" x14ac:dyDescent="0.25">
      <c r="D415" t="s">
        <v>36</v>
      </c>
      <c r="E415" t="s">
        <v>47</v>
      </c>
      <c r="F415" t="str">
        <f t="shared" si="30"/>
        <v>2023-12-13</v>
      </c>
      <c r="G415" t="str">
        <f t="shared" si="31"/>
        <v>2024-03-11</v>
      </c>
      <c r="H415">
        <f t="shared" si="32"/>
        <v>89</v>
      </c>
      <c r="J415" t="str">
        <f t="shared" si="33"/>
        <v>Ткаченко Андрей ОлеговичЛебедева Полина Артемовна</v>
      </c>
      <c r="K415" t="s">
        <v>5</v>
      </c>
      <c r="L415" t="s">
        <v>38</v>
      </c>
      <c r="M415" t="s">
        <v>286</v>
      </c>
      <c r="N415" t="str">
        <f t="shared" si="34"/>
        <v>Сидорова Елена ВасильевнаКузнецова София Сергеевна</v>
      </c>
      <c r="O415" t="s">
        <v>12</v>
      </c>
      <c r="P415" t="s">
        <v>86</v>
      </c>
      <c r="Q415" t="s">
        <v>344</v>
      </c>
    </row>
    <row r="416" spans="4:17" x14ac:dyDescent="0.25">
      <c r="D416" t="s">
        <v>36</v>
      </c>
      <c r="E416" t="s">
        <v>116</v>
      </c>
      <c r="F416" t="str">
        <f t="shared" si="30"/>
        <v>2024-05-20</v>
      </c>
      <c r="G416" t="str">
        <f t="shared" si="31"/>
        <v>2024-05-20</v>
      </c>
      <c r="H416">
        <f t="shared" si="32"/>
        <v>0</v>
      </c>
      <c r="J416" t="str">
        <f t="shared" si="33"/>
        <v>Фролов Сергей ВикторовичНовикова Дарья Викторовна</v>
      </c>
      <c r="K416" t="s">
        <v>27</v>
      </c>
      <c r="L416" t="s">
        <v>138</v>
      </c>
      <c r="M416" t="s">
        <v>286</v>
      </c>
      <c r="N416" t="str">
        <f t="shared" si="34"/>
        <v>Белов Алексей КонстантиновичПетрова София Алексеевна</v>
      </c>
      <c r="O416" t="s">
        <v>8</v>
      </c>
      <c r="P416" t="s">
        <v>59</v>
      </c>
      <c r="Q416" t="s">
        <v>344</v>
      </c>
    </row>
    <row r="417" spans="4:17" x14ac:dyDescent="0.25">
      <c r="D417" t="s">
        <v>36</v>
      </c>
      <c r="E417" t="s">
        <v>37</v>
      </c>
      <c r="F417" t="str">
        <f t="shared" si="30"/>
        <v>2023-09-08</v>
      </c>
      <c r="G417" t="str">
        <f t="shared" si="31"/>
        <v>2023-09-08</v>
      </c>
      <c r="H417">
        <f t="shared" si="32"/>
        <v>0</v>
      </c>
      <c r="J417" t="str">
        <f t="shared" si="33"/>
        <v>Сидорова Елена ВасильевнаПетрова Людмила Олеговна</v>
      </c>
      <c r="K417" t="s">
        <v>12</v>
      </c>
      <c r="L417" t="s">
        <v>70</v>
      </c>
      <c r="M417" t="s">
        <v>286</v>
      </c>
      <c r="N417" t="str">
        <f t="shared" si="34"/>
        <v>Иванова Анна СергеевнаМорозова Алиса Андреевна</v>
      </c>
      <c r="O417" t="s">
        <v>48</v>
      </c>
      <c r="P417" t="s">
        <v>125</v>
      </c>
      <c r="Q417" t="s">
        <v>344</v>
      </c>
    </row>
    <row r="418" spans="4:17" x14ac:dyDescent="0.25">
      <c r="D418" t="s">
        <v>36</v>
      </c>
      <c r="E418" t="s">
        <v>111</v>
      </c>
      <c r="F418" t="str">
        <f t="shared" si="30"/>
        <v>2023-10-03</v>
      </c>
      <c r="G418" t="str">
        <f t="shared" si="31"/>
        <v>2023-10-03</v>
      </c>
      <c r="H418">
        <f t="shared" si="32"/>
        <v>0</v>
      </c>
      <c r="J418" t="str">
        <f t="shared" si="33"/>
        <v>Фролов Сергей ВикторовичСтепанов Роман Павлович</v>
      </c>
      <c r="K418" t="s">
        <v>27</v>
      </c>
      <c r="L418" t="s">
        <v>190</v>
      </c>
      <c r="M418" t="s">
        <v>286</v>
      </c>
      <c r="N418" t="str">
        <f t="shared" si="34"/>
        <v>Иванова Анна СергеевнаКузнецова Валерия Романовна</v>
      </c>
      <c r="O418" t="s">
        <v>48</v>
      </c>
      <c r="P418" t="s">
        <v>71</v>
      </c>
      <c r="Q418" t="s">
        <v>343</v>
      </c>
    </row>
    <row r="419" spans="4:17" x14ac:dyDescent="0.25">
      <c r="D419" t="s">
        <v>36</v>
      </c>
      <c r="E419" t="s">
        <v>55</v>
      </c>
      <c r="F419" t="str">
        <f t="shared" si="30"/>
        <v>2023-11-16</v>
      </c>
      <c r="G419" t="str">
        <f t="shared" si="31"/>
        <v>2024-08-02</v>
      </c>
      <c r="H419">
        <f t="shared" si="32"/>
        <v>260</v>
      </c>
      <c r="J419" t="str">
        <f t="shared" si="33"/>
        <v>Сидорова Елена ВасильевнаСтепанов Александр Юрьевич</v>
      </c>
      <c r="K419" t="s">
        <v>12</v>
      </c>
      <c r="L419" t="s">
        <v>97</v>
      </c>
      <c r="M419" t="s">
        <v>286</v>
      </c>
      <c r="N419" t="str">
        <f t="shared" si="34"/>
        <v>Новикова Ольга ПетровнаФедорова Татьяна Никитична</v>
      </c>
      <c r="O419" t="s">
        <v>10</v>
      </c>
      <c r="P419" t="s">
        <v>292</v>
      </c>
      <c r="Q419" t="s">
        <v>343</v>
      </c>
    </row>
    <row r="420" spans="4:17" x14ac:dyDescent="0.25">
      <c r="D420" t="s">
        <v>36</v>
      </c>
      <c r="E420" t="s">
        <v>40</v>
      </c>
      <c r="F420" t="str">
        <f t="shared" si="30"/>
        <v>2024-05-03</v>
      </c>
      <c r="G420" t="str">
        <f t="shared" si="31"/>
        <v>2024-05-03</v>
      </c>
      <c r="H420">
        <f t="shared" si="32"/>
        <v>0</v>
      </c>
      <c r="J420" t="str">
        <f t="shared" si="33"/>
        <v>Сидорова Елена ВасильевнаВолков Константин Алексеевич</v>
      </c>
      <c r="K420" t="s">
        <v>12</v>
      </c>
      <c r="L420" t="s">
        <v>84</v>
      </c>
      <c r="M420" t="s">
        <v>286</v>
      </c>
      <c r="N420" t="str">
        <f t="shared" si="34"/>
        <v>Иванова Анна СергеевнаОрлов Владимир Геннадьевич</v>
      </c>
      <c r="O420" t="s">
        <v>48</v>
      </c>
      <c r="P420" t="s">
        <v>272</v>
      </c>
      <c r="Q420" t="s">
        <v>342</v>
      </c>
    </row>
    <row r="421" spans="4:17" x14ac:dyDescent="0.25">
      <c r="D421" t="s">
        <v>36</v>
      </c>
      <c r="E421" t="s">
        <v>115</v>
      </c>
      <c r="F421" t="str">
        <f t="shared" si="30"/>
        <v>2023-10-04</v>
      </c>
      <c r="G421" t="str">
        <f t="shared" si="31"/>
        <v>2023-10-04</v>
      </c>
      <c r="H421">
        <f t="shared" si="32"/>
        <v>0</v>
      </c>
      <c r="J421" t="str">
        <f t="shared" si="33"/>
        <v>Ткаченко Андрей ОлеговичЕгоров Георгий Никитич</v>
      </c>
      <c r="K421" t="s">
        <v>5</v>
      </c>
      <c r="L421" t="s">
        <v>39</v>
      </c>
      <c r="M421" t="s">
        <v>286</v>
      </c>
      <c r="N421" t="str">
        <f t="shared" si="34"/>
        <v>Орлов Павел ДенисовичМорозов Сергей Олегович</v>
      </c>
      <c r="O421" t="s">
        <v>17</v>
      </c>
      <c r="P421" t="s">
        <v>150</v>
      </c>
      <c r="Q421" t="s">
        <v>341</v>
      </c>
    </row>
    <row r="422" spans="4:17" x14ac:dyDescent="0.25">
      <c r="D422" t="s">
        <v>36</v>
      </c>
      <c r="E422" t="s">
        <v>170</v>
      </c>
      <c r="F422" t="str">
        <f t="shared" si="30"/>
        <v>2024-06-24</v>
      </c>
      <c r="G422" t="str">
        <f t="shared" si="31"/>
        <v>2024-06-24</v>
      </c>
      <c r="H422">
        <f t="shared" si="32"/>
        <v>0</v>
      </c>
      <c r="J422" t="str">
        <f t="shared" si="33"/>
        <v>Орлов Павел ДенисовичМорозова Наталья Никитична</v>
      </c>
      <c r="K422" t="s">
        <v>17</v>
      </c>
      <c r="L422" t="s">
        <v>144</v>
      </c>
      <c r="M422" t="s">
        <v>286</v>
      </c>
      <c r="N422" t="str">
        <f t="shared" si="34"/>
        <v>Иванова Анна СергеевнаПетров Алексей Артемович</v>
      </c>
      <c r="O422" t="s">
        <v>48</v>
      </c>
      <c r="P422" t="s">
        <v>151</v>
      </c>
      <c r="Q422" t="s">
        <v>341</v>
      </c>
    </row>
    <row r="423" spans="4:17" x14ac:dyDescent="0.25">
      <c r="D423" t="s">
        <v>36</v>
      </c>
      <c r="E423" t="s">
        <v>264</v>
      </c>
      <c r="F423" t="str">
        <f t="shared" si="30"/>
        <v>2024-03-19</v>
      </c>
      <c r="G423" t="str">
        <f t="shared" si="31"/>
        <v>2024-03-19</v>
      </c>
      <c r="H423">
        <f t="shared" si="32"/>
        <v>0</v>
      </c>
      <c r="J423" t="str">
        <f t="shared" si="33"/>
        <v>Орлов Павел ДенисовичСидоров Павел Андреевич</v>
      </c>
      <c r="K423" t="s">
        <v>17</v>
      </c>
      <c r="L423" t="s">
        <v>287</v>
      </c>
      <c r="M423" t="s">
        <v>288</v>
      </c>
      <c r="N423" t="str">
        <f t="shared" si="34"/>
        <v>Новикова Ольга ПетровнаПетрова Дарья Кирилловна</v>
      </c>
      <c r="O423" t="s">
        <v>10</v>
      </c>
      <c r="P423" t="s">
        <v>198</v>
      </c>
      <c r="Q423" t="s">
        <v>340</v>
      </c>
    </row>
    <row r="424" spans="4:17" x14ac:dyDescent="0.25">
      <c r="D424" t="s">
        <v>36</v>
      </c>
      <c r="E424" t="s">
        <v>63</v>
      </c>
      <c r="F424" t="str">
        <f t="shared" si="30"/>
        <v>2023-11-06</v>
      </c>
      <c r="G424" t="str">
        <f t="shared" si="31"/>
        <v>2023-11-06</v>
      </c>
      <c r="H424">
        <f t="shared" si="32"/>
        <v>0</v>
      </c>
      <c r="J424" t="str">
        <f t="shared" si="33"/>
        <v>Яковлев Артем ИгоревичСидорова Вероника Павловна</v>
      </c>
      <c r="K424" t="s">
        <v>52</v>
      </c>
      <c r="L424" t="s">
        <v>163</v>
      </c>
      <c r="M424" t="s">
        <v>288</v>
      </c>
      <c r="N424" t="str">
        <f t="shared" si="34"/>
        <v>Громова Мария ИльиничнаАлексеева Людмила Никитична</v>
      </c>
      <c r="O424" t="s">
        <v>15</v>
      </c>
      <c r="P424" t="s">
        <v>60</v>
      </c>
      <c r="Q424" t="s">
        <v>340</v>
      </c>
    </row>
    <row r="425" spans="4:17" x14ac:dyDescent="0.25">
      <c r="D425" t="s">
        <v>36</v>
      </c>
      <c r="E425" t="s">
        <v>156</v>
      </c>
      <c r="F425" t="str">
        <f t="shared" si="30"/>
        <v>2024-06-12</v>
      </c>
      <c r="G425" t="str">
        <f t="shared" si="31"/>
        <v>2024-06-12</v>
      </c>
      <c r="H425">
        <f t="shared" si="32"/>
        <v>0</v>
      </c>
      <c r="J425" t="str">
        <f t="shared" si="33"/>
        <v>Фролов Сергей ВикторовичМорозов Дмитрий Кириллович</v>
      </c>
      <c r="K425" t="s">
        <v>27</v>
      </c>
      <c r="L425" t="s">
        <v>32</v>
      </c>
      <c r="M425" t="s">
        <v>288</v>
      </c>
      <c r="N425" t="str">
        <f t="shared" si="34"/>
        <v>Орлов Павел ДенисовичАлексеева Виктория Александровна</v>
      </c>
      <c r="O425" t="s">
        <v>17</v>
      </c>
      <c r="P425" t="s">
        <v>195</v>
      </c>
      <c r="Q425" t="s">
        <v>340</v>
      </c>
    </row>
    <row r="426" spans="4:17" x14ac:dyDescent="0.25">
      <c r="D426" t="s">
        <v>36</v>
      </c>
      <c r="E426" t="s">
        <v>122</v>
      </c>
      <c r="F426" t="str">
        <f t="shared" si="30"/>
        <v>2024-07-10</v>
      </c>
      <c r="G426" t="str">
        <f t="shared" si="31"/>
        <v>2024-07-10</v>
      </c>
      <c r="H426">
        <f t="shared" si="32"/>
        <v>0</v>
      </c>
      <c r="J426" t="str">
        <f t="shared" si="33"/>
        <v>Орлов Павел ДенисовичПавлов Никита Ильич</v>
      </c>
      <c r="K426" t="s">
        <v>17</v>
      </c>
      <c r="L426" t="s">
        <v>249</v>
      </c>
      <c r="M426" t="s">
        <v>288</v>
      </c>
      <c r="N426" t="str">
        <f t="shared" si="34"/>
        <v>Кузнецов Дмитрий ЛьвовичПетрова Виктория Олеговна</v>
      </c>
      <c r="O426" t="s">
        <v>23</v>
      </c>
      <c r="P426" t="s">
        <v>338</v>
      </c>
      <c r="Q426" t="s">
        <v>339</v>
      </c>
    </row>
    <row r="427" spans="4:17" x14ac:dyDescent="0.25">
      <c r="D427" t="s">
        <v>36</v>
      </c>
      <c r="E427" t="s">
        <v>209</v>
      </c>
      <c r="F427" t="str">
        <f t="shared" si="30"/>
        <v>2024-02-06</v>
      </c>
      <c r="G427" t="str">
        <f t="shared" si="31"/>
        <v>2024-02-06</v>
      </c>
      <c r="H427">
        <f t="shared" si="32"/>
        <v>0</v>
      </c>
      <c r="J427" t="str">
        <f t="shared" si="33"/>
        <v>Петров Владимир КирилловичКузнецов Сергей Станиславович</v>
      </c>
      <c r="K427" t="s">
        <v>36</v>
      </c>
      <c r="L427" t="s">
        <v>209</v>
      </c>
      <c r="M427" t="s">
        <v>288</v>
      </c>
      <c r="N427" t="str">
        <f t="shared" si="34"/>
        <v>Кузнецов Дмитрий ЛьвовичИванова Ксения Романовна</v>
      </c>
      <c r="O427" t="s">
        <v>23</v>
      </c>
      <c r="P427" t="s">
        <v>74</v>
      </c>
      <c r="Q427" t="s">
        <v>339</v>
      </c>
    </row>
    <row r="428" spans="4:17" x14ac:dyDescent="0.25">
      <c r="D428" t="s">
        <v>36</v>
      </c>
      <c r="E428" t="s">
        <v>71</v>
      </c>
      <c r="F428" t="str">
        <f t="shared" si="30"/>
        <v>2023-11-08</v>
      </c>
      <c r="G428" t="str">
        <f t="shared" si="31"/>
        <v>2023-11-08</v>
      </c>
      <c r="H428">
        <f t="shared" si="32"/>
        <v>0</v>
      </c>
      <c r="J428" t="str">
        <f t="shared" si="33"/>
        <v>Иванова Анна СергеевнаВолков Никита Кириллович</v>
      </c>
      <c r="K428" t="s">
        <v>48</v>
      </c>
      <c r="L428" t="s">
        <v>240</v>
      </c>
      <c r="M428" t="s">
        <v>288</v>
      </c>
      <c r="N428" t="str">
        <f t="shared" si="34"/>
        <v>Фролов Сергей ВикторовичМорозова Наталья Никитична</v>
      </c>
      <c r="O428" t="s">
        <v>27</v>
      </c>
      <c r="P428" t="s">
        <v>144</v>
      </c>
      <c r="Q428" t="s">
        <v>339</v>
      </c>
    </row>
    <row r="429" spans="4:17" x14ac:dyDescent="0.25">
      <c r="D429" t="s">
        <v>36</v>
      </c>
      <c r="E429" t="s">
        <v>86</v>
      </c>
      <c r="F429" t="str">
        <f t="shared" si="30"/>
        <v>2024-01-08</v>
      </c>
      <c r="G429" t="str">
        <f t="shared" si="31"/>
        <v>2024-01-08</v>
      </c>
      <c r="H429">
        <f t="shared" si="32"/>
        <v>0</v>
      </c>
      <c r="J429" t="str">
        <f t="shared" si="33"/>
        <v>Семенова Ирина ВалерьевнаКузнецов Алексей Михайлович</v>
      </c>
      <c r="K429" t="s">
        <v>46</v>
      </c>
      <c r="L429" t="s">
        <v>228</v>
      </c>
      <c r="M429" t="s">
        <v>288</v>
      </c>
      <c r="N429" t="str">
        <f t="shared" si="34"/>
        <v>Ткаченко Андрей ОлеговичПетрова Наталья Геннадьевна</v>
      </c>
      <c r="O429" t="s">
        <v>5</v>
      </c>
      <c r="P429" t="s">
        <v>82</v>
      </c>
      <c r="Q429" t="s">
        <v>339</v>
      </c>
    </row>
    <row r="430" spans="4:17" x14ac:dyDescent="0.25">
      <c r="D430" t="s">
        <v>36</v>
      </c>
      <c r="E430" t="s">
        <v>237</v>
      </c>
      <c r="F430" t="str">
        <f t="shared" si="30"/>
        <v>2024-05-22</v>
      </c>
      <c r="G430" t="str">
        <f t="shared" si="31"/>
        <v>2024-05-22</v>
      </c>
      <c r="H430">
        <f t="shared" si="32"/>
        <v>0</v>
      </c>
      <c r="J430" t="str">
        <f t="shared" si="33"/>
        <v>Орлов Павел ДенисовичСмирнова София Ивановна</v>
      </c>
      <c r="K430" t="s">
        <v>17</v>
      </c>
      <c r="L430" t="s">
        <v>25</v>
      </c>
      <c r="M430" t="s">
        <v>289</v>
      </c>
      <c r="N430" t="str">
        <f t="shared" si="34"/>
        <v>Петров Владимир КирилловичНиколаев Роман Геннадьевич</v>
      </c>
      <c r="O430" t="s">
        <v>36</v>
      </c>
      <c r="P430" t="s">
        <v>139</v>
      </c>
      <c r="Q430" t="s">
        <v>339</v>
      </c>
    </row>
    <row r="431" spans="4:17" x14ac:dyDescent="0.25">
      <c r="D431" t="s">
        <v>36</v>
      </c>
      <c r="E431" t="s">
        <v>278</v>
      </c>
      <c r="F431" t="str">
        <f t="shared" si="30"/>
        <v>2024-01-26</v>
      </c>
      <c r="G431" t="str">
        <f t="shared" si="31"/>
        <v>2024-01-26</v>
      </c>
      <c r="H431">
        <f t="shared" si="32"/>
        <v>0</v>
      </c>
      <c r="J431" t="str">
        <f t="shared" si="33"/>
        <v>Яковлев Артем ИгоревичСтепанова Екатерина Михайловна</v>
      </c>
      <c r="K431" t="s">
        <v>52</v>
      </c>
      <c r="L431" t="s">
        <v>172</v>
      </c>
      <c r="M431" t="s">
        <v>289</v>
      </c>
      <c r="N431" t="str">
        <f t="shared" si="34"/>
        <v>Новикова Ольга ПетровнаВасильев Артур Дмитриевич</v>
      </c>
      <c r="O431" t="s">
        <v>10</v>
      </c>
      <c r="P431" t="s">
        <v>77</v>
      </c>
      <c r="Q431" t="s">
        <v>339</v>
      </c>
    </row>
    <row r="432" spans="4:17" x14ac:dyDescent="0.25">
      <c r="D432" t="s">
        <v>36</v>
      </c>
      <c r="E432" t="s">
        <v>364</v>
      </c>
      <c r="F432" t="str">
        <f t="shared" si="30"/>
        <v>2024-04-25</v>
      </c>
      <c r="G432" t="str">
        <f t="shared" si="31"/>
        <v>2024-07-22</v>
      </c>
      <c r="H432">
        <f t="shared" si="32"/>
        <v>88</v>
      </c>
      <c r="J432" t="str">
        <f t="shared" si="33"/>
        <v>Фролов Сергей ВикторовичВасильев Александр Иванович</v>
      </c>
      <c r="K432" t="s">
        <v>27</v>
      </c>
      <c r="L432" t="s">
        <v>158</v>
      </c>
      <c r="M432" t="s">
        <v>289</v>
      </c>
      <c r="N432" t="str">
        <f t="shared" si="34"/>
        <v>Семенова Ирина ВалерьевнаСидоров Егор Кириллович</v>
      </c>
      <c r="O432" t="s">
        <v>46</v>
      </c>
      <c r="P432" t="s">
        <v>212</v>
      </c>
      <c r="Q432" t="s">
        <v>339</v>
      </c>
    </row>
    <row r="433" spans="4:17" x14ac:dyDescent="0.25">
      <c r="D433" t="s">
        <v>36</v>
      </c>
      <c r="E433" t="s">
        <v>38</v>
      </c>
      <c r="F433" t="str">
        <f t="shared" si="30"/>
        <v>2023-12-13</v>
      </c>
      <c r="G433" t="str">
        <f t="shared" si="31"/>
        <v>2023-12-13</v>
      </c>
      <c r="H433">
        <f t="shared" si="32"/>
        <v>0</v>
      </c>
      <c r="J433" t="str">
        <f t="shared" si="33"/>
        <v>Яковлев Артем ИгоревичСмирнова Мария Сергеевна</v>
      </c>
      <c r="K433" t="s">
        <v>52</v>
      </c>
      <c r="L433" t="s">
        <v>290</v>
      </c>
      <c r="M433" t="s">
        <v>289</v>
      </c>
      <c r="N433" t="str">
        <f t="shared" si="34"/>
        <v>Семенова Ирина ВалерьевнаПопова Светлана Владимировна</v>
      </c>
      <c r="O433" t="s">
        <v>46</v>
      </c>
      <c r="P433" t="s">
        <v>316</v>
      </c>
      <c r="Q433" t="s">
        <v>339</v>
      </c>
    </row>
    <row r="434" spans="4:17" x14ac:dyDescent="0.25">
      <c r="D434" t="s">
        <v>36</v>
      </c>
      <c r="E434" t="s">
        <v>231</v>
      </c>
      <c r="F434" t="str">
        <f t="shared" si="30"/>
        <v>2023-12-19</v>
      </c>
      <c r="G434" t="str">
        <f t="shared" si="31"/>
        <v>2023-12-19</v>
      </c>
      <c r="H434">
        <f t="shared" si="32"/>
        <v>0</v>
      </c>
      <c r="J434" t="str">
        <f t="shared" si="33"/>
        <v>Иванова Анна СергеевнаПавлова Светлана Кирилловна</v>
      </c>
      <c r="K434" t="s">
        <v>48</v>
      </c>
      <c r="L434" t="s">
        <v>219</v>
      </c>
      <c r="M434" t="s">
        <v>289</v>
      </c>
      <c r="N434" t="str">
        <f t="shared" si="34"/>
        <v>Иванова Анна СергеевнаКузнецов Павел Егорович</v>
      </c>
      <c r="O434" t="s">
        <v>48</v>
      </c>
      <c r="P434" t="s">
        <v>320</v>
      </c>
      <c r="Q434" t="s">
        <v>339</v>
      </c>
    </row>
    <row r="435" spans="4:17" x14ac:dyDescent="0.25">
      <c r="D435" t="s">
        <v>36</v>
      </c>
      <c r="E435" t="s">
        <v>91</v>
      </c>
      <c r="F435" t="str">
        <f t="shared" si="30"/>
        <v>2023-09-25</v>
      </c>
      <c r="G435" t="str">
        <f t="shared" si="31"/>
        <v>2023-09-25</v>
      </c>
      <c r="H435">
        <f t="shared" si="32"/>
        <v>0</v>
      </c>
      <c r="J435" t="str">
        <f t="shared" si="33"/>
        <v>Петров Владимир КирилловичСмирнов Дмитрий Александрович</v>
      </c>
      <c r="K435" t="s">
        <v>36</v>
      </c>
      <c r="L435" t="s">
        <v>20</v>
      </c>
      <c r="M435" t="s">
        <v>291</v>
      </c>
      <c r="N435" t="str">
        <f t="shared" si="34"/>
        <v>Фролов Сергей ВикторовичИванова Ксения Романовна</v>
      </c>
      <c r="O435" t="s">
        <v>27</v>
      </c>
      <c r="P435" t="s">
        <v>74</v>
      </c>
      <c r="Q435" t="s">
        <v>339</v>
      </c>
    </row>
    <row r="436" spans="4:17" x14ac:dyDescent="0.25">
      <c r="D436" t="s">
        <v>36</v>
      </c>
      <c r="E436" t="s">
        <v>125</v>
      </c>
      <c r="F436" t="str">
        <f t="shared" si="30"/>
        <v>2023-10-10</v>
      </c>
      <c r="G436" t="str">
        <f t="shared" si="31"/>
        <v>2024-02-23</v>
      </c>
      <c r="H436">
        <f t="shared" si="32"/>
        <v>136</v>
      </c>
      <c r="J436" t="str">
        <f t="shared" si="33"/>
        <v>Белов Алексей КонстантиновичАлексеева Алиса Ильинична</v>
      </c>
      <c r="K436" t="s">
        <v>8</v>
      </c>
      <c r="L436" t="s">
        <v>64</v>
      </c>
      <c r="M436" t="s">
        <v>291</v>
      </c>
      <c r="N436" t="str">
        <f t="shared" si="34"/>
        <v>Семенова Ирина ВалерьевнаЛебедева Полина Артемовна</v>
      </c>
      <c r="O436" t="s">
        <v>46</v>
      </c>
      <c r="P436" t="s">
        <v>38</v>
      </c>
      <c r="Q436" t="s">
        <v>339</v>
      </c>
    </row>
    <row r="437" spans="4:17" x14ac:dyDescent="0.25">
      <c r="D437" t="s">
        <v>36</v>
      </c>
      <c r="E437" t="s">
        <v>139</v>
      </c>
      <c r="F437" t="str">
        <f t="shared" si="30"/>
        <v>2023-10-16</v>
      </c>
      <c r="G437" t="str">
        <f t="shared" si="31"/>
        <v>2024-06-10</v>
      </c>
      <c r="H437">
        <f t="shared" si="32"/>
        <v>238</v>
      </c>
      <c r="J437" t="str">
        <f t="shared" si="33"/>
        <v>Ткаченко Андрей ОлеговичПетрова Елена Сергеевна</v>
      </c>
      <c r="K437" t="s">
        <v>5</v>
      </c>
      <c r="L437" t="s">
        <v>123</v>
      </c>
      <c r="M437" t="s">
        <v>291</v>
      </c>
      <c r="N437" t="str">
        <f t="shared" si="34"/>
        <v>Яковлев Артем ИгоревичКузнецова София Сергеевна</v>
      </c>
      <c r="O437" t="s">
        <v>52</v>
      </c>
      <c r="P437" t="s">
        <v>86</v>
      </c>
      <c r="Q437" t="s">
        <v>339</v>
      </c>
    </row>
    <row r="438" spans="4:17" x14ac:dyDescent="0.25">
      <c r="D438" t="s">
        <v>36</v>
      </c>
      <c r="E438" t="s">
        <v>181</v>
      </c>
      <c r="F438" t="str">
        <f t="shared" si="30"/>
        <v>2024-06-28</v>
      </c>
      <c r="G438" t="str">
        <f t="shared" si="31"/>
        <v>2024-07-17</v>
      </c>
      <c r="H438">
        <f t="shared" si="32"/>
        <v>19</v>
      </c>
      <c r="J438" t="str">
        <f t="shared" si="33"/>
        <v>Белов Алексей КонстантиновичФедорова Татьяна Никитична</v>
      </c>
      <c r="K438" t="s">
        <v>8</v>
      </c>
      <c r="L438" t="s">
        <v>292</v>
      </c>
      <c r="M438" t="s">
        <v>291</v>
      </c>
      <c r="N438" t="str">
        <f t="shared" si="34"/>
        <v>Белов Алексей КонстантиновичОрлов Владимир Геннадьевич</v>
      </c>
      <c r="O438" t="s">
        <v>8</v>
      </c>
      <c r="P438" t="s">
        <v>272</v>
      </c>
      <c r="Q438" t="s">
        <v>339</v>
      </c>
    </row>
    <row r="439" spans="4:17" x14ac:dyDescent="0.25">
      <c r="D439" t="s">
        <v>36</v>
      </c>
      <c r="E439" t="s">
        <v>153</v>
      </c>
      <c r="F439" t="str">
        <f t="shared" si="30"/>
        <v>2023-10-26</v>
      </c>
      <c r="G439" t="str">
        <f t="shared" si="31"/>
        <v>2023-10-26</v>
      </c>
      <c r="H439">
        <f t="shared" si="32"/>
        <v>0</v>
      </c>
      <c r="J439" t="str">
        <f t="shared" si="33"/>
        <v>Сидорова Елена ВасильевнаВасильев Георгий Станиславович</v>
      </c>
      <c r="K439" t="s">
        <v>12</v>
      </c>
      <c r="L439" t="s">
        <v>243</v>
      </c>
      <c r="M439" t="s">
        <v>291</v>
      </c>
      <c r="N439" t="str">
        <f t="shared" si="34"/>
        <v>Белов Алексей КонстантиновичНовикова Дарья Викторовна</v>
      </c>
      <c r="O439" t="s">
        <v>8</v>
      </c>
      <c r="P439" t="s">
        <v>138</v>
      </c>
      <c r="Q439" t="s">
        <v>337</v>
      </c>
    </row>
    <row r="440" spans="4:17" x14ac:dyDescent="0.25">
      <c r="D440" t="s">
        <v>36</v>
      </c>
      <c r="E440" t="s">
        <v>138</v>
      </c>
      <c r="F440" t="str">
        <f t="shared" si="30"/>
        <v>2024-01-17</v>
      </c>
      <c r="G440" t="str">
        <f t="shared" si="31"/>
        <v>2024-01-17</v>
      </c>
      <c r="H440">
        <f t="shared" si="32"/>
        <v>0</v>
      </c>
      <c r="J440" t="str">
        <f t="shared" si="33"/>
        <v>Белов Алексей КонстантиновичФедорова Вероника Ивановна</v>
      </c>
      <c r="K440" t="s">
        <v>8</v>
      </c>
      <c r="L440" t="s">
        <v>107</v>
      </c>
      <c r="M440" t="s">
        <v>291</v>
      </c>
      <c r="N440" t="str">
        <f t="shared" si="34"/>
        <v>Орлов Павел ДенисовичВасильева Наталья Никитична</v>
      </c>
      <c r="O440" t="s">
        <v>17</v>
      </c>
      <c r="P440" t="s">
        <v>116</v>
      </c>
      <c r="Q440" t="s">
        <v>337</v>
      </c>
    </row>
    <row r="441" spans="4:17" x14ac:dyDescent="0.25">
      <c r="D441" t="s">
        <v>36</v>
      </c>
      <c r="E441" t="s">
        <v>53</v>
      </c>
      <c r="F441" t="str">
        <f t="shared" si="30"/>
        <v>2024-01-29</v>
      </c>
      <c r="G441" t="str">
        <f t="shared" si="31"/>
        <v>2024-01-29</v>
      </c>
      <c r="H441">
        <f t="shared" si="32"/>
        <v>0</v>
      </c>
      <c r="J441" t="str">
        <f t="shared" si="33"/>
        <v>Петров Владимир КирилловичВасильев Егор Владимирович</v>
      </c>
      <c r="K441" t="s">
        <v>36</v>
      </c>
      <c r="L441" t="s">
        <v>148</v>
      </c>
      <c r="M441" t="s">
        <v>291</v>
      </c>
      <c r="N441" t="str">
        <f t="shared" si="34"/>
        <v>Белов Алексей КонстантиновичМорозов Никита Иванович</v>
      </c>
      <c r="O441" t="s">
        <v>8</v>
      </c>
      <c r="P441" t="s">
        <v>335</v>
      </c>
      <c r="Q441" t="s">
        <v>336</v>
      </c>
    </row>
    <row r="442" spans="4:17" x14ac:dyDescent="0.25">
      <c r="D442" t="s">
        <v>36</v>
      </c>
      <c r="E442" t="s">
        <v>359</v>
      </c>
      <c r="F442" t="str">
        <f t="shared" si="30"/>
        <v>2024-04-19</v>
      </c>
      <c r="G442" t="str">
        <f t="shared" si="31"/>
        <v>2024-04-19</v>
      </c>
      <c r="H442">
        <f t="shared" si="32"/>
        <v>0</v>
      </c>
      <c r="J442" t="str">
        <f t="shared" si="33"/>
        <v>Громова Мария ИльиничнаСеменов Сергей Дмитриевич</v>
      </c>
      <c r="K442" t="s">
        <v>15</v>
      </c>
      <c r="L442" t="s">
        <v>293</v>
      </c>
      <c r="M442" t="s">
        <v>294</v>
      </c>
      <c r="N442" t="str">
        <f t="shared" si="34"/>
        <v>Сидорова Елена ВасильевнаНиколаева Ирина Владимировна</v>
      </c>
      <c r="O442" t="s">
        <v>12</v>
      </c>
      <c r="P442" t="s">
        <v>66</v>
      </c>
      <c r="Q442" t="s">
        <v>336</v>
      </c>
    </row>
    <row r="443" spans="4:17" x14ac:dyDescent="0.25">
      <c r="D443" t="s">
        <v>36</v>
      </c>
      <c r="E443" t="s">
        <v>232</v>
      </c>
      <c r="F443" t="str">
        <f t="shared" si="30"/>
        <v>2024-01-05</v>
      </c>
      <c r="G443" t="str">
        <f t="shared" si="31"/>
        <v>2024-03-05</v>
      </c>
      <c r="H443">
        <f t="shared" si="32"/>
        <v>60</v>
      </c>
      <c r="J443" t="str">
        <f t="shared" si="33"/>
        <v>Петров Владимир КирилловичАлексеева Людмила Никитична</v>
      </c>
      <c r="K443" t="s">
        <v>36</v>
      </c>
      <c r="L443" t="s">
        <v>60</v>
      </c>
      <c r="M443" t="s">
        <v>294</v>
      </c>
      <c r="N443" t="str">
        <f t="shared" si="34"/>
        <v>Яковлев Артем ИгоревичПетрова Дарья Кирилловна</v>
      </c>
      <c r="O443" t="s">
        <v>52</v>
      </c>
      <c r="P443" t="s">
        <v>198</v>
      </c>
      <c r="Q443" t="s">
        <v>336</v>
      </c>
    </row>
    <row r="444" spans="4:17" x14ac:dyDescent="0.25">
      <c r="D444" t="s">
        <v>36</v>
      </c>
      <c r="E444" t="s">
        <v>134</v>
      </c>
      <c r="F444" t="str">
        <f t="shared" si="30"/>
        <v>2023-11-03</v>
      </c>
      <c r="G444" t="str">
        <f t="shared" si="31"/>
        <v>2023-11-03</v>
      </c>
      <c r="H444">
        <f t="shared" si="32"/>
        <v>0</v>
      </c>
      <c r="J444" t="str">
        <f t="shared" si="33"/>
        <v>Фролов Сергей ВикторовичНиколаева Ирина Владимировна</v>
      </c>
      <c r="K444" t="s">
        <v>27</v>
      </c>
      <c r="L444" t="s">
        <v>66</v>
      </c>
      <c r="M444" t="s">
        <v>294</v>
      </c>
      <c r="N444" t="str">
        <f t="shared" si="34"/>
        <v>Иванова Анна СергеевнаПопова Дарья Владимировна</v>
      </c>
      <c r="O444" t="s">
        <v>48</v>
      </c>
      <c r="P444" t="s">
        <v>282</v>
      </c>
      <c r="Q444" t="s">
        <v>334</v>
      </c>
    </row>
    <row r="445" spans="4:17" x14ac:dyDescent="0.25">
      <c r="D445" t="s">
        <v>36</v>
      </c>
      <c r="E445" t="s">
        <v>57</v>
      </c>
      <c r="F445" t="str">
        <f t="shared" si="30"/>
        <v>2023-11-27</v>
      </c>
      <c r="G445" t="str">
        <f t="shared" si="31"/>
        <v>2023-11-27</v>
      </c>
      <c r="H445">
        <f t="shared" si="32"/>
        <v>0</v>
      </c>
      <c r="J445" t="str">
        <f t="shared" si="33"/>
        <v>Иванова Анна СергеевнаМорозова Алиса Андреевна</v>
      </c>
      <c r="K445" t="s">
        <v>48</v>
      </c>
      <c r="L445" t="s">
        <v>125</v>
      </c>
      <c r="M445" t="s">
        <v>295</v>
      </c>
      <c r="N445" t="str">
        <f t="shared" si="34"/>
        <v>Белов Алексей КонстантиновичСтепанова Екатерина Михайловна</v>
      </c>
      <c r="O445" t="s">
        <v>8</v>
      </c>
      <c r="P445" t="s">
        <v>172</v>
      </c>
      <c r="Q445" t="s">
        <v>334</v>
      </c>
    </row>
    <row r="446" spans="4:17" x14ac:dyDescent="0.25">
      <c r="D446" t="s">
        <v>36</v>
      </c>
      <c r="E446" t="s">
        <v>429</v>
      </c>
      <c r="F446" t="str">
        <f t="shared" si="30"/>
        <v>2024-07-29</v>
      </c>
      <c r="G446" t="str">
        <f t="shared" si="31"/>
        <v>2024-07-29</v>
      </c>
      <c r="H446">
        <f t="shared" si="32"/>
        <v>0</v>
      </c>
      <c r="J446" t="str">
        <f t="shared" si="33"/>
        <v>Яковлев Артем ИгоревичСидоров Павел Андреевич</v>
      </c>
      <c r="K446" t="s">
        <v>52</v>
      </c>
      <c r="L446" t="s">
        <v>287</v>
      </c>
      <c r="M446" t="s">
        <v>295</v>
      </c>
      <c r="N446" t="str">
        <f t="shared" si="34"/>
        <v>Фролов Сергей ВикторовичСеменов Сергей Дмитриевич</v>
      </c>
      <c r="O446" t="s">
        <v>27</v>
      </c>
      <c r="P446" t="s">
        <v>293</v>
      </c>
      <c r="Q446" t="s">
        <v>333</v>
      </c>
    </row>
    <row r="447" spans="4:17" x14ac:dyDescent="0.25">
      <c r="D447" t="s">
        <v>36</v>
      </c>
      <c r="E447" t="s">
        <v>338</v>
      </c>
      <c r="F447" t="str">
        <f t="shared" si="30"/>
        <v>2024-04-26</v>
      </c>
      <c r="G447" t="str">
        <f t="shared" si="31"/>
        <v>2024-04-26</v>
      </c>
      <c r="H447">
        <f t="shared" si="32"/>
        <v>0</v>
      </c>
      <c r="J447" t="str">
        <f t="shared" si="33"/>
        <v>Новикова Ольга ПетровнаСмирнов Егор Никитич</v>
      </c>
      <c r="K447" t="s">
        <v>10</v>
      </c>
      <c r="L447" t="s">
        <v>296</v>
      </c>
      <c r="M447" t="s">
        <v>295</v>
      </c>
      <c r="N447" t="str">
        <f t="shared" si="34"/>
        <v>Петров Владимир КирилловичАлексеева Виктория Александровна</v>
      </c>
      <c r="O447" t="s">
        <v>36</v>
      </c>
      <c r="P447" t="s">
        <v>195</v>
      </c>
      <c r="Q447" t="s">
        <v>333</v>
      </c>
    </row>
    <row r="448" spans="4:17" x14ac:dyDescent="0.25">
      <c r="D448" t="s">
        <v>36</v>
      </c>
      <c r="E448" t="s">
        <v>70</v>
      </c>
      <c r="F448" t="str">
        <f t="shared" si="30"/>
        <v>2024-01-01</v>
      </c>
      <c r="G448" t="str">
        <f t="shared" si="31"/>
        <v>2024-01-01</v>
      </c>
      <c r="H448">
        <f t="shared" si="32"/>
        <v>0</v>
      </c>
      <c r="J448" t="str">
        <f t="shared" si="33"/>
        <v>Семенова Ирина ВалерьевнаИванова Екатерина Егоровна</v>
      </c>
      <c r="K448" t="s">
        <v>46</v>
      </c>
      <c r="L448" t="s">
        <v>131</v>
      </c>
      <c r="M448" t="s">
        <v>295</v>
      </c>
      <c r="N448" t="str">
        <f t="shared" si="34"/>
        <v>Петров Владимир КирилловичИванова Александра Никитична</v>
      </c>
      <c r="O448" t="s">
        <v>36</v>
      </c>
      <c r="P448" t="s">
        <v>264</v>
      </c>
      <c r="Q448" t="s">
        <v>333</v>
      </c>
    </row>
    <row r="449" spans="4:17" x14ac:dyDescent="0.25">
      <c r="D449" t="s">
        <v>36</v>
      </c>
      <c r="E449" t="s">
        <v>109</v>
      </c>
      <c r="F449" t="str">
        <f t="shared" si="30"/>
        <v>2023-10-02</v>
      </c>
      <c r="G449" t="str">
        <f t="shared" si="31"/>
        <v>2023-10-02</v>
      </c>
      <c r="H449">
        <f t="shared" si="32"/>
        <v>0</v>
      </c>
      <c r="J449" t="str">
        <f t="shared" si="33"/>
        <v>Громова Мария ИльиничнаСмирнов Никита Олегович</v>
      </c>
      <c r="K449" t="s">
        <v>15</v>
      </c>
      <c r="L449" t="s">
        <v>297</v>
      </c>
      <c r="M449" t="s">
        <v>298</v>
      </c>
      <c r="N449" t="str">
        <f t="shared" si="34"/>
        <v>Ткаченко Андрей ОлеговичВасильева Мария Дмитриевна</v>
      </c>
      <c r="O449" t="s">
        <v>5</v>
      </c>
      <c r="P449" t="s">
        <v>304</v>
      </c>
      <c r="Q449" t="s">
        <v>333</v>
      </c>
    </row>
    <row r="450" spans="4:17" x14ac:dyDescent="0.25">
      <c r="D450" t="s">
        <v>36</v>
      </c>
      <c r="E450" t="s">
        <v>203</v>
      </c>
      <c r="F450" t="str">
        <f t="shared" si="30"/>
        <v>2024-05-21</v>
      </c>
      <c r="G450" t="str">
        <f t="shared" si="31"/>
        <v>2024-05-21</v>
      </c>
      <c r="H450">
        <f t="shared" si="32"/>
        <v>0</v>
      </c>
      <c r="J450" t="str">
        <f t="shared" si="33"/>
        <v>Орлов Павел ДенисовичОрлов Роман Дмитриевич</v>
      </c>
      <c r="K450" t="s">
        <v>17</v>
      </c>
      <c r="L450" t="s">
        <v>239</v>
      </c>
      <c r="M450" t="s">
        <v>298</v>
      </c>
      <c r="N450" t="str">
        <f t="shared" si="34"/>
        <v>Семенова Ирина ВалерьевнаКозлова Ксения Владимировна</v>
      </c>
      <c r="O450" t="s">
        <v>46</v>
      </c>
      <c r="P450" t="s">
        <v>173</v>
      </c>
      <c r="Q450" t="s">
        <v>333</v>
      </c>
    </row>
    <row r="451" spans="4:17" x14ac:dyDescent="0.25">
      <c r="D451" t="s">
        <v>36</v>
      </c>
      <c r="E451" t="s">
        <v>271</v>
      </c>
      <c r="F451" t="str">
        <f t="shared" ref="F451:F514" si="35">VLOOKUP(D451&amp;E451,J:M,4,0)</f>
        <v>2024-08-15</v>
      </c>
      <c r="G451" t="str">
        <f t="shared" ref="G451:G514" si="36">VLOOKUP(D451&amp;E451,N:Q,4,0)</f>
        <v>2024-08-15</v>
      </c>
      <c r="H451">
        <f t="shared" ref="H451:H514" si="37">G451-F451</f>
        <v>0</v>
      </c>
      <c r="J451" t="str">
        <f t="shared" ref="J451:J514" si="38">K451&amp;L451</f>
        <v>Кузнецов Дмитрий ЛьвовичНовикова Дарья Викторовна</v>
      </c>
      <c r="K451" t="s">
        <v>23</v>
      </c>
      <c r="L451" t="s">
        <v>138</v>
      </c>
      <c r="M451" t="s">
        <v>298</v>
      </c>
      <c r="N451" t="str">
        <f t="shared" ref="N451:N514" si="39">O451&amp;P451</f>
        <v>Яковлев Артем ИгоревичМорозов Андрей Александрович</v>
      </c>
      <c r="O451" t="s">
        <v>52</v>
      </c>
      <c r="P451" t="s">
        <v>187</v>
      </c>
      <c r="Q451" t="s">
        <v>332</v>
      </c>
    </row>
    <row r="452" spans="4:17" x14ac:dyDescent="0.25">
      <c r="D452" t="s">
        <v>36</v>
      </c>
      <c r="E452" t="s">
        <v>11</v>
      </c>
      <c r="F452" t="str">
        <f t="shared" si="35"/>
        <v>2023-10-26</v>
      </c>
      <c r="G452" t="str">
        <f t="shared" si="36"/>
        <v>2023-10-26</v>
      </c>
      <c r="H452">
        <f t="shared" si="37"/>
        <v>0</v>
      </c>
      <c r="J452" t="str">
        <f t="shared" si="38"/>
        <v>Орлов Павел ДенисовичПопов Владимир Артемович</v>
      </c>
      <c r="K452" t="s">
        <v>17</v>
      </c>
      <c r="L452" t="s">
        <v>203</v>
      </c>
      <c r="M452" t="s">
        <v>298</v>
      </c>
      <c r="N452" t="str">
        <f t="shared" si="39"/>
        <v>Сидорова Елена ВасильевнаФедорова Вероника Ивановна</v>
      </c>
      <c r="O452" t="s">
        <v>12</v>
      </c>
      <c r="P452" t="s">
        <v>107</v>
      </c>
      <c r="Q452" t="s">
        <v>332</v>
      </c>
    </row>
    <row r="453" spans="4:17" x14ac:dyDescent="0.25">
      <c r="D453" t="s">
        <v>36</v>
      </c>
      <c r="E453" t="s">
        <v>316</v>
      </c>
      <c r="F453" t="str">
        <f t="shared" si="35"/>
        <v>2024-03-04</v>
      </c>
      <c r="G453" t="str">
        <f t="shared" si="36"/>
        <v>2024-03-04</v>
      </c>
      <c r="H453">
        <f t="shared" si="37"/>
        <v>0</v>
      </c>
      <c r="J453" t="str">
        <f t="shared" si="38"/>
        <v>Петров Владимир КирилловичВолкова Валерия Олеговна</v>
      </c>
      <c r="K453" t="s">
        <v>36</v>
      </c>
      <c r="L453" t="s">
        <v>55</v>
      </c>
      <c r="M453" t="s">
        <v>299</v>
      </c>
      <c r="N453" t="str">
        <f t="shared" si="39"/>
        <v>Ткаченко Андрей ОлеговичСтепанова Анна Никитична</v>
      </c>
      <c r="O453" t="s">
        <v>5</v>
      </c>
      <c r="P453" t="s">
        <v>108</v>
      </c>
      <c r="Q453" t="s">
        <v>332</v>
      </c>
    </row>
    <row r="454" spans="4:17" x14ac:dyDescent="0.25">
      <c r="D454" t="s">
        <v>36</v>
      </c>
      <c r="E454" t="s">
        <v>280</v>
      </c>
      <c r="F454" t="str">
        <f t="shared" si="35"/>
        <v>2024-03-07</v>
      </c>
      <c r="G454" t="str">
        <f t="shared" si="36"/>
        <v>2024-03-07</v>
      </c>
      <c r="H454">
        <f t="shared" si="37"/>
        <v>0</v>
      </c>
      <c r="J454" t="str">
        <f t="shared" si="38"/>
        <v>Яковлев Артем ИгоревичЛебедев Артур Олегович</v>
      </c>
      <c r="K454" t="s">
        <v>52</v>
      </c>
      <c r="L454" t="s">
        <v>258</v>
      </c>
      <c r="M454" t="s">
        <v>299</v>
      </c>
      <c r="N454" t="str">
        <f t="shared" si="39"/>
        <v>Орлов Павел ДенисовичПавлова Анна Михайловна</v>
      </c>
      <c r="O454" t="s">
        <v>17</v>
      </c>
      <c r="P454" t="s">
        <v>191</v>
      </c>
      <c r="Q454" t="s">
        <v>332</v>
      </c>
    </row>
    <row r="455" spans="4:17" x14ac:dyDescent="0.25">
      <c r="D455" t="s">
        <v>36</v>
      </c>
      <c r="E455" t="s">
        <v>293</v>
      </c>
      <c r="F455" t="str">
        <f t="shared" si="35"/>
        <v>2024-08-12</v>
      </c>
      <c r="G455" t="str">
        <f t="shared" si="36"/>
        <v>2024-08-12</v>
      </c>
      <c r="H455">
        <f t="shared" si="37"/>
        <v>0</v>
      </c>
      <c r="J455" t="str">
        <f t="shared" si="38"/>
        <v>Сидорова Елена ВасильевнаВасильев Никита Викторович</v>
      </c>
      <c r="K455" t="s">
        <v>12</v>
      </c>
      <c r="L455" t="s">
        <v>47</v>
      </c>
      <c r="M455" t="s">
        <v>299</v>
      </c>
      <c r="N455" t="str">
        <f t="shared" si="39"/>
        <v>Фролов Сергей ВикторовичСтепанова Екатерина Михайловна</v>
      </c>
      <c r="O455" t="s">
        <v>27</v>
      </c>
      <c r="P455" t="s">
        <v>172</v>
      </c>
      <c r="Q455" t="s">
        <v>332</v>
      </c>
    </row>
    <row r="456" spans="4:17" x14ac:dyDescent="0.25">
      <c r="D456" t="s">
        <v>36</v>
      </c>
      <c r="E456" t="s">
        <v>73</v>
      </c>
      <c r="F456" t="str">
        <f t="shared" si="35"/>
        <v>2023-09-19</v>
      </c>
      <c r="G456" t="str">
        <f t="shared" si="36"/>
        <v>2024-04-19</v>
      </c>
      <c r="H456">
        <f t="shared" si="37"/>
        <v>213</v>
      </c>
      <c r="J456" t="str">
        <f t="shared" si="38"/>
        <v>Петров Владимир КирилловичВасильев Александр Иванович</v>
      </c>
      <c r="K456" t="s">
        <v>36</v>
      </c>
      <c r="L456" t="s">
        <v>158</v>
      </c>
      <c r="M456" t="s">
        <v>299</v>
      </c>
      <c r="N456" t="str">
        <f t="shared" si="39"/>
        <v>Белов Алексей КонстантиновичМорозов Сергей Олегович</v>
      </c>
      <c r="O456" t="s">
        <v>8</v>
      </c>
      <c r="P456" t="s">
        <v>150</v>
      </c>
      <c r="Q456" t="s">
        <v>332</v>
      </c>
    </row>
    <row r="457" spans="4:17" x14ac:dyDescent="0.25">
      <c r="D457" t="s">
        <v>36</v>
      </c>
      <c r="E457" t="s">
        <v>13</v>
      </c>
      <c r="F457" t="str">
        <f t="shared" si="35"/>
        <v>2023-12-29</v>
      </c>
      <c r="G457" t="str">
        <f t="shared" si="36"/>
        <v>2023-12-29</v>
      </c>
      <c r="H457">
        <f t="shared" si="37"/>
        <v>0</v>
      </c>
      <c r="J457" t="str">
        <f t="shared" si="38"/>
        <v>Ткаченко Андрей ОлеговичЕгоров Никита Геннадьевич</v>
      </c>
      <c r="K457" t="s">
        <v>5</v>
      </c>
      <c r="L457" t="s">
        <v>130</v>
      </c>
      <c r="M457" t="s">
        <v>299</v>
      </c>
      <c r="N457" t="str">
        <f t="shared" si="39"/>
        <v>Орлов Павел ДенисовичЛебедев Павел Кириллович</v>
      </c>
      <c r="O457" t="s">
        <v>17</v>
      </c>
      <c r="P457" t="s">
        <v>6</v>
      </c>
      <c r="Q457" t="s">
        <v>332</v>
      </c>
    </row>
    <row r="458" spans="4:17" x14ac:dyDescent="0.25">
      <c r="D458" t="s">
        <v>36</v>
      </c>
      <c r="E458" t="s">
        <v>270</v>
      </c>
      <c r="F458" t="str">
        <f t="shared" si="35"/>
        <v>2024-01-22</v>
      </c>
      <c r="G458" t="str">
        <f t="shared" si="36"/>
        <v>2024-01-22</v>
      </c>
      <c r="H458">
        <f t="shared" si="37"/>
        <v>0</v>
      </c>
      <c r="J458" t="str">
        <f t="shared" si="38"/>
        <v>Яковлев Артем ИгоревичСеменов Никита Михайлович</v>
      </c>
      <c r="K458" t="s">
        <v>52</v>
      </c>
      <c r="L458" t="s">
        <v>300</v>
      </c>
      <c r="M458" t="s">
        <v>301</v>
      </c>
      <c r="N458" t="str">
        <f t="shared" si="39"/>
        <v>Ткаченко Андрей ОлеговичЛебедев Роман Станиславович</v>
      </c>
      <c r="O458" t="s">
        <v>5</v>
      </c>
      <c r="P458" t="s">
        <v>62</v>
      </c>
      <c r="Q458" t="s">
        <v>332</v>
      </c>
    </row>
    <row r="459" spans="4:17" x14ac:dyDescent="0.25">
      <c r="D459" t="s">
        <v>36</v>
      </c>
      <c r="E459" t="s">
        <v>20</v>
      </c>
      <c r="F459" t="str">
        <f t="shared" si="35"/>
        <v>2024-02-08</v>
      </c>
      <c r="G459" t="str">
        <f t="shared" si="36"/>
        <v>2024-02-08</v>
      </c>
      <c r="H459">
        <f t="shared" si="37"/>
        <v>0</v>
      </c>
      <c r="J459" t="str">
        <f t="shared" si="38"/>
        <v>Ткаченко Андрей ОлеговичЛебедева Ирина Михайловна</v>
      </c>
      <c r="K459" t="s">
        <v>5</v>
      </c>
      <c r="L459" t="s">
        <v>302</v>
      </c>
      <c r="M459" t="s">
        <v>301</v>
      </c>
      <c r="N459" t="str">
        <f t="shared" si="39"/>
        <v>Иванова Анна СергеевнаПавлов Павел Павлович</v>
      </c>
      <c r="O459" t="s">
        <v>48</v>
      </c>
      <c r="P459" t="s">
        <v>207</v>
      </c>
      <c r="Q459" t="s">
        <v>332</v>
      </c>
    </row>
    <row r="460" spans="4:17" x14ac:dyDescent="0.25">
      <c r="D460" t="s">
        <v>36</v>
      </c>
      <c r="E460" t="s">
        <v>28</v>
      </c>
      <c r="F460" t="str">
        <f t="shared" si="35"/>
        <v>2024-04-23</v>
      </c>
      <c r="G460" t="str">
        <f t="shared" si="36"/>
        <v>2024-04-23</v>
      </c>
      <c r="H460">
        <f t="shared" si="37"/>
        <v>0</v>
      </c>
      <c r="J460" t="str">
        <f t="shared" si="38"/>
        <v>Яковлев Артем ИгоревичСмирнов Кирилл Сергеевич</v>
      </c>
      <c r="K460" t="s">
        <v>52</v>
      </c>
      <c r="L460" t="s">
        <v>146</v>
      </c>
      <c r="M460" t="s">
        <v>303</v>
      </c>
      <c r="N460" t="str">
        <f t="shared" si="39"/>
        <v>Кузнецов Дмитрий ЛьвовичВолков Роман Иванович</v>
      </c>
      <c r="O460" t="s">
        <v>23</v>
      </c>
      <c r="P460" t="s">
        <v>75</v>
      </c>
      <c r="Q460" t="s">
        <v>332</v>
      </c>
    </row>
    <row r="461" spans="4:17" x14ac:dyDescent="0.25">
      <c r="D461" t="s">
        <v>36</v>
      </c>
      <c r="E461" t="s">
        <v>372</v>
      </c>
      <c r="F461" t="str">
        <f t="shared" si="35"/>
        <v>2024-05-06</v>
      </c>
      <c r="G461" t="str">
        <f t="shared" si="36"/>
        <v>2024-05-06</v>
      </c>
      <c r="H461">
        <f t="shared" si="37"/>
        <v>0</v>
      </c>
      <c r="J461" t="str">
        <f t="shared" si="38"/>
        <v>Иванова Анна СергеевнаВолкова Наталья Александровна</v>
      </c>
      <c r="K461" t="s">
        <v>48</v>
      </c>
      <c r="L461" t="s">
        <v>115</v>
      </c>
      <c r="M461" t="s">
        <v>303</v>
      </c>
      <c r="N461" t="str">
        <f t="shared" si="39"/>
        <v>Белов Алексей КонстантиновичСмирнов Дмитрий Александрович</v>
      </c>
      <c r="O461" t="s">
        <v>8</v>
      </c>
      <c r="P461" t="s">
        <v>20</v>
      </c>
      <c r="Q461" t="s">
        <v>331</v>
      </c>
    </row>
    <row r="462" spans="4:17" x14ac:dyDescent="0.25">
      <c r="D462" t="s">
        <v>36</v>
      </c>
      <c r="E462" t="s">
        <v>25</v>
      </c>
      <c r="F462" t="str">
        <f t="shared" si="35"/>
        <v>2023-12-29</v>
      </c>
      <c r="G462" t="str">
        <f t="shared" si="36"/>
        <v>2023-12-29</v>
      </c>
      <c r="H462">
        <f t="shared" si="37"/>
        <v>0</v>
      </c>
      <c r="J462" t="str">
        <f t="shared" si="38"/>
        <v>Орлов Павел ДенисовичВасильева Мария Дмитриевна</v>
      </c>
      <c r="K462" t="s">
        <v>17</v>
      </c>
      <c r="L462" t="s">
        <v>304</v>
      </c>
      <c r="M462" t="s">
        <v>303</v>
      </c>
      <c r="N462" t="str">
        <f t="shared" si="39"/>
        <v>Новикова Ольга ПетровнаСеменов Никита Михайлович</v>
      </c>
      <c r="O462" t="s">
        <v>10</v>
      </c>
      <c r="P462" t="s">
        <v>300</v>
      </c>
      <c r="Q462" t="s">
        <v>331</v>
      </c>
    </row>
    <row r="463" spans="4:17" x14ac:dyDescent="0.25">
      <c r="D463" t="s">
        <v>36</v>
      </c>
      <c r="E463" t="s">
        <v>68</v>
      </c>
      <c r="F463" t="str">
        <f t="shared" si="35"/>
        <v>2023-11-21</v>
      </c>
      <c r="G463" t="str">
        <f t="shared" si="36"/>
        <v>2023-11-21</v>
      </c>
      <c r="H463">
        <f t="shared" si="37"/>
        <v>0</v>
      </c>
      <c r="J463" t="str">
        <f t="shared" si="38"/>
        <v>Яковлев Артем ИгоревичВасильев Александр Никитич</v>
      </c>
      <c r="K463" t="s">
        <v>52</v>
      </c>
      <c r="L463" t="s">
        <v>161</v>
      </c>
      <c r="M463" t="s">
        <v>303</v>
      </c>
      <c r="N463" t="str">
        <f t="shared" si="39"/>
        <v>Громова Мария ИльиничнаПопов Михаил Александрович</v>
      </c>
      <c r="O463" t="s">
        <v>15</v>
      </c>
      <c r="P463" t="s">
        <v>271</v>
      </c>
      <c r="Q463" t="s">
        <v>329</v>
      </c>
    </row>
    <row r="464" spans="4:17" x14ac:dyDescent="0.25">
      <c r="D464" t="s">
        <v>36</v>
      </c>
      <c r="E464" t="s">
        <v>190</v>
      </c>
      <c r="F464" t="str">
        <f t="shared" si="35"/>
        <v>2024-05-13</v>
      </c>
      <c r="G464" t="str">
        <f t="shared" si="36"/>
        <v>2024-05-13</v>
      </c>
      <c r="H464">
        <f t="shared" si="37"/>
        <v>0</v>
      </c>
      <c r="J464" t="str">
        <f t="shared" si="38"/>
        <v>Громова Мария ИльиничнаФедоров Дмитрий Викторович</v>
      </c>
      <c r="K464" t="s">
        <v>15</v>
      </c>
      <c r="L464" t="s">
        <v>157</v>
      </c>
      <c r="M464" t="s">
        <v>303</v>
      </c>
      <c r="N464" t="str">
        <f t="shared" si="39"/>
        <v>Яковлев Артем ИгоревичНиколаева Ксения Владимировна</v>
      </c>
      <c r="O464" t="s">
        <v>52</v>
      </c>
      <c r="P464" t="s">
        <v>330</v>
      </c>
      <c r="Q464" t="s">
        <v>329</v>
      </c>
    </row>
    <row r="465" spans="4:17" x14ac:dyDescent="0.25">
      <c r="D465" t="s">
        <v>36</v>
      </c>
      <c r="E465" t="s">
        <v>108</v>
      </c>
      <c r="F465" t="str">
        <f t="shared" si="35"/>
        <v>2023-12-04</v>
      </c>
      <c r="G465" t="str">
        <f t="shared" si="36"/>
        <v>2024-06-24</v>
      </c>
      <c r="H465">
        <f t="shared" si="37"/>
        <v>203</v>
      </c>
      <c r="J465" t="str">
        <f t="shared" si="38"/>
        <v>Яковлев Артем ИгоревичСтепанова Анна Никитична</v>
      </c>
      <c r="K465" t="s">
        <v>52</v>
      </c>
      <c r="L465" t="s">
        <v>108</v>
      </c>
      <c r="M465" t="s">
        <v>303</v>
      </c>
      <c r="N465" t="str">
        <f t="shared" si="39"/>
        <v>Ткаченко Андрей ОлеговичАлексеева Полина Станиславовна</v>
      </c>
      <c r="O465" t="s">
        <v>5</v>
      </c>
      <c r="P465" t="s">
        <v>180</v>
      </c>
      <c r="Q465" t="s">
        <v>329</v>
      </c>
    </row>
    <row r="466" spans="4:17" x14ac:dyDescent="0.25">
      <c r="D466" t="s">
        <v>36</v>
      </c>
      <c r="E466" t="s">
        <v>136</v>
      </c>
      <c r="F466" t="str">
        <f t="shared" si="35"/>
        <v>2023-10-13</v>
      </c>
      <c r="G466" t="str">
        <f t="shared" si="36"/>
        <v>2024-04-02</v>
      </c>
      <c r="H466">
        <f t="shared" si="37"/>
        <v>172</v>
      </c>
      <c r="J466" t="str">
        <f t="shared" si="38"/>
        <v>Сидорова Елена ВасильевнаОрлова Анна Дмитриевна</v>
      </c>
      <c r="K466" t="s">
        <v>12</v>
      </c>
      <c r="L466" t="s">
        <v>165</v>
      </c>
      <c r="M466" t="s">
        <v>303</v>
      </c>
      <c r="N466" t="str">
        <f t="shared" si="39"/>
        <v>Орлов Павел ДенисовичОрлов Кирилл Владимирович</v>
      </c>
      <c r="O466" t="s">
        <v>17</v>
      </c>
      <c r="P466" t="s">
        <v>79</v>
      </c>
      <c r="Q466" t="s">
        <v>327</v>
      </c>
    </row>
    <row r="467" spans="4:17" x14ac:dyDescent="0.25">
      <c r="D467" t="s">
        <v>36</v>
      </c>
      <c r="E467" t="s">
        <v>193</v>
      </c>
      <c r="F467" t="str">
        <f t="shared" si="35"/>
        <v>2024-02-19</v>
      </c>
      <c r="G467" t="str">
        <f t="shared" si="36"/>
        <v>2024-02-19</v>
      </c>
      <c r="H467">
        <f t="shared" si="37"/>
        <v>0</v>
      </c>
      <c r="J467" t="str">
        <f t="shared" si="38"/>
        <v>Петров Владимир КирилловичФедорова Алиса Кирилловна</v>
      </c>
      <c r="K467" t="s">
        <v>36</v>
      </c>
      <c r="L467" t="s">
        <v>193</v>
      </c>
      <c r="M467" t="s">
        <v>303</v>
      </c>
      <c r="N467" t="str">
        <f t="shared" si="39"/>
        <v>Ткаченко Андрей ОлеговичСтепанов Артем Юрьевич</v>
      </c>
      <c r="O467" t="s">
        <v>5</v>
      </c>
      <c r="P467" t="s">
        <v>328</v>
      </c>
      <c r="Q467" t="s">
        <v>327</v>
      </c>
    </row>
    <row r="468" spans="4:17" x14ac:dyDescent="0.25">
      <c r="D468" t="s">
        <v>36</v>
      </c>
      <c r="E468" t="s">
        <v>107</v>
      </c>
      <c r="F468" t="str">
        <f t="shared" si="35"/>
        <v>2023-11-20</v>
      </c>
      <c r="G468" t="str">
        <f t="shared" si="36"/>
        <v>2024-06-05</v>
      </c>
      <c r="H468">
        <f t="shared" si="37"/>
        <v>198</v>
      </c>
      <c r="J468" t="str">
        <f t="shared" si="38"/>
        <v>Иванова Анна СергеевнаНиколаев Артур Никитич</v>
      </c>
      <c r="K468" t="s">
        <v>48</v>
      </c>
      <c r="L468" t="s">
        <v>129</v>
      </c>
      <c r="M468" t="s">
        <v>303</v>
      </c>
      <c r="N468" t="str">
        <f t="shared" si="39"/>
        <v>Иванова Анна СергеевнаСидорова Виктория Ильинична</v>
      </c>
      <c r="O468" t="s">
        <v>48</v>
      </c>
      <c r="P468" t="s">
        <v>270</v>
      </c>
      <c r="Q468" t="s">
        <v>327</v>
      </c>
    </row>
    <row r="469" spans="4:17" x14ac:dyDescent="0.25">
      <c r="D469" t="s">
        <v>46</v>
      </c>
      <c r="E469" t="s">
        <v>89</v>
      </c>
      <c r="F469" t="str">
        <f t="shared" si="35"/>
        <v>2023-10-17</v>
      </c>
      <c r="G469" t="str">
        <f t="shared" si="36"/>
        <v>2023-10-17</v>
      </c>
      <c r="H469">
        <f t="shared" si="37"/>
        <v>0</v>
      </c>
      <c r="J469" t="str">
        <f t="shared" si="38"/>
        <v>Семенова Ирина ВалерьевнаСмирнов Егор Никитич</v>
      </c>
      <c r="K469" t="s">
        <v>46</v>
      </c>
      <c r="L469" t="s">
        <v>296</v>
      </c>
      <c r="M469" t="s">
        <v>305</v>
      </c>
      <c r="N469" t="str">
        <f t="shared" si="39"/>
        <v>Семенова Ирина ВалерьевнаПетрова София Алексеевна</v>
      </c>
      <c r="O469" t="s">
        <v>46</v>
      </c>
      <c r="P469" t="s">
        <v>59</v>
      </c>
      <c r="Q469" t="s">
        <v>327</v>
      </c>
    </row>
    <row r="470" spans="4:17" x14ac:dyDescent="0.25">
      <c r="D470" t="s">
        <v>46</v>
      </c>
      <c r="E470" t="s">
        <v>126</v>
      </c>
      <c r="F470" t="str">
        <f t="shared" si="35"/>
        <v>2023-10-10</v>
      </c>
      <c r="G470" t="str">
        <f t="shared" si="36"/>
        <v>2024-07-16</v>
      </c>
      <c r="H470">
        <f t="shared" si="37"/>
        <v>280</v>
      </c>
      <c r="J470" t="str">
        <f t="shared" si="38"/>
        <v>Белов Алексей КонстантиновичНиколаев Дмитрий Олегович</v>
      </c>
      <c r="K470" t="s">
        <v>8</v>
      </c>
      <c r="L470" t="s">
        <v>127</v>
      </c>
      <c r="M470" t="s">
        <v>305</v>
      </c>
      <c r="N470" t="str">
        <f t="shared" si="39"/>
        <v>Кузнецов Дмитрий ЛьвовичФедорова Наталья Александровна</v>
      </c>
      <c r="O470" t="s">
        <v>23</v>
      </c>
      <c r="P470" t="s">
        <v>31</v>
      </c>
      <c r="Q470" t="s">
        <v>326</v>
      </c>
    </row>
    <row r="471" spans="4:17" x14ac:dyDescent="0.25">
      <c r="D471" t="s">
        <v>46</v>
      </c>
      <c r="E471" t="s">
        <v>60</v>
      </c>
      <c r="F471" t="str">
        <f t="shared" si="35"/>
        <v>2023-11-24</v>
      </c>
      <c r="G471" t="str">
        <f t="shared" si="36"/>
        <v>2023-11-24</v>
      </c>
      <c r="H471">
        <f t="shared" si="37"/>
        <v>0</v>
      </c>
      <c r="J471" t="str">
        <f t="shared" si="38"/>
        <v>Петров Владимир КирилловичФедорова Вероника Ивановна</v>
      </c>
      <c r="K471" t="s">
        <v>36</v>
      </c>
      <c r="L471" t="s">
        <v>107</v>
      </c>
      <c r="M471" t="s">
        <v>306</v>
      </c>
      <c r="N471" t="str">
        <f t="shared" si="39"/>
        <v>Белов Алексей КонстантиновичПопова Дарья Владимировна</v>
      </c>
      <c r="O471" t="s">
        <v>8</v>
      </c>
      <c r="P471" t="s">
        <v>282</v>
      </c>
      <c r="Q471" t="s">
        <v>326</v>
      </c>
    </row>
    <row r="472" spans="4:17" x14ac:dyDescent="0.25">
      <c r="D472" t="s">
        <v>46</v>
      </c>
      <c r="E472" t="s">
        <v>180</v>
      </c>
      <c r="F472" t="str">
        <f t="shared" si="35"/>
        <v>2024-04-23</v>
      </c>
      <c r="G472" t="str">
        <f t="shared" si="36"/>
        <v>2024-04-23</v>
      </c>
      <c r="H472">
        <f t="shared" si="37"/>
        <v>0</v>
      </c>
      <c r="J472" t="str">
        <f t="shared" si="38"/>
        <v>Ткаченко Андрей ОлеговичСмирнов Егор Никитич</v>
      </c>
      <c r="K472" t="s">
        <v>5</v>
      </c>
      <c r="L472" t="s">
        <v>296</v>
      </c>
      <c r="M472" t="s">
        <v>306</v>
      </c>
      <c r="N472" t="str">
        <f t="shared" si="39"/>
        <v>Громова Мария ИльиничнаКозлова Ксения Владимировна</v>
      </c>
      <c r="O472" t="s">
        <v>15</v>
      </c>
      <c r="P472" t="s">
        <v>173</v>
      </c>
      <c r="Q472" t="s">
        <v>326</v>
      </c>
    </row>
    <row r="473" spans="4:17" x14ac:dyDescent="0.25">
      <c r="D473" t="s">
        <v>46</v>
      </c>
      <c r="E473" t="s">
        <v>77</v>
      </c>
      <c r="F473" t="str">
        <f t="shared" si="35"/>
        <v>2024-06-10</v>
      </c>
      <c r="G473" t="str">
        <f t="shared" si="36"/>
        <v>2024-06-10</v>
      </c>
      <c r="H473">
        <f t="shared" si="37"/>
        <v>0</v>
      </c>
      <c r="J473" t="str">
        <f t="shared" si="38"/>
        <v>Семенова Ирина ВалерьевнаПопов Дмитрий Ильич</v>
      </c>
      <c r="K473" t="s">
        <v>46</v>
      </c>
      <c r="L473" t="s">
        <v>105</v>
      </c>
      <c r="M473" t="s">
        <v>307</v>
      </c>
      <c r="N473" t="str">
        <f t="shared" si="39"/>
        <v>Фролов Сергей ВикторовичПетров Сергей Викторович</v>
      </c>
      <c r="O473" t="s">
        <v>27</v>
      </c>
      <c r="P473" t="s">
        <v>98</v>
      </c>
      <c r="Q473" t="s">
        <v>326</v>
      </c>
    </row>
    <row r="474" spans="4:17" x14ac:dyDescent="0.25">
      <c r="D474" t="s">
        <v>46</v>
      </c>
      <c r="E474" t="s">
        <v>243</v>
      </c>
      <c r="F474" t="str">
        <f t="shared" si="35"/>
        <v>2024-07-04</v>
      </c>
      <c r="G474" t="str">
        <f t="shared" si="36"/>
        <v>2024-07-04</v>
      </c>
      <c r="H474">
        <f t="shared" si="37"/>
        <v>0</v>
      </c>
      <c r="J474" t="str">
        <f t="shared" si="38"/>
        <v>Петров Владимир КирилловичМорозова Алиса Андреевна</v>
      </c>
      <c r="K474" t="s">
        <v>36</v>
      </c>
      <c r="L474" t="s">
        <v>125</v>
      </c>
      <c r="M474" t="s">
        <v>307</v>
      </c>
      <c r="N474" t="str">
        <f t="shared" si="39"/>
        <v>Иванова Анна СергеевнаПопова Екатерина Владимировна</v>
      </c>
      <c r="O474" t="s">
        <v>48</v>
      </c>
      <c r="P474" t="s">
        <v>11</v>
      </c>
      <c r="Q474" t="s">
        <v>324</v>
      </c>
    </row>
    <row r="475" spans="4:17" x14ac:dyDescent="0.25">
      <c r="D475" t="s">
        <v>46</v>
      </c>
      <c r="E475" t="s">
        <v>95</v>
      </c>
      <c r="F475" t="str">
        <f t="shared" si="35"/>
        <v>2024-08-27</v>
      </c>
      <c r="G475" t="str">
        <f t="shared" si="36"/>
        <v>2024-08-27</v>
      </c>
      <c r="H475">
        <f t="shared" si="37"/>
        <v>0</v>
      </c>
      <c r="J475" t="str">
        <f t="shared" si="38"/>
        <v>Кузнецов Дмитрий ЛьвовичПавлов Артур Романович</v>
      </c>
      <c r="K475" t="s">
        <v>23</v>
      </c>
      <c r="L475" t="s">
        <v>223</v>
      </c>
      <c r="M475" t="s">
        <v>307</v>
      </c>
      <c r="N475" t="str">
        <f t="shared" si="39"/>
        <v>Яковлев Артем ИгоревичПетрова Наталья Геннадьевна</v>
      </c>
      <c r="O475" t="s">
        <v>52</v>
      </c>
      <c r="P475" t="s">
        <v>82</v>
      </c>
      <c r="Q475" t="s">
        <v>324</v>
      </c>
    </row>
    <row r="476" spans="4:17" x14ac:dyDescent="0.25">
      <c r="D476" t="s">
        <v>46</v>
      </c>
      <c r="E476" t="s">
        <v>47</v>
      </c>
      <c r="F476" t="str">
        <f t="shared" si="35"/>
        <v>2023-09-11</v>
      </c>
      <c r="G476" t="str">
        <f t="shared" si="36"/>
        <v>2024-06-24</v>
      </c>
      <c r="H476">
        <f t="shared" si="37"/>
        <v>287</v>
      </c>
      <c r="J476" t="str">
        <f t="shared" si="38"/>
        <v>Яковлев Артем ИгоревичКозлов Артур Андреевич</v>
      </c>
      <c r="K476" t="s">
        <v>52</v>
      </c>
      <c r="L476" t="s">
        <v>63</v>
      </c>
      <c r="M476" t="s">
        <v>307</v>
      </c>
      <c r="N476" t="str">
        <f t="shared" si="39"/>
        <v>Семенова Ирина ВалерьевнаЛебедев Алексей Павлович</v>
      </c>
      <c r="O476" t="s">
        <v>46</v>
      </c>
      <c r="P476" t="s">
        <v>325</v>
      </c>
      <c r="Q476" t="s">
        <v>324</v>
      </c>
    </row>
    <row r="477" spans="4:17" x14ac:dyDescent="0.25">
      <c r="D477" t="s">
        <v>46</v>
      </c>
      <c r="E477" t="s">
        <v>216</v>
      </c>
      <c r="F477" t="str">
        <f t="shared" si="35"/>
        <v>2024-07-01</v>
      </c>
      <c r="G477" t="str">
        <f t="shared" si="36"/>
        <v>2024-07-01</v>
      </c>
      <c r="H477">
        <f t="shared" si="37"/>
        <v>0</v>
      </c>
      <c r="J477" t="str">
        <f t="shared" si="38"/>
        <v>Кузнецов Дмитрий ЛьвовичСмирнов Кирилл Сергеевич</v>
      </c>
      <c r="K477" t="s">
        <v>23</v>
      </c>
      <c r="L477" t="s">
        <v>146</v>
      </c>
      <c r="M477" t="s">
        <v>307</v>
      </c>
      <c r="N477" t="str">
        <f t="shared" si="39"/>
        <v>Петров Владимир КирилловичВасильев Никита Викторович</v>
      </c>
      <c r="O477" t="s">
        <v>36</v>
      </c>
      <c r="P477" t="s">
        <v>47</v>
      </c>
      <c r="Q477" t="s">
        <v>324</v>
      </c>
    </row>
    <row r="478" spans="4:17" x14ac:dyDescent="0.25">
      <c r="D478" t="s">
        <v>46</v>
      </c>
      <c r="E478" t="s">
        <v>116</v>
      </c>
      <c r="F478" t="str">
        <f t="shared" si="35"/>
        <v>2023-12-07</v>
      </c>
      <c r="G478" t="str">
        <f t="shared" si="36"/>
        <v>2024-04-12</v>
      </c>
      <c r="H478">
        <f t="shared" si="37"/>
        <v>127</v>
      </c>
      <c r="J478" t="str">
        <f t="shared" si="38"/>
        <v>Новикова Ольга ПетровнаПетров Михаил Юрьевич</v>
      </c>
      <c r="K478" t="s">
        <v>10</v>
      </c>
      <c r="L478" t="s">
        <v>256</v>
      </c>
      <c r="M478" t="s">
        <v>307</v>
      </c>
      <c r="N478" t="str">
        <f t="shared" si="39"/>
        <v>Яковлев Артем ИгоревичСмирнов Михаил Алексеевич</v>
      </c>
      <c r="O478" t="s">
        <v>52</v>
      </c>
      <c r="P478" t="s">
        <v>28</v>
      </c>
      <c r="Q478" t="s">
        <v>324</v>
      </c>
    </row>
    <row r="479" spans="4:17" x14ac:dyDescent="0.25">
      <c r="D479" t="s">
        <v>46</v>
      </c>
      <c r="E479" t="s">
        <v>240</v>
      </c>
      <c r="F479" t="str">
        <f t="shared" si="35"/>
        <v>2023-12-26</v>
      </c>
      <c r="G479" t="str">
        <f t="shared" si="36"/>
        <v>2023-12-26</v>
      </c>
      <c r="H479">
        <f t="shared" si="37"/>
        <v>0</v>
      </c>
      <c r="J479" t="str">
        <f t="shared" si="38"/>
        <v>Яковлев Артем ИгоревичКозлова Ирина Павловна</v>
      </c>
      <c r="K479" t="s">
        <v>52</v>
      </c>
      <c r="L479" t="s">
        <v>122</v>
      </c>
      <c r="M479" t="s">
        <v>308</v>
      </c>
      <c r="N479" t="str">
        <f t="shared" si="39"/>
        <v>Громова Мария ИльиничнаНовикова Елена Михайловна</v>
      </c>
      <c r="O479" t="s">
        <v>15</v>
      </c>
      <c r="P479" t="s">
        <v>121</v>
      </c>
      <c r="Q479" t="s">
        <v>324</v>
      </c>
    </row>
    <row r="480" spans="4:17" x14ac:dyDescent="0.25">
      <c r="D480" t="s">
        <v>46</v>
      </c>
      <c r="E480" t="s">
        <v>264</v>
      </c>
      <c r="F480" t="str">
        <f t="shared" si="35"/>
        <v>2024-01-16</v>
      </c>
      <c r="G480" t="str">
        <f t="shared" si="36"/>
        <v>2024-01-16</v>
      </c>
      <c r="H480">
        <f t="shared" si="37"/>
        <v>0</v>
      </c>
      <c r="J480" t="str">
        <f t="shared" si="38"/>
        <v>Громова Мария ИльиничнаВолков Алексей Артемович</v>
      </c>
      <c r="K480" t="s">
        <v>15</v>
      </c>
      <c r="L480" t="s">
        <v>111</v>
      </c>
      <c r="M480" t="s">
        <v>308</v>
      </c>
      <c r="N480" t="str">
        <f t="shared" si="39"/>
        <v>Сидорова Елена ВасильевнаПетров Алексей Артемович</v>
      </c>
      <c r="O480" t="s">
        <v>12</v>
      </c>
      <c r="P480" t="s">
        <v>151</v>
      </c>
      <c r="Q480" t="s">
        <v>324</v>
      </c>
    </row>
    <row r="481" spans="4:17" x14ac:dyDescent="0.25">
      <c r="D481" t="s">
        <v>46</v>
      </c>
      <c r="E481" t="s">
        <v>281</v>
      </c>
      <c r="F481" t="str">
        <f t="shared" si="35"/>
        <v>2024-04-11</v>
      </c>
      <c r="G481" t="str">
        <f t="shared" si="36"/>
        <v>2024-08-13</v>
      </c>
      <c r="H481">
        <f t="shared" si="37"/>
        <v>124</v>
      </c>
      <c r="J481" t="str">
        <f t="shared" si="38"/>
        <v>Орлов Павел ДенисовичИванова Екатерина Егоровна</v>
      </c>
      <c r="K481" t="s">
        <v>17</v>
      </c>
      <c r="L481" t="s">
        <v>131</v>
      </c>
      <c r="M481" t="s">
        <v>308</v>
      </c>
      <c r="N481" t="str">
        <f t="shared" si="39"/>
        <v>Иванова Анна СергеевнаНиколаева Ирина Романовна</v>
      </c>
      <c r="O481" t="s">
        <v>48</v>
      </c>
      <c r="P481" t="s">
        <v>268</v>
      </c>
      <c r="Q481" t="s">
        <v>324</v>
      </c>
    </row>
    <row r="482" spans="4:17" x14ac:dyDescent="0.25">
      <c r="D482" t="s">
        <v>46</v>
      </c>
      <c r="E482" t="s">
        <v>131</v>
      </c>
      <c r="F482" t="str">
        <f t="shared" si="35"/>
        <v>2024-02-12</v>
      </c>
      <c r="G482" t="str">
        <f t="shared" si="36"/>
        <v>2024-07-29</v>
      </c>
      <c r="H482">
        <f t="shared" si="37"/>
        <v>168</v>
      </c>
      <c r="J482" t="str">
        <f t="shared" si="38"/>
        <v>Орлов Павел ДенисовичПетрова Дарья Кирилловна</v>
      </c>
      <c r="K482" t="s">
        <v>17</v>
      </c>
      <c r="L482" t="s">
        <v>198</v>
      </c>
      <c r="M482" t="s">
        <v>308</v>
      </c>
      <c r="N482" t="str">
        <f t="shared" si="39"/>
        <v>Семенова Ирина ВалерьевнаПетрова Полина Дмитриевна</v>
      </c>
      <c r="O482" t="s">
        <v>46</v>
      </c>
      <c r="P482" t="s">
        <v>109</v>
      </c>
      <c r="Q482" t="s">
        <v>324</v>
      </c>
    </row>
    <row r="483" spans="4:17" x14ac:dyDescent="0.25">
      <c r="D483" t="s">
        <v>46</v>
      </c>
      <c r="E483" t="s">
        <v>149</v>
      </c>
      <c r="F483" t="str">
        <f t="shared" si="35"/>
        <v>2024-06-27</v>
      </c>
      <c r="G483" t="str">
        <f t="shared" si="36"/>
        <v>2024-06-27</v>
      </c>
      <c r="H483">
        <f t="shared" si="37"/>
        <v>0</v>
      </c>
      <c r="J483" t="str">
        <f t="shared" si="38"/>
        <v>Громова Мария ИльиничнаСтепанов Дмитрий Владимирович</v>
      </c>
      <c r="K483" t="s">
        <v>15</v>
      </c>
      <c r="L483" t="s">
        <v>41</v>
      </c>
      <c r="M483" t="s">
        <v>308</v>
      </c>
      <c r="N483" t="str">
        <f t="shared" si="39"/>
        <v>Фролов Сергей ВикторовичАлексеев Алексей Павлович</v>
      </c>
      <c r="O483" t="s">
        <v>27</v>
      </c>
      <c r="P483" t="s">
        <v>322</v>
      </c>
      <c r="Q483" t="s">
        <v>323</v>
      </c>
    </row>
    <row r="484" spans="4:17" x14ac:dyDescent="0.25">
      <c r="D484" t="s">
        <v>46</v>
      </c>
      <c r="E484" t="s">
        <v>35</v>
      </c>
      <c r="F484" t="str">
        <f t="shared" si="35"/>
        <v>2024-05-29</v>
      </c>
      <c r="G484" t="str">
        <f t="shared" si="36"/>
        <v>2024-05-29</v>
      </c>
      <c r="H484">
        <f t="shared" si="37"/>
        <v>0</v>
      </c>
      <c r="J484" t="str">
        <f t="shared" si="38"/>
        <v>Орлов Павел ДенисовичСмирнов Александр Владимирович</v>
      </c>
      <c r="K484" t="s">
        <v>17</v>
      </c>
      <c r="L484" t="s">
        <v>101</v>
      </c>
      <c r="M484" t="s">
        <v>309</v>
      </c>
      <c r="N484" t="str">
        <f t="shared" si="39"/>
        <v>Сидорова Елена ВасильевнаМорозов Дмитрий Кириллович</v>
      </c>
      <c r="O484" t="s">
        <v>12</v>
      </c>
      <c r="P484" t="s">
        <v>32</v>
      </c>
      <c r="Q484" t="s">
        <v>321</v>
      </c>
    </row>
    <row r="485" spans="4:17" x14ac:dyDescent="0.25">
      <c r="D485" t="s">
        <v>46</v>
      </c>
      <c r="E485" t="s">
        <v>273</v>
      </c>
      <c r="F485" t="str">
        <f t="shared" si="35"/>
        <v>2024-01-23</v>
      </c>
      <c r="G485" t="str">
        <f t="shared" si="36"/>
        <v>2024-01-23</v>
      </c>
      <c r="H485">
        <f t="shared" si="37"/>
        <v>0</v>
      </c>
      <c r="J485" t="str">
        <f t="shared" si="38"/>
        <v>Яковлев Артем ИгоревичПетров Кирилл Владимирович</v>
      </c>
      <c r="K485" t="s">
        <v>52</v>
      </c>
      <c r="L485" t="s">
        <v>45</v>
      </c>
      <c r="M485" t="s">
        <v>309</v>
      </c>
      <c r="N485" t="str">
        <f t="shared" si="39"/>
        <v>Громова Мария ИльиничнаПопова Ольга Егоровна</v>
      </c>
      <c r="O485" t="s">
        <v>15</v>
      </c>
      <c r="P485" t="s">
        <v>9</v>
      </c>
      <c r="Q485" t="s">
        <v>321</v>
      </c>
    </row>
    <row r="486" spans="4:17" x14ac:dyDescent="0.25">
      <c r="D486" t="s">
        <v>46</v>
      </c>
      <c r="E486" t="s">
        <v>156</v>
      </c>
      <c r="F486" t="str">
        <f t="shared" si="35"/>
        <v>2023-10-30</v>
      </c>
      <c r="G486" t="str">
        <f t="shared" si="36"/>
        <v>2023-10-30</v>
      </c>
      <c r="H486">
        <f t="shared" si="37"/>
        <v>0</v>
      </c>
      <c r="J486" t="str">
        <f t="shared" si="38"/>
        <v>Фролов Сергей ВикторовичКозлов Артем Владимирович</v>
      </c>
      <c r="K486" t="s">
        <v>27</v>
      </c>
      <c r="L486" t="s">
        <v>113</v>
      </c>
      <c r="M486" t="s">
        <v>310</v>
      </c>
      <c r="N486" t="str">
        <f t="shared" si="39"/>
        <v>Громова Мария ИльиничнаКозлова Полина Кирилловна</v>
      </c>
      <c r="O486" t="s">
        <v>15</v>
      </c>
      <c r="P486" t="s">
        <v>67</v>
      </c>
      <c r="Q486" t="s">
        <v>321</v>
      </c>
    </row>
    <row r="487" spans="4:17" x14ac:dyDescent="0.25">
      <c r="D487" t="s">
        <v>46</v>
      </c>
      <c r="E487" t="s">
        <v>173</v>
      </c>
      <c r="F487" t="str">
        <f t="shared" si="35"/>
        <v>2024-03-19</v>
      </c>
      <c r="G487" t="str">
        <f t="shared" si="36"/>
        <v>2024-03-19</v>
      </c>
      <c r="H487">
        <f t="shared" si="37"/>
        <v>0</v>
      </c>
      <c r="J487" t="str">
        <f t="shared" si="38"/>
        <v>Громова Мария ИльиничнаМорозова Алиса Андреевна</v>
      </c>
      <c r="K487" t="s">
        <v>15</v>
      </c>
      <c r="L487" t="s">
        <v>125</v>
      </c>
      <c r="M487" t="s">
        <v>310</v>
      </c>
      <c r="N487" t="str">
        <f t="shared" si="39"/>
        <v>Фролов Сергей ВикторовичВолков Роман Иванович</v>
      </c>
      <c r="O487" t="s">
        <v>27</v>
      </c>
      <c r="P487" t="s">
        <v>75</v>
      </c>
      <c r="Q487" t="s">
        <v>321</v>
      </c>
    </row>
    <row r="488" spans="4:17" x14ac:dyDescent="0.25">
      <c r="D488" t="s">
        <v>46</v>
      </c>
      <c r="E488" t="s">
        <v>228</v>
      </c>
      <c r="F488" t="str">
        <f t="shared" si="35"/>
        <v>2024-02-06</v>
      </c>
      <c r="G488" t="str">
        <f t="shared" si="36"/>
        <v>2024-03-07</v>
      </c>
      <c r="H488">
        <f t="shared" si="37"/>
        <v>30</v>
      </c>
      <c r="J488" t="str">
        <f t="shared" si="38"/>
        <v>Кузнецов Дмитрий ЛьвовичМорозов Сергей Олегович</v>
      </c>
      <c r="K488" t="s">
        <v>23</v>
      </c>
      <c r="L488" t="s">
        <v>150</v>
      </c>
      <c r="M488" t="s">
        <v>310</v>
      </c>
      <c r="N488" t="str">
        <f t="shared" si="39"/>
        <v>Семенова Ирина ВалерьевнаКузнецов Алексей Михайлович</v>
      </c>
      <c r="O488" t="s">
        <v>46</v>
      </c>
      <c r="P488" t="s">
        <v>228</v>
      </c>
      <c r="Q488" t="s">
        <v>321</v>
      </c>
    </row>
    <row r="489" spans="4:17" x14ac:dyDescent="0.25">
      <c r="D489" t="s">
        <v>46</v>
      </c>
      <c r="E489" t="s">
        <v>248</v>
      </c>
      <c r="F489" t="str">
        <f t="shared" si="35"/>
        <v>2024-04-05</v>
      </c>
      <c r="G489" t="str">
        <f t="shared" si="36"/>
        <v>2024-06-27</v>
      </c>
      <c r="H489">
        <f t="shared" si="37"/>
        <v>83</v>
      </c>
      <c r="J489" t="str">
        <f t="shared" si="38"/>
        <v>Громова Мария ИльиничнаОрлова Анна Дмитриевна</v>
      </c>
      <c r="K489" t="s">
        <v>15</v>
      </c>
      <c r="L489" t="s">
        <v>165</v>
      </c>
      <c r="M489" t="s">
        <v>310</v>
      </c>
      <c r="N489" t="str">
        <f t="shared" si="39"/>
        <v>Петров Владимир КирилловичСеменов Алексей Сергеевич</v>
      </c>
      <c r="O489" t="s">
        <v>36</v>
      </c>
      <c r="P489" t="s">
        <v>280</v>
      </c>
      <c r="Q489" t="s">
        <v>321</v>
      </c>
    </row>
    <row r="490" spans="4:17" x14ac:dyDescent="0.25">
      <c r="D490" t="s">
        <v>46</v>
      </c>
      <c r="E490" t="s">
        <v>86</v>
      </c>
      <c r="F490" t="str">
        <f t="shared" si="35"/>
        <v>2024-07-15</v>
      </c>
      <c r="G490" t="str">
        <f t="shared" si="36"/>
        <v>2024-07-15</v>
      </c>
      <c r="H490">
        <f t="shared" si="37"/>
        <v>0</v>
      </c>
      <c r="J490" t="str">
        <f t="shared" si="38"/>
        <v>Орлов Павел ДенисовичСеменов Никита Михайлович</v>
      </c>
      <c r="K490" t="s">
        <v>17</v>
      </c>
      <c r="L490" t="s">
        <v>300</v>
      </c>
      <c r="M490" t="s">
        <v>311</v>
      </c>
      <c r="N490" t="str">
        <f t="shared" si="39"/>
        <v>Кузнецов Дмитрий ЛьвовичСидоров Дмитрий Алексеевич</v>
      </c>
      <c r="O490" t="s">
        <v>23</v>
      </c>
      <c r="P490" t="s">
        <v>141</v>
      </c>
      <c r="Q490" t="s">
        <v>319</v>
      </c>
    </row>
    <row r="491" spans="4:17" x14ac:dyDescent="0.25">
      <c r="D491" t="s">
        <v>46</v>
      </c>
      <c r="E491" t="s">
        <v>325</v>
      </c>
      <c r="F491" t="str">
        <f t="shared" si="35"/>
        <v>2024-03-11</v>
      </c>
      <c r="G491" t="str">
        <f t="shared" si="36"/>
        <v>2024-03-11</v>
      </c>
      <c r="H491">
        <f t="shared" si="37"/>
        <v>0</v>
      </c>
      <c r="J491" t="str">
        <f t="shared" si="38"/>
        <v>Сидорова Елена ВасильевнаСтепанов Роман Павлович</v>
      </c>
      <c r="K491" t="s">
        <v>12</v>
      </c>
      <c r="L491" t="s">
        <v>190</v>
      </c>
      <c r="M491" t="s">
        <v>311</v>
      </c>
      <c r="N491" t="str">
        <f t="shared" si="39"/>
        <v>Белов Алексей КонстантиновичПетров Максим Александрович</v>
      </c>
      <c r="O491" t="s">
        <v>8</v>
      </c>
      <c r="P491" t="s">
        <v>171</v>
      </c>
      <c r="Q491" t="s">
        <v>319</v>
      </c>
    </row>
    <row r="492" spans="4:17" x14ac:dyDescent="0.25">
      <c r="D492" t="s">
        <v>46</v>
      </c>
      <c r="E492" t="s">
        <v>6</v>
      </c>
      <c r="F492" t="str">
        <f t="shared" si="35"/>
        <v>2024-04-17</v>
      </c>
      <c r="G492" t="str">
        <f t="shared" si="36"/>
        <v>2024-08-05</v>
      </c>
      <c r="H492">
        <f t="shared" si="37"/>
        <v>110</v>
      </c>
      <c r="J492" t="str">
        <f t="shared" si="38"/>
        <v>Фролов Сергей ВикторовичОрлов Александр Романович</v>
      </c>
      <c r="K492" t="s">
        <v>27</v>
      </c>
      <c r="L492" t="s">
        <v>312</v>
      </c>
      <c r="M492" t="s">
        <v>311</v>
      </c>
      <c r="N492" t="str">
        <f t="shared" si="39"/>
        <v>Громова Мария ИльиничнаКузнецов Павел Егорович</v>
      </c>
      <c r="O492" t="s">
        <v>15</v>
      </c>
      <c r="P492" t="s">
        <v>320</v>
      </c>
      <c r="Q492" t="s">
        <v>319</v>
      </c>
    </row>
    <row r="493" spans="4:17" x14ac:dyDescent="0.25">
      <c r="D493" t="s">
        <v>46</v>
      </c>
      <c r="E493" t="s">
        <v>278</v>
      </c>
      <c r="F493" t="str">
        <f t="shared" si="35"/>
        <v>2024-01-30</v>
      </c>
      <c r="G493" t="str">
        <f t="shared" si="36"/>
        <v>2024-01-30</v>
      </c>
      <c r="H493">
        <f t="shared" si="37"/>
        <v>0</v>
      </c>
      <c r="J493" t="str">
        <f t="shared" si="38"/>
        <v>Громова Мария ИльиничнаСмирнов Константин Михайлович</v>
      </c>
      <c r="K493" t="s">
        <v>15</v>
      </c>
      <c r="L493" t="s">
        <v>85</v>
      </c>
      <c r="M493" t="s">
        <v>311</v>
      </c>
      <c r="N493" t="str">
        <f t="shared" si="39"/>
        <v>Семенова Ирина ВалерьевнаПетров Максим Александрович</v>
      </c>
      <c r="O493" t="s">
        <v>46</v>
      </c>
      <c r="P493" t="s">
        <v>171</v>
      </c>
      <c r="Q493" t="s">
        <v>319</v>
      </c>
    </row>
    <row r="494" spans="4:17" x14ac:dyDescent="0.25">
      <c r="D494" t="s">
        <v>46</v>
      </c>
      <c r="E494" t="s">
        <v>38</v>
      </c>
      <c r="F494" t="str">
        <f t="shared" si="35"/>
        <v>2024-03-25</v>
      </c>
      <c r="G494" t="str">
        <f t="shared" si="36"/>
        <v>2024-03-25</v>
      </c>
      <c r="H494">
        <f t="shared" si="37"/>
        <v>0</v>
      </c>
      <c r="J494" t="str">
        <f t="shared" si="38"/>
        <v>Семенова Ирина ВалерьевнаНиколаева Полина Ивановна</v>
      </c>
      <c r="K494" t="s">
        <v>46</v>
      </c>
      <c r="L494" t="s">
        <v>313</v>
      </c>
      <c r="M494" t="s">
        <v>311</v>
      </c>
      <c r="N494" t="str">
        <f t="shared" si="39"/>
        <v>Ткаченко Андрей ОлеговичЛебедев Артур Олегович</v>
      </c>
      <c r="O494" t="s">
        <v>5</v>
      </c>
      <c r="P494" t="s">
        <v>258</v>
      </c>
      <c r="Q494" t="s">
        <v>318</v>
      </c>
    </row>
    <row r="495" spans="4:17" x14ac:dyDescent="0.25">
      <c r="D495" t="s">
        <v>46</v>
      </c>
      <c r="E495" t="s">
        <v>187</v>
      </c>
      <c r="F495" t="str">
        <f t="shared" si="35"/>
        <v>2023-11-17</v>
      </c>
      <c r="G495" t="str">
        <f t="shared" si="36"/>
        <v>2023-11-17</v>
      </c>
      <c r="H495">
        <f t="shared" si="37"/>
        <v>0</v>
      </c>
      <c r="J495" t="str">
        <f t="shared" si="38"/>
        <v>Орлов Павел ДенисовичВасильева Татьяна Геннадьевна</v>
      </c>
      <c r="K495" t="s">
        <v>17</v>
      </c>
      <c r="L495" t="s">
        <v>37</v>
      </c>
      <c r="M495" t="s">
        <v>314</v>
      </c>
      <c r="N495" t="str">
        <f t="shared" si="39"/>
        <v>Петров Владимир КирилловичПавлов Константин Никитич</v>
      </c>
      <c r="O495" t="s">
        <v>36</v>
      </c>
      <c r="P495" t="s">
        <v>232</v>
      </c>
      <c r="Q495" t="s">
        <v>318</v>
      </c>
    </row>
    <row r="496" spans="4:17" x14ac:dyDescent="0.25">
      <c r="D496" t="s">
        <v>46</v>
      </c>
      <c r="E496" t="s">
        <v>90</v>
      </c>
      <c r="F496" t="str">
        <f t="shared" si="35"/>
        <v>2024-05-03</v>
      </c>
      <c r="G496" t="str">
        <f t="shared" si="36"/>
        <v>2024-05-03</v>
      </c>
      <c r="H496">
        <f t="shared" si="37"/>
        <v>0</v>
      </c>
      <c r="J496" t="str">
        <f t="shared" si="38"/>
        <v>Яковлев Артем ИгоревичКузнецов Сергей Станиславович</v>
      </c>
      <c r="K496" t="s">
        <v>52</v>
      </c>
      <c r="L496" t="s">
        <v>209</v>
      </c>
      <c r="M496" t="s">
        <v>314</v>
      </c>
      <c r="N496" t="str">
        <f t="shared" si="39"/>
        <v>Белов Алексей КонстантиновичПопова Александра Юрьевна</v>
      </c>
      <c r="O496" t="s">
        <v>8</v>
      </c>
      <c r="P496" t="s">
        <v>118</v>
      </c>
      <c r="Q496" t="s">
        <v>318</v>
      </c>
    </row>
    <row r="497" spans="4:17" x14ac:dyDescent="0.25">
      <c r="D497" t="s">
        <v>46</v>
      </c>
      <c r="E497" t="s">
        <v>32</v>
      </c>
      <c r="F497" t="str">
        <f t="shared" si="35"/>
        <v>2024-01-24</v>
      </c>
      <c r="G497" t="str">
        <f t="shared" si="36"/>
        <v>2024-01-24</v>
      </c>
      <c r="H497">
        <f t="shared" si="37"/>
        <v>0</v>
      </c>
      <c r="J497" t="str">
        <f t="shared" si="38"/>
        <v>Новикова Ольга ПетровнаКузнецова Валерия Романовна</v>
      </c>
      <c r="K497" t="s">
        <v>10</v>
      </c>
      <c r="L497" t="s">
        <v>71</v>
      </c>
      <c r="M497" t="s">
        <v>315</v>
      </c>
      <c r="N497" t="str">
        <f t="shared" si="39"/>
        <v>Новикова Ольга ПетровнаИванов Роман Никитич</v>
      </c>
      <c r="O497" t="s">
        <v>10</v>
      </c>
      <c r="P497" t="s">
        <v>227</v>
      </c>
      <c r="Q497" t="s">
        <v>318</v>
      </c>
    </row>
    <row r="498" spans="4:17" x14ac:dyDescent="0.25">
      <c r="D498" t="s">
        <v>46</v>
      </c>
      <c r="E498" t="s">
        <v>231</v>
      </c>
      <c r="F498" t="str">
        <f t="shared" si="35"/>
        <v>2024-04-16</v>
      </c>
      <c r="G498" t="str">
        <f t="shared" si="36"/>
        <v>2024-04-16</v>
      </c>
      <c r="H498">
        <f t="shared" si="37"/>
        <v>0</v>
      </c>
      <c r="J498" t="str">
        <f t="shared" si="38"/>
        <v>Сидорова Елена ВасильевнаСеменов Алексей Сергеевич</v>
      </c>
      <c r="K498" t="s">
        <v>12</v>
      </c>
      <c r="L498" t="s">
        <v>280</v>
      </c>
      <c r="M498" t="s">
        <v>315</v>
      </c>
      <c r="N498" t="str">
        <f t="shared" si="39"/>
        <v>Новикова Ольга ПетровнаКузнецова Валерия Романовна</v>
      </c>
      <c r="O498" t="s">
        <v>10</v>
      </c>
      <c r="P498" t="s">
        <v>71</v>
      </c>
      <c r="Q498" t="s">
        <v>315</v>
      </c>
    </row>
    <row r="499" spans="4:17" x14ac:dyDescent="0.25">
      <c r="D499" t="s">
        <v>46</v>
      </c>
      <c r="E499" t="s">
        <v>150</v>
      </c>
      <c r="F499" t="str">
        <f t="shared" si="35"/>
        <v>2024-07-08</v>
      </c>
      <c r="G499" t="str">
        <f t="shared" si="36"/>
        <v>2024-07-08</v>
      </c>
      <c r="H499">
        <f t="shared" si="37"/>
        <v>0</v>
      </c>
      <c r="J499" t="str">
        <f t="shared" si="38"/>
        <v>Орлов Павел ДенисовичКузнецова София Сергеевна</v>
      </c>
      <c r="K499" t="s">
        <v>17</v>
      </c>
      <c r="L499" t="s">
        <v>86</v>
      </c>
      <c r="M499" t="s">
        <v>315</v>
      </c>
      <c r="N499" t="str">
        <f t="shared" si="39"/>
        <v>Сидорова Елена ВасильевнаСеменов Алексей Сергеевич</v>
      </c>
      <c r="O499" t="s">
        <v>12</v>
      </c>
      <c r="P499" t="s">
        <v>280</v>
      </c>
      <c r="Q499" t="s">
        <v>315</v>
      </c>
    </row>
    <row r="500" spans="4:17" x14ac:dyDescent="0.25">
      <c r="D500" t="s">
        <v>46</v>
      </c>
      <c r="E500" t="s">
        <v>44</v>
      </c>
      <c r="F500" t="str">
        <f t="shared" si="35"/>
        <v>2024-01-15</v>
      </c>
      <c r="G500" t="str">
        <f t="shared" si="36"/>
        <v>2024-01-15</v>
      </c>
      <c r="H500">
        <f t="shared" si="37"/>
        <v>0</v>
      </c>
      <c r="J500" t="str">
        <f t="shared" si="38"/>
        <v>Фролов Сергей ВикторовичОрлов Александр Романович</v>
      </c>
      <c r="K500" t="s">
        <v>27</v>
      </c>
      <c r="L500" t="s">
        <v>312</v>
      </c>
      <c r="M500" t="s">
        <v>315</v>
      </c>
      <c r="N500" t="str">
        <f t="shared" si="39"/>
        <v>Орлов Павел ДенисовичКузнецова София Сергеевна</v>
      </c>
      <c r="O500" t="s">
        <v>17</v>
      </c>
      <c r="P500" t="s">
        <v>86</v>
      </c>
      <c r="Q500" t="s">
        <v>315</v>
      </c>
    </row>
    <row r="501" spans="4:17" x14ac:dyDescent="0.25">
      <c r="D501" t="s">
        <v>46</v>
      </c>
      <c r="E501" t="s">
        <v>56</v>
      </c>
      <c r="F501" t="str">
        <f t="shared" si="35"/>
        <v>2023-12-04</v>
      </c>
      <c r="G501" t="str">
        <f t="shared" si="36"/>
        <v>2023-12-04</v>
      </c>
      <c r="H501">
        <f t="shared" si="37"/>
        <v>0</v>
      </c>
      <c r="J501" t="str">
        <f t="shared" si="38"/>
        <v>Кузнецов Дмитрий ЛьвовичСмирнов Константин Михайлович</v>
      </c>
      <c r="K501" t="s">
        <v>23</v>
      </c>
      <c r="L501" t="s">
        <v>85</v>
      </c>
      <c r="M501" t="s">
        <v>315</v>
      </c>
      <c r="N501" t="str">
        <f t="shared" si="39"/>
        <v>Фролов Сергей ВикторовичОрлов Александр Романович</v>
      </c>
      <c r="O501" t="s">
        <v>27</v>
      </c>
      <c r="P501" t="s">
        <v>312</v>
      </c>
      <c r="Q501" t="s">
        <v>315</v>
      </c>
    </row>
    <row r="502" spans="4:17" x14ac:dyDescent="0.25">
      <c r="D502" t="s">
        <v>46</v>
      </c>
      <c r="E502" t="s">
        <v>129</v>
      </c>
      <c r="F502" t="str">
        <f t="shared" si="35"/>
        <v>2024-04-30</v>
      </c>
      <c r="G502" t="str">
        <f t="shared" si="36"/>
        <v>2024-06-04</v>
      </c>
      <c r="H502">
        <f t="shared" si="37"/>
        <v>35</v>
      </c>
      <c r="J502" t="str">
        <f t="shared" si="38"/>
        <v>Яковлев Артем ИгоревичВолкова Наталья Александровна</v>
      </c>
      <c r="K502" t="s">
        <v>52</v>
      </c>
      <c r="L502" t="s">
        <v>115</v>
      </c>
      <c r="M502" t="s">
        <v>315</v>
      </c>
      <c r="N502" t="str">
        <f t="shared" si="39"/>
        <v>Кузнецов Дмитрий ЛьвовичСмирнов Константин Михайлович</v>
      </c>
      <c r="O502" t="s">
        <v>23</v>
      </c>
      <c r="P502" t="s">
        <v>85</v>
      </c>
      <c r="Q502" t="s">
        <v>315</v>
      </c>
    </row>
    <row r="503" spans="4:17" x14ac:dyDescent="0.25">
      <c r="D503" t="s">
        <v>46</v>
      </c>
      <c r="E503" t="s">
        <v>127</v>
      </c>
      <c r="F503" t="str">
        <f t="shared" si="35"/>
        <v>2023-10-10</v>
      </c>
      <c r="G503" t="str">
        <f t="shared" si="36"/>
        <v>2023-10-10</v>
      </c>
      <c r="H503">
        <f t="shared" si="37"/>
        <v>0</v>
      </c>
      <c r="J503" t="str">
        <f t="shared" si="38"/>
        <v>Орлов Павел ДенисовичКозлова Алиса Алексеевна</v>
      </c>
      <c r="K503" t="s">
        <v>17</v>
      </c>
      <c r="L503" t="s">
        <v>156</v>
      </c>
      <c r="M503" t="s">
        <v>315</v>
      </c>
      <c r="N503" t="str">
        <f t="shared" si="39"/>
        <v>Яковлев Артем ИгоревичВолкова Наталья Александровна</v>
      </c>
      <c r="O503" t="s">
        <v>52</v>
      </c>
      <c r="P503" t="s">
        <v>115</v>
      </c>
      <c r="Q503" t="s">
        <v>315</v>
      </c>
    </row>
    <row r="504" spans="4:17" x14ac:dyDescent="0.25">
      <c r="D504" t="s">
        <v>46</v>
      </c>
      <c r="E504" t="s">
        <v>235</v>
      </c>
      <c r="F504" t="str">
        <f t="shared" si="35"/>
        <v>2024-01-05</v>
      </c>
      <c r="G504" t="str">
        <f t="shared" si="36"/>
        <v>2024-06-10</v>
      </c>
      <c r="H504">
        <f t="shared" si="37"/>
        <v>157</v>
      </c>
      <c r="J504" t="str">
        <f t="shared" si="38"/>
        <v>Петров Владимир КирилловичПопова Светлана Владимировна</v>
      </c>
      <c r="K504" t="s">
        <v>36</v>
      </c>
      <c r="L504" t="s">
        <v>316</v>
      </c>
      <c r="M504" t="s">
        <v>315</v>
      </c>
      <c r="N504" t="str">
        <f t="shared" si="39"/>
        <v>Орлов Павел ДенисовичКозлова Алиса Алексеевна</v>
      </c>
      <c r="O504" t="s">
        <v>17</v>
      </c>
      <c r="P504" t="s">
        <v>156</v>
      </c>
      <c r="Q504" t="s">
        <v>315</v>
      </c>
    </row>
    <row r="505" spans="4:17" x14ac:dyDescent="0.25">
      <c r="D505" t="s">
        <v>46</v>
      </c>
      <c r="E505" t="s">
        <v>66</v>
      </c>
      <c r="F505" t="str">
        <f t="shared" si="35"/>
        <v>2023-09-18</v>
      </c>
      <c r="G505" t="str">
        <f t="shared" si="36"/>
        <v>2024-08-21</v>
      </c>
      <c r="H505">
        <f t="shared" si="37"/>
        <v>338</v>
      </c>
      <c r="J505" t="str">
        <f t="shared" si="38"/>
        <v>Иванова Анна СергеевнаАлексеев Андрей Кириллович</v>
      </c>
      <c r="K505" t="s">
        <v>48</v>
      </c>
      <c r="L505" t="s">
        <v>317</v>
      </c>
      <c r="M505" t="s">
        <v>315</v>
      </c>
      <c r="N505" t="str">
        <f t="shared" si="39"/>
        <v>Петров Владимир КирилловичПопова Светлана Владимировна</v>
      </c>
      <c r="O505" t="s">
        <v>36</v>
      </c>
      <c r="P505" t="s">
        <v>316</v>
      </c>
      <c r="Q505" t="s">
        <v>315</v>
      </c>
    </row>
    <row r="506" spans="4:17" x14ac:dyDescent="0.25">
      <c r="D506" t="s">
        <v>46</v>
      </c>
      <c r="E506" t="s">
        <v>313</v>
      </c>
      <c r="F506" t="str">
        <f t="shared" si="35"/>
        <v>2024-02-29</v>
      </c>
      <c r="G506" t="str">
        <f t="shared" si="36"/>
        <v>2024-02-29</v>
      </c>
      <c r="H506">
        <f t="shared" si="37"/>
        <v>0</v>
      </c>
      <c r="J506" t="str">
        <f t="shared" si="38"/>
        <v>Ткаченко Андрей ОлеговичЛебедев Артур Олегович</v>
      </c>
      <c r="K506" t="s">
        <v>5</v>
      </c>
      <c r="L506" t="s">
        <v>258</v>
      </c>
      <c r="M506" t="s">
        <v>318</v>
      </c>
      <c r="N506" t="str">
        <f t="shared" si="39"/>
        <v>Иванова Анна СергеевнаАлексеев Андрей Кириллович</v>
      </c>
      <c r="O506" t="s">
        <v>48</v>
      </c>
      <c r="P506" t="s">
        <v>317</v>
      </c>
      <c r="Q506" t="s">
        <v>315</v>
      </c>
    </row>
    <row r="507" spans="4:17" x14ac:dyDescent="0.25">
      <c r="D507" t="s">
        <v>46</v>
      </c>
      <c r="E507" t="s">
        <v>102</v>
      </c>
      <c r="F507" t="str">
        <f t="shared" si="35"/>
        <v>2024-05-06</v>
      </c>
      <c r="G507" t="str">
        <f t="shared" si="36"/>
        <v>2024-07-01</v>
      </c>
      <c r="H507">
        <f t="shared" si="37"/>
        <v>56</v>
      </c>
      <c r="J507" t="str">
        <f t="shared" si="38"/>
        <v>Петров Владимир КирилловичПавлов Константин Никитич</v>
      </c>
      <c r="K507" t="s">
        <v>36</v>
      </c>
      <c r="L507" t="s">
        <v>232</v>
      </c>
      <c r="M507" t="s">
        <v>318</v>
      </c>
      <c r="N507" t="str">
        <f t="shared" si="39"/>
        <v>Орлов Павел ДенисовичВасильева Татьяна Геннадьевна</v>
      </c>
      <c r="O507" t="s">
        <v>17</v>
      </c>
      <c r="P507" t="s">
        <v>37</v>
      </c>
      <c r="Q507" t="s">
        <v>314</v>
      </c>
    </row>
    <row r="508" spans="4:17" x14ac:dyDescent="0.25">
      <c r="D508" t="s">
        <v>46</v>
      </c>
      <c r="E508" t="s">
        <v>138</v>
      </c>
      <c r="F508" t="str">
        <f t="shared" si="35"/>
        <v>2024-06-24</v>
      </c>
      <c r="G508" t="str">
        <f t="shared" si="36"/>
        <v>2024-06-24</v>
      </c>
      <c r="H508">
        <f t="shared" si="37"/>
        <v>0</v>
      </c>
      <c r="J508" t="str">
        <f t="shared" si="38"/>
        <v>Белов Алексей КонстантиновичПопова Александра Юрьевна</v>
      </c>
      <c r="K508" t="s">
        <v>8</v>
      </c>
      <c r="L508" t="s">
        <v>118</v>
      </c>
      <c r="M508" t="s">
        <v>318</v>
      </c>
      <c r="N508" t="str">
        <f t="shared" si="39"/>
        <v>Яковлев Артем ИгоревичКузнецов Сергей Станиславович</v>
      </c>
      <c r="O508" t="s">
        <v>52</v>
      </c>
      <c r="P508" t="s">
        <v>209</v>
      </c>
      <c r="Q508" t="s">
        <v>314</v>
      </c>
    </row>
    <row r="509" spans="4:17" x14ac:dyDescent="0.25">
      <c r="D509" t="s">
        <v>46</v>
      </c>
      <c r="E509" t="s">
        <v>252</v>
      </c>
      <c r="F509" t="str">
        <f t="shared" si="35"/>
        <v>2024-01-04</v>
      </c>
      <c r="G509" t="str">
        <f t="shared" si="36"/>
        <v>2024-01-04</v>
      </c>
      <c r="H509">
        <f t="shared" si="37"/>
        <v>0</v>
      </c>
      <c r="J509" t="str">
        <f t="shared" si="38"/>
        <v>Новикова Ольга ПетровнаИванов Роман Никитич</v>
      </c>
      <c r="K509" t="s">
        <v>10</v>
      </c>
      <c r="L509" t="s">
        <v>227</v>
      </c>
      <c r="M509" t="s">
        <v>318</v>
      </c>
      <c r="N509" t="str">
        <f t="shared" si="39"/>
        <v>Орлов Павел ДенисовичСеменов Никита Михайлович</v>
      </c>
      <c r="O509" t="s">
        <v>17</v>
      </c>
      <c r="P509" t="s">
        <v>300</v>
      </c>
      <c r="Q509" t="s">
        <v>311</v>
      </c>
    </row>
    <row r="510" spans="4:17" x14ac:dyDescent="0.25">
      <c r="D510" t="s">
        <v>46</v>
      </c>
      <c r="E510" t="s">
        <v>272</v>
      </c>
      <c r="F510" t="str">
        <f t="shared" si="35"/>
        <v>2024-05-08</v>
      </c>
      <c r="G510" t="str">
        <f t="shared" si="36"/>
        <v>2024-05-08</v>
      </c>
      <c r="H510">
        <f t="shared" si="37"/>
        <v>0</v>
      </c>
      <c r="J510" t="str">
        <f t="shared" si="38"/>
        <v>Кузнецов Дмитрий ЛьвовичСидоров Дмитрий Алексеевич</v>
      </c>
      <c r="K510" t="s">
        <v>23</v>
      </c>
      <c r="L510" t="s">
        <v>141</v>
      </c>
      <c r="M510" t="s">
        <v>319</v>
      </c>
      <c r="N510" t="str">
        <f t="shared" si="39"/>
        <v>Сидорова Елена ВасильевнаСтепанов Роман Павлович</v>
      </c>
      <c r="O510" t="s">
        <v>12</v>
      </c>
      <c r="P510" t="s">
        <v>190</v>
      </c>
      <c r="Q510" t="s">
        <v>311</v>
      </c>
    </row>
    <row r="511" spans="4:17" x14ac:dyDescent="0.25">
      <c r="D511" t="s">
        <v>46</v>
      </c>
      <c r="E511" t="s">
        <v>165</v>
      </c>
      <c r="F511" t="str">
        <f t="shared" si="35"/>
        <v>2023-11-02</v>
      </c>
      <c r="G511" t="str">
        <f t="shared" si="36"/>
        <v>2023-11-02</v>
      </c>
      <c r="H511">
        <f t="shared" si="37"/>
        <v>0</v>
      </c>
      <c r="J511" t="str">
        <f t="shared" si="38"/>
        <v>Белов Алексей КонстантиновичПетров Максим Александрович</v>
      </c>
      <c r="K511" t="s">
        <v>8</v>
      </c>
      <c r="L511" t="s">
        <v>171</v>
      </c>
      <c r="M511" t="s">
        <v>319</v>
      </c>
      <c r="N511" t="str">
        <f t="shared" si="39"/>
        <v>Фролов Сергей ВикторовичОрлов Александр Романович</v>
      </c>
      <c r="O511" t="s">
        <v>27</v>
      </c>
      <c r="P511" t="s">
        <v>312</v>
      </c>
      <c r="Q511" t="s">
        <v>311</v>
      </c>
    </row>
    <row r="512" spans="4:17" x14ac:dyDescent="0.25">
      <c r="D512" t="s">
        <v>46</v>
      </c>
      <c r="E512" t="s">
        <v>103</v>
      </c>
      <c r="F512" t="str">
        <f t="shared" si="35"/>
        <v>2023-11-16</v>
      </c>
      <c r="G512" t="str">
        <f t="shared" si="36"/>
        <v>2023-11-16</v>
      </c>
      <c r="H512">
        <f t="shared" si="37"/>
        <v>0</v>
      </c>
      <c r="J512" t="str">
        <f t="shared" si="38"/>
        <v>Громова Мария ИльиничнаКузнецов Павел Егорович</v>
      </c>
      <c r="K512" t="s">
        <v>15</v>
      </c>
      <c r="L512" t="s">
        <v>320</v>
      </c>
      <c r="M512" t="s">
        <v>319</v>
      </c>
      <c r="N512" t="str">
        <f t="shared" si="39"/>
        <v>Громова Мария ИльиничнаСмирнов Константин Михайлович</v>
      </c>
      <c r="O512" t="s">
        <v>15</v>
      </c>
      <c r="P512" t="s">
        <v>85</v>
      </c>
      <c r="Q512" t="s">
        <v>311</v>
      </c>
    </row>
    <row r="513" spans="4:17" x14ac:dyDescent="0.25">
      <c r="D513" t="s">
        <v>46</v>
      </c>
      <c r="E513" t="s">
        <v>134</v>
      </c>
      <c r="F513" t="str">
        <f t="shared" si="35"/>
        <v>2023-10-13</v>
      </c>
      <c r="G513" t="str">
        <f t="shared" si="36"/>
        <v>2023-11-14</v>
      </c>
      <c r="H513">
        <f t="shared" si="37"/>
        <v>32</v>
      </c>
      <c r="J513" t="str">
        <f t="shared" si="38"/>
        <v>Семенова Ирина ВалерьевнаПетров Максим Александрович</v>
      </c>
      <c r="K513" t="s">
        <v>46</v>
      </c>
      <c r="L513" t="s">
        <v>171</v>
      </c>
      <c r="M513" t="s">
        <v>319</v>
      </c>
      <c r="N513" t="str">
        <f t="shared" si="39"/>
        <v>Семенова Ирина ВалерьевнаНиколаева Полина Ивановна</v>
      </c>
      <c r="O513" t="s">
        <v>46</v>
      </c>
      <c r="P513" t="s">
        <v>313</v>
      </c>
      <c r="Q513" t="s">
        <v>311</v>
      </c>
    </row>
    <row r="514" spans="4:17" x14ac:dyDescent="0.25">
      <c r="D514" t="s">
        <v>46</v>
      </c>
      <c r="E514" t="s">
        <v>191</v>
      </c>
      <c r="F514" t="str">
        <f t="shared" si="35"/>
        <v>2024-08-05</v>
      </c>
      <c r="G514" t="str">
        <f t="shared" si="36"/>
        <v>2024-08-05</v>
      </c>
      <c r="H514">
        <f t="shared" si="37"/>
        <v>0</v>
      </c>
      <c r="J514" t="str">
        <f t="shared" si="38"/>
        <v>Сидорова Елена ВасильевнаМорозов Дмитрий Кириллович</v>
      </c>
      <c r="K514" t="s">
        <v>12</v>
      </c>
      <c r="L514" t="s">
        <v>32</v>
      </c>
      <c r="M514" t="s">
        <v>321</v>
      </c>
      <c r="N514" t="str">
        <f t="shared" si="39"/>
        <v>Фролов Сергей ВикторовичКозлов Артем Владимирович</v>
      </c>
      <c r="O514" t="s">
        <v>27</v>
      </c>
      <c r="P514" t="s">
        <v>113</v>
      </c>
      <c r="Q514" t="s">
        <v>310</v>
      </c>
    </row>
    <row r="515" spans="4:17" x14ac:dyDescent="0.25">
      <c r="D515" t="s">
        <v>46</v>
      </c>
      <c r="E515" t="s">
        <v>112</v>
      </c>
      <c r="F515" t="str">
        <f t="shared" ref="F515:F578" si="40">VLOOKUP(D515&amp;E515,J:M,4,0)</f>
        <v>2023-10-03</v>
      </c>
      <c r="G515" t="str">
        <f t="shared" ref="G515:G578" si="41">VLOOKUP(D515&amp;E515,N:Q,4,0)</f>
        <v>2023-10-03</v>
      </c>
      <c r="H515">
        <f t="shared" ref="H515:H578" si="42">G515-F515</f>
        <v>0</v>
      </c>
      <c r="J515" t="str">
        <f t="shared" ref="J515:J578" si="43">K515&amp;L515</f>
        <v>Громова Мария ИльиничнаПопова Ольга Егоровна</v>
      </c>
      <c r="K515" t="s">
        <v>15</v>
      </c>
      <c r="L515" t="s">
        <v>9</v>
      </c>
      <c r="M515" t="s">
        <v>321</v>
      </c>
      <c r="N515" t="str">
        <f t="shared" ref="N515:N578" si="44">O515&amp;P515</f>
        <v>Громова Мария ИльиничнаМорозова Алиса Андреевна</v>
      </c>
      <c r="O515" t="s">
        <v>15</v>
      </c>
      <c r="P515" t="s">
        <v>125</v>
      </c>
      <c r="Q515" t="s">
        <v>310</v>
      </c>
    </row>
    <row r="516" spans="4:17" x14ac:dyDescent="0.25">
      <c r="D516" t="s">
        <v>46</v>
      </c>
      <c r="E516" t="s">
        <v>151</v>
      </c>
      <c r="F516" t="str">
        <f t="shared" si="40"/>
        <v>2023-12-18</v>
      </c>
      <c r="G516" t="str">
        <f t="shared" si="41"/>
        <v>2023-12-18</v>
      </c>
      <c r="H516">
        <f t="shared" si="42"/>
        <v>0</v>
      </c>
      <c r="J516" t="str">
        <f t="shared" si="43"/>
        <v>Громова Мария ИльиничнаКозлова Полина Кирилловна</v>
      </c>
      <c r="K516" t="s">
        <v>15</v>
      </c>
      <c r="L516" t="s">
        <v>67</v>
      </c>
      <c r="M516" t="s">
        <v>321</v>
      </c>
      <c r="N516" t="str">
        <f t="shared" si="44"/>
        <v>Кузнецов Дмитрий ЛьвовичМорозов Сергей Олегович</v>
      </c>
      <c r="O516" t="s">
        <v>23</v>
      </c>
      <c r="P516" t="s">
        <v>150</v>
      </c>
      <c r="Q516" t="s">
        <v>310</v>
      </c>
    </row>
    <row r="517" spans="4:17" x14ac:dyDescent="0.25">
      <c r="D517" t="s">
        <v>46</v>
      </c>
      <c r="E517" t="s">
        <v>171</v>
      </c>
      <c r="F517" t="str">
        <f t="shared" si="40"/>
        <v>2023-11-06</v>
      </c>
      <c r="G517" t="str">
        <f t="shared" si="41"/>
        <v>2024-03-06</v>
      </c>
      <c r="H517">
        <f t="shared" si="42"/>
        <v>121</v>
      </c>
      <c r="J517" t="str">
        <f t="shared" si="43"/>
        <v>Фролов Сергей ВикторовичВолков Роман Иванович</v>
      </c>
      <c r="K517" t="s">
        <v>27</v>
      </c>
      <c r="L517" t="s">
        <v>75</v>
      </c>
      <c r="M517" t="s">
        <v>321</v>
      </c>
      <c r="N517" t="str">
        <f t="shared" si="44"/>
        <v>Громова Мария ИльиничнаОрлова Анна Дмитриевна</v>
      </c>
      <c r="O517" t="s">
        <v>15</v>
      </c>
      <c r="P517" t="s">
        <v>165</v>
      </c>
      <c r="Q517" t="s">
        <v>310</v>
      </c>
    </row>
    <row r="518" spans="4:17" x14ac:dyDescent="0.25">
      <c r="D518" t="s">
        <v>46</v>
      </c>
      <c r="E518" t="s">
        <v>256</v>
      </c>
      <c r="F518" t="str">
        <f t="shared" si="40"/>
        <v>2024-01-08</v>
      </c>
      <c r="G518" t="str">
        <f t="shared" si="41"/>
        <v>2024-01-08</v>
      </c>
      <c r="H518">
        <f t="shared" si="42"/>
        <v>0</v>
      </c>
      <c r="J518" t="str">
        <f t="shared" si="43"/>
        <v>Семенова Ирина ВалерьевнаКузнецов Алексей Михайлович</v>
      </c>
      <c r="K518" t="s">
        <v>46</v>
      </c>
      <c r="L518" t="s">
        <v>228</v>
      </c>
      <c r="M518" t="s">
        <v>321</v>
      </c>
      <c r="N518" t="str">
        <f t="shared" si="44"/>
        <v>Орлов Павел ДенисовичСмирнов Александр Владимирович</v>
      </c>
      <c r="O518" t="s">
        <v>17</v>
      </c>
      <c r="P518" t="s">
        <v>101</v>
      </c>
      <c r="Q518" t="s">
        <v>309</v>
      </c>
    </row>
    <row r="519" spans="4:17" x14ac:dyDescent="0.25">
      <c r="D519" t="s">
        <v>46</v>
      </c>
      <c r="E519" t="s">
        <v>24</v>
      </c>
      <c r="F519" t="str">
        <f t="shared" si="40"/>
        <v>2023-10-10</v>
      </c>
      <c r="G519" t="str">
        <f t="shared" si="41"/>
        <v>2023-10-10</v>
      </c>
      <c r="H519">
        <f t="shared" si="42"/>
        <v>0</v>
      </c>
      <c r="J519" t="str">
        <f t="shared" si="43"/>
        <v>Петров Владимир КирилловичСеменов Алексей Сергеевич</v>
      </c>
      <c r="K519" t="s">
        <v>36</v>
      </c>
      <c r="L519" t="s">
        <v>280</v>
      </c>
      <c r="M519" t="s">
        <v>321</v>
      </c>
      <c r="N519" t="str">
        <f t="shared" si="44"/>
        <v>Яковлев Артем ИгоревичПетров Кирилл Владимирович</v>
      </c>
      <c r="O519" t="s">
        <v>52</v>
      </c>
      <c r="P519" t="s">
        <v>45</v>
      </c>
      <c r="Q519" t="s">
        <v>309</v>
      </c>
    </row>
    <row r="520" spans="4:17" x14ac:dyDescent="0.25">
      <c r="D520" t="s">
        <v>46</v>
      </c>
      <c r="E520" t="s">
        <v>198</v>
      </c>
      <c r="F520" t="str">
        <f t="shared" si="40"/>
        <v>2024-01-09</v>
      </c>
      <c r="G520" t="str">
        <f t="shared" si="41"/>
        <v>2024-01-09</v>
      </c>
      <c r="H520">
        <f t="shared" si="42"/>
        <v>0</v>
      </c>
      <c r="J520" t="str">
        <f t="shared" si="43"/>
        <v>Фролов Сергей ВикторовичАлексеев Алексей Павлович</v>
      </c>
      <c r="K520" t="s">
        <v>27</v>
      </c>
      <c r="L520" t="s">
        <v>322</v>
      </c>
      <c r="M520" t="s">
        <v>323</v>
      </c>
      <c r="N520" t="str">
        <f t="shared" si="44"/>
        <v>Яковлев Артем ИгоревичКозлова Ирина Павловна</v>
      </c>
      <c r="O520" t="s">
        <v>52</v>
      </c>
      <c r="P520" t="s">
        <v>122</v>
      </c>
      <c r="Q520" t="s">
        <v>308</v>
      </c>
    </row>
    <row r="521" spans="4:17" x14ac:dyDescent="0.25">
      <c r="D521" t="s">
        <v>46</v>
      </c>
      <c r="E521" t="s">
        <v>70</v>
      </c>
      <c r="F521" t="str">
        <f t="shared" si="40"/>
        <v>2023-10-18</v>
      </c>
      <c r="G521" t="str">
        <f t="shared" si="41"/>
        <v>2023-10-18</v>
      </c>
      <c r="H521">
        <f t="shared" si="42"/>
        <v>0</v>
      </c>
      <c r="J521" t="str">
        <f t="shared" si="43"/>
        <v>Иванова Анна СергеевнаПопова Екатерина Владимировна</v>
      </c>
      <c r="K521" t="s">
        <v>48</v>
      </c>
      <c r="L521" t="s">
        <v>11</v>
      </c>
      <c r="M521" t="s">
        <v>324</v>
      </c>
      <c r="N521" t="str">
        <f t="shared" si="44"/>
        <v>Громова Мария ИльиничнаВолков Алексей Артемович</v>
      </c>
      <c r="O521" t="s">
        <v>15</v>
      </c>
      <c r="P521" t="s">
        <v>111</v>
      </c>
      <c r="Q521" t="s">
        <v>308</v>
      </c>
    </row>
    <row r="522" spans="4:17" x14ac:dyDescent="0.25">
      <c r="D522" t="s">
        <v>46</v>
      </c>
      <c r="E522" t="s">
        <v>82</v>
      </c>
      <c r="F522" t="str">
        <f t="shared" si="40"/>
        <v>2024-04-01</v>
      </c>
      <c r="G522" t="str">
        <f t="shared" si="41"/>
        <v>2024-08-19</v>
      </c>
      <c r="H522">
        <f t="shared" si="42"/>
        <v>140</v>
      </c>
      <c r="J522" t="str">
        <f t="shared" si="43"/>
        <v>Яковлев Артем ИгоревичПетрова Наталья Геннадьевна</v>
      </c>
      <c r="K522" t="s">
        <v>52</v>
      </c>
      <c r="L522" t="s">
        <v>82</v>
      </c>
      <c r="M522" t="s">
        <v>324</v>
      </c>
      <c r="N522" t="str">
        <f t="shared" si="44"/>
        <v>Орлов Павел ДенисовичИванова Екатерина Егоровна</v>
      </c>
      <c r="O522" t="s">
        <v>17</v>
      </c>
      <c r="P522" t="s">
        <v>131</v>
      </c>
      <c r="Q522" t="s">
        <v>308</v>
      </c>
    </row>
    <row r="523" spans="4:17" x14ac:dyDescent="0.25">
      <c r="D523" t="s">
        <v>46</v>
      </c>
      <c r="E523" t="s">
        <v>109</v>
      </c>
      <c r="F523" t="str">
        <f t="shared" si="40"/>
        <v>2024-03-11</v>
      </c>
      <c r="G523" t="str">
        <f t="shared" si="41"/>
        <v>2024-03-11</v>
      </c>
      <c r="H523">
        <f t="shared" si="42"/>
        <v>0</v>
      </c>
      <c r="J523" t="str">
        <f t="shared" si="43"/>
        <v>Семенова Ирина ВалерьевнаЛебедев Алексей Павлович</v>
      </c>
      <c r="K523" t="s">
        <v>46</v>
      </c>
      <c r="L523" t="s">
        <v>325</v>
      </c>
      <c r="M523" t="s">
        <v>324</v>
      </c>
      <c r="N523" t="str">
        <f t="shared" si="44"/>
        <v>Орлов Павел ДенисовичПетрова Дарья Кирилловна</v>
      </c>
      <c r="O523" t="s">
        <v>17</v>
      </c>
      <c r="P523" t="s">
        <v>198</v>
      </c>
      <c r="Q523" t="s">
        <v>308</v>
      </c>
    </row>
    <row r="524" spans="4:17" x14ac:dyDescent="0.25">
      <c r="D524" t="s">
        <v>46</v>
      </c>
      <c r="E524" t="s">
        <v>59</v>
      </c>
      <c r="F524" t="str">
        <f t="shared" si="40"/>
        <v>2024-03-13</v>
      </c>
      <c r="G524" t="str">
        <f t="shared" si="41"/>
        <v>2024-03-13</v>
      </c>
      <c r="H524">
        <f t="shared" si="42"/>
        <v>0</v>
      </c>
      <c r="J524" t="str">
        <f t="shared" si="43"/>
        <v>Петров Владимир КирилловичВасильев Никита Викторович</v>
      </c>
      <c r="K524" t="s">
        <v>36</v>
      </c>
      <c r="L524" t="s">
        <v>47</v>
      </c>
      <c r="M524" t="s">
        <v>324</v>
      </c>
      <c r="N524" t="str">
        <f t="shared" si="44"/>
        <v>Громова Мария ИльиничнаСтепанов Дмитрий Владимирович</v>
      </c>
      <c r="O524" t="s">
        <v>15</v>
      </c>
      <c r="P524" t="s">
        <v>41</v>
      </c>
      <c r="Q524" t="s">
        <v>308</v>
      </c>
    </row>
    <row r="525" spans="4:17" x14ac:dyDescent="0.25">
      <c r="D525" t="s">
        <v>46</v>
      </c>
      <c r="E525" t="s">
        <v>275</v>
      </c>
      <c r="F525" t="str">
        <f t="shared" si="40"/>
        <v>2024-07-24</v>
      </c>
      <c r="G525" t="str">
        <f t="shared" si="41"/>
        <v>2024-07-24</v>
      </c>
      <c r="H525">
        <f t="shared" si="42"/>
        <v>0</v>
      </c>
      <c r="J525" t="str">
        <f t="shared" si="43"/>
        <v>Яковлев Артем ИгоревичСмирнов Михаил Алексеевич</v>
      </c>
      <c r="K525" t="s">
        <v>52</v>
      </c>
      <c r="L525" t="s">
        <v>28</v>
      </c>
      <c r="M525" t="s">
        <v>324</v>
      </c>
      <c r="N525" t="str">
        <f t="shared" si="44"/>
        <v>Семенова Ирина ВалерьевнаПопов Дмитрий Ильич</v>
      </c>
      <c r="O525" t="s">
        <v>46</v>
      </c>
      <c r="P525" t="s">
        <v>105</v>
      </c>
      <c r="Q525" t="s">
        <v>307</v>
      </c>
    </row>
    <row r="526" spans="4:17" x14ac:dyDescent="0.25">
      <c r="D526" t="s">
        <v>46</v>
      </c>
      <c r="E526" t="s">
        <v>203</v>
      </c>
      <c r="F526" t="str">
        <f t="shared" si="40"/>
        <v>2024-07-16</v>
      </c>
      <c r="G526" t="str">
        <f t="shared" si="41"/>
        <v>2024-07-16</v>
      </c>
      <c r="H526">
        <f t="shared" si="42"/>
        <v>0</v>
      </c>
      <c r="J526" t="str">
        <f t="shared" si="43"/>
        <v>Громова Мария ИльиничнаНовикова Елена Михайловна</v>
      </c>
      <c r="K526" t="s">
        <v>15</v>
      </c>
      <c r="L526" t="s">
        <v>121</v>
      </c>
      <c r="M526" t="s">
        <v>324</v>
      </c>
      <c r="N526" t="str">
        <f t="shared" si="44"/>
        <v>Петров Владимир КирилловичМорозова Алиса Андреевна</v>
      </c>
      <c r="O526" t="s">
        <v>36</v>
      </c>
      <c r="P526" t="s">
        <v>125</v>
      </c>
      <c r="Q526" t="s">
        <v>307</v>
      </c>
    </row>
    <row r="527" spans="4:17" x14ac:dyDescent="0.25">
      <c r="D527" t="s">
        <v>46</v>
      </c>
      <c r="E527" t="s">
        <v>105</v>
      </c>
      <c r="F527" t="str">
        <f t="shared" si="40"/>
        <v>2024-02-23</v>
      </c>
      <c r="G527" t="str">
        <f t="shared" si="41"/>
        <v>2024-02-23</v>
      </c>
      <c r="H527">
        <f t="shared" si="42"/>
        <v>0</v>
      </c>
      <c r="J527" t="str">
        <f t="shared" si="43"/>
        <v>Сидорова Елена ВасильевнаПетров Алексей Артемович</v>
      </c>
      <c r="K527" t="s">
        <v>12</v>
      </c>
      <c r="L527" t="s">
        <v>151</v>
      </c>
      <c r="M527" t="s">
        <v>324</v>
      </c>
      <c r="N527" t="str">
        <f t="shared" si="44"/>
        <v>Кузнецов Дмитрий ЛьвовичПавлов Артур Романович</v>
      </c>
      <c r="O527" t="s">
        <v>23</v>
      </c>
      <c r="P527" t="s">
        <v>223</v>
      </c>
      <c r="Q527" t="s">
        <v>307</v>
      </c>
    </row>
    <row r="528" spans="4:17" x14ac:dyDescent="0.25">
      <c r="D528" t="s">
        <v>46</v>
      </c>
      <c r="E528" t="s">
        <v>118</v>
      </c>
      <c r="F528" t="str">
        <f t="shared" si="40"/>
        <v>2024-05-07</v>
      </c>
      <c r="G528" t="str">
        <f t="shared" si="41"/>
        <v>2024-05-07</v>
      </c>
      <c r="H528">
        <f t="shared" si="42"/>
        <v>0</v>
      </c>
      <c r="J528" t="str">
        <f t="shared" si="43"/>
        <v>Иванова Анна СергеевнаНиколаева Ирина Романовна</v>
      </c>
      <c r="K528" t="s">
        <v>48</v>
      </c>
      <c r="L528" t="s">
        <v>268</v>
      </c>
      <c r="M528" t="s">
        <v>324</v>
      </c>
      <c r="N528" t="str">
        <f t="shared" si="44"/>
        <v>Яковлев Артем ИгоревичКозлов Артур Андреевич</v>
      </c>
      <c r="O528" t="s">
        <v>52</v>
      </c>
      <c r="P528" t="s">
        <v>63</v>
      </c>
      <c r="Q528" t="s">
        <v>307</v>
      </c>
    </row>
    <row r="529" spans="4:17" x14ac:dyDescent="0.25">
      <c r="D529" t="s">
        <v>46</v>
      </c>
      <c r="E529" t="s">
        <v>316</v>
      </c>
      <c r="F529" t="str">
        <f t="shared" si="40"/>
        <v>2024-03-25</v>
      </c>
      <c r="G529" t="str">
        <f t="shared" si="41"/>
        <v>2024-05-10</v>
      </c>
      <c r="H529">
        <f t="shared" si="42"/>
        <v>46</v>
      </c>
      <c r="J529" t="str">
        <f t="shared" si="43"/>
        <v>Семенова Ирина ВалерьевнаПетрова Полина Дмитриевна</v>
      </c>
      <c r="K529" t="s">
        <v>46</v>
      </c>
      <c r="L529" t="s">
        <v>109</v>
      </c>
      <c r="M529" t="s">
        <v>324</v>
      </c>
      <c r="N529" t="str">
        <f t="shared" si="44"/>
        <v>Кузнецов Дмитрий ЛьвовичСмирнов Кирилл Сергеевич</v>
      </c>
      <c r="O529" t="s">
        <v>23</v>
      </c>
      <c r="P529" t="s">
        <v>146</v>
      </c>
      <c r="Q529" t="s">
        <v>307</v>
      </c>
    </row>
    <row r="530" spans="4:17" x14ac:dyDescent="0.25">
      <c r="D530" t="s">
        <v>46</v>
      </c>
      <c r="E530" t="s">
        <v>93</v>
      </c>
      <c r="F530" t="str">
        <f t="shared" si="40"/>
        <v>2023-10-12</v>
      </c>
      <c r="G530" t="str">
        <f t="shared" si="41"/>
        <v>2023-11-27</v>
      </c>
      <c r="H530">
        <f t="shared" si="42"/>
        <v>46</v>
      </c>
      <c r="J530" t="str">
        <f t="shared" si="43"/>
        <v>Кузнецов Дмитрий ЛьвовичФедорова Наталья Александровна</v>
      </c>
      <c r="K530" t="s">
        <v>23</v>
      </c>
      <c r="L530" t="s">
        <v>31</v>
      </c>
      <c r="M530" t="s">
        <v>326</v>
      </c>
      <c r="N530" t="str">
        <f t="shared" si="44"/>
        <v>Новикова Ольга ПетровнаПетров Михаил Юрьевич</v>
      </c>
      <c r="O530" t="s">
        <v>10</v>
      </c>
      <c r="P530" t="s">
        <v>256</v>
      </c>
      <c r="Q530" t="s">
        <v>307</v>
      </c>
    </row>
    <row r="531" spans="4:17" x14ac:dyDescent="0.25">
      <c r="D531" t="s">
        <v>46</v>
      </c>
      <c r="E531" t="s">
        <v>300</v>
      </c>
      <c r="F531" t="str">
        <f t="shared" si="40"/>
        <v>2024-07-30</v>
      </c>
      <c r="G531" t="str">
        <f t="shared" si="41"/>
        <v>2024-07-30</v>
      </c>
      <c r="H531">
        <f t="shared" si="42"/>
        <v>0</v>
      </c>
      <c r="J531" t="str">
        <f t="shared" si="43"/>
        <v>Белов Алексей КонстантиновичПопова Дарья Владимировна</v>
      </c>
      <c r="K531" t="s">
        <v>8</v>
      </c>
      <c r="L531" t="s">
        <v>282</v>
      </c>
      <c r="M531" t="s">
        <v>326</v>
      </c>
      <c r="N531" t="str">
        <f t="shared" si="44"/>
        <v>Петров Владимир КирилловичФедорова Вероника Ивановна</v>
      </c>
      <c r="O531" t="s">
        <v>36</v>
      </c>
      <c r="P531" t="s">
        <v>107</v>
      </c>
      <c r="Q531" t="s">
        <v>306</v>
      </c>
    </row>
    <row r="532" spans="4:17" x14ac:dyDescent="0.25">
      <c r="D532" t="s">
        <v>46</v>
      </c>
      <c r="E532" t="s">
        <v>61</v>
      </c>
      <c r="F532" t="str">
        <f t="shared" si="40"/>
        <v>2024-05-28</v>
      </c>
      <c r="G532" t="str">
        <f t="shared" si="41"/>
        <v>2024-05-28</v>
      </c>
      <c r="H532">
        <f t="shared" si="42"/>
        <v>0</v>
      </c>
      <c r="J532" t="str">
        <f t="shared" si="43"/>
        <v>Громова Мария ИльиничнаКозлова Ксения Владимировна</v>
      </c>
      <c r="K532" t="s">
        <v>15</v>
      </c>
      <c r="L532" t="s">
        <v>173</v>
      </c>
      <c r="M532" t="s">
        <v>326</v>
      </c>
      <c r="N532" t="str">
        <f t="shared" si="44"/>
        <v>Ткаченко Андрей ОлеговичСмирнов Егор Никитич</v>
      </c>
      <c r="O532" t="s">
        <v>5</v>
      </c>
      <c r="P532" t="s">
        <v>296</v>
      </c>
      <c r="Q532" t="s">
        <v>306</v>
      </c>
    </row>
    <row r="533" spans="4:17" x14ac:dyDescent="0.25">
      <c r="D533" t="s">
        <v>46</v>
      </c>
      <c r="E533" t="s">
        <v>73</v>
      </c>
      <c r="F533" t="str">
        <f t="shared" si="40"/>
        <v>2024-01-15</v>
      </c>
      <c r="G533" t="str">
        <f t="shared" si="41"/>
        <v>2024-01-15</v>
      </c>
      <c r="H533">
        <f t="shared" si="42"/>
        <v>0</v>
      </c>
      <c r="J533" t="str">
        <f t="shared" si="43"/>
        <v>Фролов Сергей ВикторовичПетров Сергей Викторович</v>
      </c>
      <c r="K533" t="s">
        <v>27</v>
      </c>
      <c r="L533" t="s">
        <v>98</v>
      </c>
      <c r="M533" t="s">
        <v>326</v>
      </c>
      <c r="N533" t="str">
        <f t="shared" si="44"/>
        <v>Семенова Ирина ВалерьевнаСмирнов Егор Никитич</v>
      </c>
      <c r="O533" t="s">
        <v>46</v>
      </c>
      <c r="P533" t="s">
        <v>296</v>
      </c>
      <c r="Q533" t="s">
        <v>305</v>
      </c>
    </row>
    <row r="534" spans="4:17" x14ac:dyDescent="0.25">
      <c r="D534" t="s">
        <v>46</v>
      </c>
      <c r="E534" t="s">
        <v>212</v>
      </c>
      <c r="F534" t="str">
        <f t="shared" si="40"/>
        <v>2024-03-25</v>
      </c>
      <c r="G534" t="str">
        <f t="shared" si="41"/>
        <v>2024-03-25</v>
      </c>
      <c r="H534">
        <f t="shared" si="42"/>
        <v>0</v>
      </c>
      <c r="J534" t="str">
        <f t="shared" si="43"/>
        <v>Орлов Павел ДенисовичОрлов Кирилл Владимирович</v>
      </c>
      <c r="K534" t="s">
        <v>17</v>
      </c>
      <c r="L534" t="s">
        <v>79</v>
      </c>
      <c r="M534" t="s">
        <v>327</v>
      </c>
      <c r="N534" t="str">
        <f t="shared" si="44"/>
        <v>Белов Алексей КонстантиновичНиколаев Дмитрий Олегович</v>
      </c>
      <c r="O534" t="s">
        <v>8</v>
      </c>
      <c r="P534" t="s">
        <v>127</v>
      </c>
      <c r="Q534" t="s">
        <v>305</v>
      </c>
    </row>
    <row r="535" spans="4:17" x14ac:dyDescent="0.25">
      <c r="D535" t="s">
        <v>46</v>
      </c>
      <c r="E535" t="s">
        <v>163</v>
      </c>
      <c r="F535" t="str">
        <f t="shared" si="40"/>
        <v>2023-11-01</v>
      </c>
      <c r="G535" t="str">
        <f t="shared" si="41"/>
        <v>2023-11-01</v>
      </c>
      <c r="H535">
        <f t="shared" si="42"/>
        <v>0</v>
      </c>
      <c r="J535" t="str">
        <f t="shared" si="43"/>
        <v>Ткаченко Андрей ОлеговичСтепанов Артем Юрьевич</v>
      </c>
      <c r="K535" t="s">
        <v>5</v>
      </c>
      <c r="L535" t="s">
        <v>328</v>
      </c>
      <c r="M535" t="s">
        <v>327</v>
      </c>
      <c r="N535" t="str">
        <f t="shared" si="44"/>
        <v>Яковлев Артем ИгоревичСмирнов Кирилл Сергеевич</v>
      </c>
      <c r="O535" t="s">
        <v>52</v>
      </c>
      <c r="P535" t="s">
        <v>146</v>
      </c>
      <c r="Q535" t="s">
        <v>303</v>
      </c>
    </row>
    <row r="536" spans="4:17" x14ac:dyDescent="0.25">
      <c r="D536" t="s">
        <v>46</v>
      </c>
      <c r="E536" t="s">
        <v>18</v>
      </c>
      <c r="F536" t="str">
        <f t="shared" si="40"/>
        <v>2023-10-16</v>
      </c>
      <c r="G536" t="str">
        <f t="shared" si="41"/>
        <v>2023-10-16</v>
      </c>
      <c r="H536">
        <f t="shared" si="42"/>
        <v>0</v>
      </c>
      <c r="J536" t="str">
        <f t="shared" si="43"/>
        <v>Иванова Анна СергеевнаСидорова Виктория Ильинична</v>
      </c>
      <c r="K536" t="s">
        <v>48</v>
      </c>
      <c r="L536" t="s">
        <v>270</v>
      </c>
      <c r="M536" t="s">
        <v>327</v>
      </c>
      <c r="N536" t="str">
        <f t="shared" si="44"/>
        <v>Иванова Анна СергеевнаВолкова Наталья Александровна</v>
      </c>
      <c r="O536" t="s">
        <v>48</v>
      </c>
      <c r="P536" t="s">
        <v>115</v>
      </c>
      <c r="Q536" t="s">
        <v>303</v>
      </c>
    </row>
    <row r="537" spans="4:17" x14ac:dyDescent="0.25">
      <c r="D537" t="s">
        <v>46</v>
      </c>
      <c r="E537" t="s">
        <v>101</v>
      </c>
      <c r="F537" t="str">
        <f t="shared" si="40"/>
        <v>2023-10-09</v>
      </c>
      <c r="G537" t="str">
        <f t="shared" si="41"/>
        <v>2023-10-09</v>
      </c>
      <c r="H537">
        <f t="shared" si="42"/>
        <v>0</v>
      </c>
      <c r="J537" t="str">
        <f t="shared" si="43"/>
        <v>Семенова Ирина ВалерьевнаПетрова София Алексеевна</v>
      </c>
      <c r="K537" t="s">
        <v>46</v>
      </c>
      <c r="L537" t="s">
        <v>59</v>
      </c>
      <c r="M537" t="s">
        <v>327</v>
      </c>
      <c r="N537" t="str">
        <f t="shared" si="44"/>
        <v>Орлов Павел ДенисовичВасильева Мария Дмитриевна</v>
      </c>
      <c r="O537" t="s">
        <v>17</v>
      </c>
      <c r="P537" t="s">
        <v>304</v>
      </c>
      <c r="Q537" t="s">
        <v>303</v>
      </c>
    </row>
    <row r="538" spans="4:17" x14ac:dyDescent="0.25">
      <c r="D538" t="s">
        <v>46</v>
      </c>
      <c r="E538" t="s">
        <v>20</v>
      </c>
      <c r="F538" t="str">
        <f t="shared" si="40"/>
        <v>2023-11-06</v>
      </c>
      <c r="G538" t="str">
        <f t="shared" si="41"/>
        <v>2023-11-06</v>
      </c>
      <c r="H538">
        <f t="shared" si="42"/>
        <v>0</v>
      </c>
      <c r="J538" t="str">
        <f t="shared" si="43"/>
        <v>Громова Мария ИльиничнаПопов Михаил Александрович</v>
      </c>
      <c r="K538" t="s">
        <v>15</v>
      </c>
      <c r="L538" t="s">
        <v>271</v>
      </c>
      <c r="M538" t="s">
        <v>329</v>
      </c>
      <c r="N538" t="str">
        <f t="shared" si="44"/>
        <v>Яковлев Артем ИгоревичВасильев Александр Никитич</v>
      </c>
      <c r="O538" t="s">
        <v>52</v>
      </c>
      <c r="P538" t="s">
        <v>161</v>
      </c>
      <c r="Q538" t="s">
        <v>303</v>
      </c>
    </row>
    <row r="539" spans="4:17" x14ac:dyDescent="0.25">
      <c r="D539" t="s">
        <v>46</v>
      </c>
      <c r="E539" t="s">
        <v>296</v>
      </c>
      <c r="F539" t="str">
        <f t="shared" si="40"/>
        <v>2024-02-20</v>
      </c>
      <c r="G539" t="str">
        <f t="shared" si="41"/>
        <v>2024-02-20</v>
      </c>
      <c r="H539">
        <f t="shared" si="42"/>
        <v>0</v>
      </c>
      <c r="J539" t="str">
        <f t="shared" si="43"/>
        <v>Яковлев Артем ИгоревичНиколаева Ксения Владимировна</v>
      </c>
      <c r="K539" t="s">
        <v>52</v>
      </c>
      <c r="L539" t="s">
        <v>330</v>
      </c>
      <c r="M539" t="s">
        <v>329</v>
      </c>
      <c r="N539" t="str">
        <f t="shared" si="44"/>
        <v>Громова Мария ИльиничнаФедоров Дмитрий Викторович</v>
      </c>
      <c r="O539" t="s">
        <v>15</v>
      </c>
      <c r="P539" t="s">
        <v>157</v>
      </c>
      <c r="Q539" t="s">
        <v>303</v>
      </c>
    </row>
    <row r="540" spans="4:17" x14ac:dyDescent="0.25">
      <c r="D540" t="s">
        <v>46</v>
      </c>
      <c r="E540" t="s">
        <v>85</v>
      </c>
      <c r="F540" t="str">
        <f t="shared" si="40"/>
        <v>2024-08-14</v>
      </c>
      <c r="G540" t="str">
        <f t="shared" si="41"/>
        <v>2024-08-14</v>
      </c>
      <c r="H540">
        <f t="shared" si="42"/>
        <v>0</v>
      </c>
      <c r="J540" t="str">
        <f t="shared" si="43"/>
        <v>Ткаченко Андрей ОлеговичАлексеева Полина Станиславовна</v>
      </c>
      <c r="K540" t="s">
        <v>5</v>
      </c>
      <c r="L540" t="s">
        <v>180</v>
      </c>
      <c r="M540" t="s">
        <v>329</v>
      </c>
      <c r="N540" t="str">
        <f t="shared" si="44"/>
        <v>Яковлев Артем ИгоревичСтепанова Анна Никитична</v>
      </c>
      <c r="O540" t="s">
        <v>52</v>
      </c>
      <c r="P540" t="s">
        <v>108</v>
      </c>
      <c r="Q540" t="s">
        <v>303</v>
      </c>
    </row>
    <row r="541" spans="4:17" x14ac:dyDescent="0.25">
      <c r="D541" t="s">
        <v>46</v>
      </c>
      <c r="E541" t="s">
        <v>97</v>
      </c>
      <c r="F541" t="str">
        <f t="shared" si="40"/>
        <v>2023-12-08</v>
      </c>
      <c r="G541" t="str">
        <f t="shared" si="41"/>
        <v>2023-12-08</v>
      </c>
      <c r="H541">
        <f t="shared" si="42"/>
        <v>0</v>
      </c>
      <c r="J541" t="str">
        <f t="shared" si="43"/>
        <v>Белов Алексей КонстантиновичСмирнов Дмитрий Александрович</v>
      </c>
      <c r="K541" t="s">
        <v>8</v>
      </c>
      <c r="L541" t="s">
        <v>20</v>
      </c>
      <c r="M541" t="s">
        <v>331</v>
      </c>
      <c r="N541" t="str">
        <f t="shared" si="44"/>
        <v>Сидорова Елена ВасильевнаОрлова Анна Дмитриевна</v>
      </c>
      <c r="O541" t="s">
        <v>12</v>
      </c>
      <c r="P541" t="s">
        <v>165</v>
      </c>
      <c r="Q541" t="s">
        <v>303</v>
      </c>
    </row>
    <row r="542" spans="4:17" x14ac:dyDescent="0.25">
      <c r="D542" t="s">
        <v>46</v>
      </c>
      <c r="E542" t="s">
        <v>328</v>
      </c>
      <c r="F542" t="str">
        <f t="shared" si="40"/>
        <v>2024-04-30</v>
      </c>
      <c r="G542" t="str">
        <f t="shared" si="41"/>
        <v>2024-04-30</v>
      </c>
      <c r="H542">
        <f t="shared" si="42"/>
        <v>0</v>
      </c>
      <c r="J542" t="str">
        <f t="shared" si="43"/>
        <v>Новикова Ольга ПетровнаСеменов Никита Михайлович</v>
      </c>
      <c r="K542" t="s">
        <v>10</v>
      </c>
      <c r="L542" t="s">
        <v>300</v>
      </c>
      <c r="M542" t="s">
        <v>331</v>
      </c>
      <c r="N542" t="str">
        <f t="shared" si="44"/>
        <v>Петров Владимир КирилловичФедорова Алиса Кирилловна</v>
      </c>
      <c r="O542" t="s">
        <v>36</v>
      </c>
      <c r="P542" t="s">
        <v>193</v>
      </c>
      <c r="Q542" t="s">
        <v>303</v>
      </c>
    </row>
    <row r="543" spans="4:17" x14ac:dyDescent="0.25">
      <c r="D543" t="s">
        <v>46</v>
      </c>
      <c r="E543" t="s">
        <v>190</v>
      </c>
      <c r="F543" t="str">
        <f t="shared" si="40"/>
        <v>2023-11-20</v>
      </c>
      <c r="G543" t="str">
        <f t="shared" si="41"/>
        <v>2023-11-20</v>
      </c>
      <c r="H543">
        <f t="shared" si="42"/>
        <v>0</v>
      </c>
      <c r="J543" t="str">
        <f t="shared" si="43"/>
        <v>Яковлев Артем ИгоревичМорозов Андрей Александрович</v>
      </c>
      <c r="K543" t="s">
        <v>52</v>
      </c>
      <c r="L543" t="s">
        <v>187</v>
      </c>
      <c r="M543" t="s">
        <v>332</v>
      </c>
      <c r="N543" t="str">
        <f t="shared" si="44"/>
        <v>Иванова Анна СергеевнаНиколаев Артур Никитич</v>
      </c>
      <c r="O543" t="s">
        <v>48</v>
      </c>
      <c r="P543" t="s">
        <v>129</v>
      </c>
      <c r="Q543" t="s">
        <v>303</v>
      </c>
    </row>
    <row r="544" spans="4:17" x14ac:dyDescent="0.25">
      <c r="D544" t="s">
        <v>46</v>
      </c>
      <c r="E544" t="s">
        <v>108</v>
      </c>
      <c r="F544" t="str">
        <f t="shared" si="40"/>
        <v>2024-01-02</v>
      </c>
      <c r="G544" t="str">
        <f t="shared" si="41"/>
        <v>2024-01-02</v>
      </c>
      <c r="H544">
        <f t="shared" si="42"/>
        <v>0</v>
      </c>
      <c r="J544" t="str">
        <f t="shared" si="43"/>
        <v>Сидорова Елена ВасильевнаФедорова Вероника Ивановна</v>
      </c>
      <c r="K544" t="s">
        <v>12</v>
      </c>
      <c r="L544" t="s">
        <v>107</v>
      </c>
      <c r="M544" t="s">
        <v>332</v>
      </c>
      <c r="N544" t="str">
        <f t="shared" si="44"/>
        <v>Яковлев Артем ИгоревичСеменов Никита Михайлович</v>
      </c>
      <c r="O544" t="s">
        <v>52</v>
      </c>
      <c r="P544" t="s">
        <v>300</v>
      </c>
      <c r="Q544" t="s">
        <v>301</v>
      </c>
    </row>
    <row r="545" spans="4:17" x14ac:dyDescent="0.25">
      <c r="D545" t="s">
        <v>46</v>
      </c>
      <c r="E545" t="s">
        <v>157</v>
      </c>
      <c r="F545" t="str">
        <f t="shared" si="40"/>
        <v>2023-10-30</v>
      </c>
      <c r="G545" t="str">
        <f t="shared" si="41"/>
        <v>2023-10-30</v>
      </c>
      <c r="H545">
        <f t="shared" si="42"/>
        <v>0</v>
      </c>
      <c r="J545" t="str">
        <f t="shared" si="43"/>
        <v>Ткаченко Андрей ОлеговичСтепанова Анна Никитична</v>
      </c>
      <c r="K545" t="s">
        <v>5</v>
      </c>
      <c r="L545" t="s">
        <v>108</v>
      </c>
      <c r="M545" t="s">
        <v>332</v>
      </c>
      <c r="N545" t="str">
        <f t="shared" si="44"/>
        <v>Ткаченко Андрей ОлеговичЛебедева Ирина Михайловна</v>
      </c>
      <c r="O545" t="s">
        <v>5</v>
      </c>
      <c r="P545" t="s">
        <v>302</v>
      </c>
      <c r="Q545" t="s">
        <v>301</v>
      </c>
    </row>
    <row r="546" spans="4:17" x14ac:dyDescent="0.25">
      <c r="D546" t="s">
        <v>46</v>
      </c>
      <c r="E546" t="s">
        <v>107</v>
      </c>
      <c r="F546" t="str">
        <f t="shared" si="40"/>
        <v>2024-04-02</v>
      </c>
      <c r="G546" t="str">
        <f t="shared" si="41"/>
        <v>2024-04-02</v>
      </c>
      <c r="H546">
        <f t="shared" si="42"/>
        <v>0</v>
      </c>
      <c r="J546" t="str">
        <f t="shared" si="43"/>
        <v>Орлов Павел ДенисовичПавлова Анна Михайловна</v>
      </c>
      <c r="K546" t="s">
        <v>17</v>
      </c>
      <c r="L546" t="s">
        <v>191</v>
      </c>
      <c r="M546" t="s">
        <v>332</v>
      </c>
      <c r="N546" t="str">
        <f t="shared" si="44"/>
        <v>Петров Владимир КирилловичВолкова Валерия Олеговна</v>
      </c>
      <c r="O546" t="s">
        <v>36</v>
      </c>
      <c r="P546" t="s">
        <v>55</v>
      </c>
      <c r="Q546" t="s">
        <v>299</v>
      </c>
    </row>
    <row r="547" spans="4:17" x14ac:dyDescent="0.25">
      <c r="D547" t="s">
        <v>12</v>
      </c>
      <c r="E547" t="s">
        <v>195</v>
      </c>
      <c r="F547" t="str">
        <f t="shared" si="40"/>
        <v>2024-07-01</v>
      </c>
      <c r="G547" t="str">
        <f t="shared" si="41"/>
        <v>2024-07-01</v>
      </c>
      <c r="H547">
        <f t="shared" si="42"/>
        <v>0</v>
      </c>
      <c r="J547" t="str">
        <f t="shared" si="43"/>
        <v>Фролов Сергей ВикторовичСтепанова Екатерина Михайловна</v>
      </c>
      <c r="K547" t="s">
        <v>27</v>
      </c>
      <c r="L547" t="s">
        <v>172</v>
      </c>
      <c r="M547" t="s">
        <v>332</v>
      </c>
      <c r="N547" t="str">
        <f t="shared" si="44"/>
        <v>Яковлев Артем ИгоревичЛебедев Артур Олегович</v>
      </c>
      <c r="O547" t="s">
        <v>52</v>
      </c>
      <c r="P547" t="s">
        <v>258</v>
      </c>
      <c r="Q547" t="s">
        <v>299</v>
      </c>
    </row>
    <row r="548" spans="4:17" x14ac:dyDescent="0.25">
      <c r="D548" t="s">
        <v>12</v>
      </c>
      <c r="E548" t="s">
        <v>184</v>
      </c>
      <c r="F548" t="str">
        <f t="shared" si="40"/>
        <v>2023-11-27</v>
      </c>
      <c r="G548" t="str">
        <f t="shared" si="41"/>
        <v>2023-11-27</v>
      </c>
      <c r="H548">
        <f t="shared" si="42"/>
        <v>0</v>
      </c>
      <c r="J548" t="str">
        <f t="shared" si="43"/>
        <v>Белов Алексей КонстантиновичМорозов Сергей Олегович</v>
      </c>
      <c r="K548" t="s">
        <v>8</v>
      </c>
      <c r="L548" t="s">
        <v>150</v>
      </c>
      <c r="M548" t="s">
        <v>332</v>
      </c>
      <c r="N548" t="str">
        <f t="shared" si="44"/>
        <v>Сидорова Елена ВасильевнаВасильев Никита Викторович</v>
      </c>
      <c r="O548" t="s">
        <v>12</v>
      </c>
      <c r="P548" t="s">
        <v>47</v>
      </c>
      <c r="Q548" t="s">
        <v>299</v>
      </c>
    </row>
    <row r="549" spans="4:17" x14ac:dyDescent="0.25">
      <c r="D549" t="s">
        <v>12</v>
      </c>
      <c r="E549" t="s">
        <v>60</v>
      </c>
      <c r="F549" t="str">
        <f t="shared" si="40"/>
        <v>2024-06-05</v>
      </c>
      <c r="G549" t="str">
        <f t="shared" si="41"/>
        <v>2024-06-05</v>
      </c>
      <c r="H549">
        <f t="shared" si="42"/>
        <v>0</v>
      </c>
      <c r="J549" t="str">
        <f t="shared" si="43"/>
        <v>Орлов Павел ДенисовичЛебедев Павел Кириллович</v>
      </c>
      <c r="K549" t="s">
        <v>17</v>
      </c>
      <c r="L549" t="s">
        <v>6</v>
      </c>
      <c r="M549" t="s">
        <v>332</v>
      </c>
      <c r="N549" t="str">
        <f t="shared" si="44"/>
        <v>Петров Владимир КирилловичВасильев Александр Иванович</v>
      </c>
      <c r="O549" t="s">
        <v>36</v>
      </c>
      <c r="P549" t="s">
        <v>158</v>
      </c>
      <c r="Q549" t="s">
        <v>299</v>
      </c>
    </row>
    <row r="550" spans="4:17" x14ac:dyDescent="0.25">
      <c r="D550" t="s">
        <v>12</v>
      </c>
      <c r="E550" t="s">
        <v>180</v>
      </c>
      <c r="F550" t="str">
        <f t="shared" si="40"/>
        <v>2024-05-17</v>
      </c>
      <c r="G550" t="str">
        <f t="shared" si="41"/>
        <v>2024-05-17</v>
      </c>
      <c r="H550">
        <f t="shared" si="42"/>
        <v>0</v>
      </c>
      <c r="J550" t="str">
        <f t="shared" si="43"/>
        <v>Ткаченко Андрей ОлеговичЛебедев Роман Станиславович</v>
      </c>
      <c r="K550" t="s">
        <v>5</v>
      </c>
      <c r="L550" t="s">
        <v>62</v>
      </c>
      <c r="M550" t="s">
        <v>332</v>
      </c>
      <c r="N550" t="str">
        <f t="shared" si="44"/>
        <v>Ткаченко Андрей ОлеговичЕгоров Никита Геннадьевич</v>
      </c>
      <c r="O550" t="s">
        <v>5</v>
      </c>
      <c r="P550" t="s">
        <v>130</v>
      </c>
      <c r="Q550" t="s">
        <v>299</v>
      </c>
    </row>
    <row r="551" spans="4:17" x14ac:dyDescent="0.25">
      <c r="D551" t="s">
        <v>12</v>
      </c>
      <c r="E551" t="s">
        <v>161</v>
      </c>
      <c r="F551" t="str">
        <f t="shared" si="40"/>
        <v>2024-06-10</v>
      </c>
      <c r="G551" t="str">
        <f t="shared" si="41"/>
        <v>2024-06-10</v>
      </c>
      <c r="H551">
        <f t="shared" si="42"/>
        <v>0</v>
      </c>
      <c r="J551" t="str">
        <f t="shared" si="43"/>
        <v>Иванова Анна СергеевнаПавлов Павел Павлович</v>
      </c>
      <c r="K551" t="s">
        <v>48</v>
      </c>
      <c r="L551" t="s">
        <v>207</v>
      </c>
      <c r="M551" t="s">
        <v>332</v>
      </c>
      <c r="N551" t="str">
        <f t="shared" si="44"/>
        <v>Громова Мария ИльиничнаСмирнов Никита Олегович</v>
      </c>
      <c r="O551" t="s">
        <v>15</v>
      </c>
      <c r="P551" t="s">
        <v>297</v>
      </c>
      <c r="Q551" t="s">
        <v>298</v>
      </c>
    </row>
    <row r="552" spans="4:17" x14ac:dyDescent="0.25">
      <c r="D552" t="s">
        <v>12</v>
      </c>
      <c r="E552" t="s">
        <v>243</v>
      </c>
      <c r="F552" t="str">
        <f t="shared" si="40"/>
        <v>2024-02-08</v>
      </c>
      <c r="G552" t="str">
        <f t="shared" si="41"/>
        <v>2024-02-08</v>
      </c>
      <c r="H552">
        <f t="shared" si="42"/>
        <v>0</v>
      </c>
      <c r="J552" t="str">
        <f t="shared" si="43"/>
        <v>Кузнецов Дмитрий ЛьвовичВолков Роман Иванович</v>
      </c>
      <c r="K552" t="s">
        <v>23</v>
      </c>
      <c r="L552" t="s">
        <v>75</v>
      </c>
      <c r="M552" t="s">
        <v>332</v>
      </c>
      <c r="N552" t="str">
        <f t="shared" si="44"/>
        <v>Орлов Павел ДенисовичОрлов Роман Дмитриевич</v>
      </c>
      <c r="O552" t="s">
        <v>17</v>
      </c>
      <c r="P552" t="s">
        <v>239</v>
      </c>
      <c r="Q552" t="s">
        <v>298</v>
      </c>
    </row>
    <row r="553" spans="4:17" x14ac:dyDescent="0.25">
      <c r="D553" t="s">
        <v>12</v>
      </c>
      <c r="E553" t="s">
        <v>148</v>
      </c>
      <c r="F553" t="str">
        <f t="shared" si="40"/>
        <v>2023-10-23</v>
      </c>
      <c r="G553" t="str">
        <f t="shared" si="41"/>
        <v>2023-10-23</v>
      </c>
      <c r="H553">
        <f t="shared" si="42"/>
        <v>0</v>
      </c>
      <c r="J553" t="str">
        <f t="shared" si="43"/>
        <v>Фролов Сергей ВикторовичСеменов Сергей Дмитриевич</v>
      </c>
      <c r="K553" t="s">
        <v>27</v>
      </c>
      <c r="L553" t="s">
        <v>293</v>
      </c>
      <c r="M553" t="s">
        <v>333</v>
      </c>
      <c r="N553" t="str">
        <f t="shared" si="44"/>
        <v>Кузнецов Дмитрий ЛьвовичНовикова Дарья Викторовна</v>
      </c>
      <c r="O553" t="s">
        <v>23</v>
      </c>
      <c r="P553" t="s">
        <v>138</v>
      </c>
      <c r="Q553" t="s">
        <v>298</v>
      </c>
    </row>
    <row r="554" spans="4:17" x14ac:dyDescent="0.25">
      <c r="D554" t="s">
        <v>12</v>
      </c>
      <c r="E554" t="s">
        <v>47</v>
      </c>
      <c r="F554" t="str">
        <f t="shared" si="40"/>
        <v>2024-02-15</v>
      </c>
      <c r="G554" t="str">
        <f t="shared" si="41"/>
        <v>2024-02-15</v>
      </c>
      <c r="H554">
        <f t="shared" si="42"/>
        <v>0</v>
      </c>
      <c r="J554" t="str">
        <f t="shared" si="43"/>
        <v>Петров Владимир КирилловичАлексеева Виктория Александровна</v>
      </c>
      <c r="K554" t="s">
        <v>36</v>
      </c>
      <c r="L554" t="s">
        <v>195</v>
      </c>
      <c r="M554" t="s">
        <v>333</v>
      </c>
      <c r="N554" t="str">
        <f t="shared" si="44"/>
        <v>Орлов Павел ДенисовичПопов Владимир Артемович</v>
      </c>
      <c r="O554" t="s">
        <v>17</v>
      </c>
      <c r="P554" t="s">
        <v>203</v>
      </c>
      <c r="Q554" t="s">
        <v>298</v>
      </c>
    </row>
    <row r="555" spans="4:17" x14ac:dyDescent="0.25">
      <c r="D555" t="s">
        <v>12</v>
      </c>
      <c r="E555" t="s">
        <v>37</v>
      </c>
      <c r="F555" t="str">
        <f t="shared" si="40"/>
        <v>2023-09-18</v>
      </c>
      <c r="G555" t="str">
        <f t="shared" si="41"/>
        <v>2023-09-18</v>
      </c>
      <c r="H555">
        <f t="shared" si="42"/>
        <v>0</v>
      </c>
      <c r="J555" t="str">
        <f t="shared" si="43"/>
        <v>Петров Владимир КирилловичИванова Александра Никитична</v>
      </c>
      <c r="K555" t="s">
        <v>36</v>
      </c>
      <c r="L555" t="s">
        <v>264</v>
      </c>
      <c r="M555" t="s">
        <v>333</v>
      </c>
      <c r="N555" t="str">
        <f t="shared" si="44"/>
        <v>Иванова Анна СергеевнаМорозова Алиса Андреевна</v>
      </c>
      <c r="O555" t="s">
        <v>48</v>
      </c>
      <c r="P555" t="s">
        <v>125</v>
      </c>
      <c r="Q555" t="s">
        <v>295</v>
      </c>
    </row>
    <row r="556" spans="4:17" x14ac:dyDescent="0.25">
      <c r="D556" t="s">
        <v>12</v>
      </c>
      <c r="E556" t="s">
        <v>84</v>
      </c>
      <c r="F556" t="str">
        <f t="shared" si="40"/>
        <v>2024-02-05</v>
      </c>
      <c r="G556" t="str">
        <f t="shared" si="41"/>
        <v>2024-02-05</v>
      </c>
      <c r="H556">
        <f t="shared" si="42"/>
        <v>0</v>
      </c>
      <c r="J556" t="str">
        <f t="shared" si="43"/>
        <v>Ткаченко Андрей ОлеговичВасильева Мария Дмитриевна</v>
      </c>
      <c r="K556" t="s">
        <v>5</v>
      </c>
      <c r="L556" t="s">
        <v>304</v>
      </c>
      <c r="M556" t="s">
        <v>333</v>
      </c>
      <c r="N556" t="str">
        <f t="shared" si="44"/>
        <v>Яковлев Артем ИгоревичСидоров Павел Андреевич</v>
      </c>
      <c r="O556" t="s">
        <v>52</v>
      </c>
      <c r="P556" t="s">
        <v>287</v>
      </c>
      <c r="Q556" t="s">
        <v>295</v>
      </c>
    </row>
    <row r="557" spans="4:17" x14ac:dyDescent="0.25">
      <c r="D557" t="s">
        <v>12</v>
      </c>
      <c r="E557" t="s">
        <v>240</v>
      </c>
      <c r="F557" t="str">
        <f t="shared" si="40"/>
        <v>2024-01-09</v>
      </c>
      <c r="G557" t="str">
        <f t="shared" si="41"/>
        <v>2024-01-09</v>
      </c>
      <c r="H557">
        <f t="shared" si="42"/>
        <v>0</v>
      </c>
      <c r="J557" t="str">
        <f t="shared" si="43"/>
        <v>Семенова Ирина ВалерьевнаКозлова Ксения Владимировна</v>
      </c>
      <c r="K557" t="s">
        <v>46</v>
      </c>
      <c r="L557" t="s">
        <v>173</v>
      </c>
      <c r="M557" t="s">
        <v>333</v>
      </c>
      <c r="N557" t="str">
        <f t="shared" si="44"/>
        <v>Новикова Ольга ПетровнаСмирнов Егор Никитич</v>
      </c>
      <c r="O557" t="s">
        <v>10</v>
      </c>
      <c r="P557" t="s">
        <v>296</v>
      </c>
      <c r="Q557" t="s">
        <v>295</v>
      </c>
    </row>
    <row r="558" spans="4:17" x14ac:dyDescent="0.25">
      <c r="D558" t="s">
        <v>12</v>
      </c>
      <c r="E558" t="s">
        <v>115</v>
      </c>
      <c r="F558" t="str">
        <f t="shared" si="40"/>
        <v>2024-06-17</v>
      </c>
      <c r="G558" t="str">
        <f t="shared" si="41"/>
        <v>2024-06-17</v>
      </c>
      <c r="H558">
        <f t="shared" si="42"/>
        <v>0</v>
      </c>
      <c r="J558" t="str">
        <f t="shared" si="43"/>
        <v>Иванова Анна СергеевнаПопова Дарья Владимировна</v>
      </c>
      <c r="K558" t="s">
        <v>48</v>
      </c>
      <c r="L558" t="s">
        <v>282</v>
      </c>
      <c r="M558" t="s">
        <v>334</v>
      </c>
      <c r="N558" t="str">
        <f t="shared" si="44"/>
        <v>Семенова Ирина ВалерьевнаИванова Екатерина Егоровна</v>
      </c>
      <c r="O558" t="s">
        <v>46</v>
      </c>
      <c r="P558" t="s">
        <v>131</v>
      </c>
      <c r="Q558" t="s">
        <v>295</v>
      </c>
    </row>
    <row r="559" spans="4:17" x14ac:dyDescent="0.25">
      <c r="D559" t="s">
        <v>12</v>
      </c>
      <c r="E559" t="s">
        <v>39</v>
      </c>
      <c r="F559" t="str">
        <f t="shared" si="40"/>
        <v>2023-09-08</v>
      </c>
      <c r="G559" t="str">
        <f t="shared" si="41"/>
        <v>2023-09-08</v>
      </c>
      <c r="H559">
        <f t="shared" si="42"/>
        <v>0</v>
      </c>
      <c r="J559" t="str">
        <f t="shared" si="43"/>
        <v>Белов Алексей КонстантиновичСтепанова Екатерина Михайловна</v>
      </c>
      <c r="K559" t="s">
        <v>8</v>
      </c>
      <c r="L559" t="s">
        <v>172</v>
      </c>
      <c r="M559" t="s">
        <v>334</v>
      </c>
      <c r="N559" t="str">
        <f t="shared" si="44"/>
        <v>Громова Мария ИльиничнаСеменов Сергей Дмитриевич</v>
      </c>
      <c r="O559" t="s">
        <v>15</v>
      </c>
      <c r="P559" t="s">
        <v>293</v>
      </c>
      <c r="Q559" t="s">
        <v>294</v>
      </c>
    </row>
    <row r="560" spans="4:17" x14ac:dyDescent="0.25">
      <c r="D560" t="s">
        <v>12</v>
      </c>
      <c r="E560" t="s">
        <v>264</v>
      </c>
      <c r="F560" t="str">
        <f t="shared" si="40"/>
        <v>2024-06-14</v>
      </c>
      <c r="G560" t="str">
        <f t="shared" si="41"/>
        <v>2024-06-14</v>
      </c>
      <c r="H560">
        <f t="shared" si="42"/>
        <v>0</v>
      </c>
      <c r="J560" t="str">
        <f t="shared" si="43"/>
        <v>Белов Алексей КонстантиновичМорозов Никита Иванович</v>
      </c>
      <c r="K560" t="s">
        <v>8</v>
      </c>
      <c r="L560" t="s">
        <v>335</v>
      </c>
      <c r="M560" t="s">
        <v>336</v>
      </c>
      <c r="N560" t="str">
        <f t="shared" si="44"/>
        <v>Петров Владимир КирилловичАлексеева Людмила Никитична</v>
      </c>
      <c r="O560" t="s">
        <v>36</v>
      </c>
      <c r="P560" t="s">
        <v>60</v>
      </c>
      <c r="Q560" t="s">
        <v>294</v>
      </c>
    </row>
    <row r="561" spans="4:17" x14ac:dyDescent="0.25">
      <c r="D561" t="s">
        <v>12</v>
      </c>
      <c r="E561" t="s">
        <v>281</v>
      </c>
      <c r="F561" t="str">
        <f t="shared" si="40"/>
        <v>2024-01-29</v>
      </c>
      <c r="G561" t="str">
        <f t="shared" si="41"/>
        <v>2024-04-25</v>
      </c>
      <c r="H561">
        <f t="shared" si="42"/>
        <v>87</v>
      </c>
      <c r="J561" t="str">
        <f t="shared" si="43"/>
        <v>Сидорова Елена ВасильевнаНиколаева Ирина Владимировна</v>
      </c>
      <c r="K561" t="s">
        <v>12</v>
      </c>
      <c r="L561" t="s">
        <v>66</v>
      </c>
      <c r="M561" t="s">
        <v>336</v>
      </c>
      <c r="N561" t="str">
        <f t="shared" si="44"/>
        <v>Фролов Сергей ВикторовичНиколаева Ирина Владимировна</v>
      </c>
      <c r="O561" t="s">
        <v>27</v>
      </c>
      <c r="P561" t="s">
        <v>66</v>
      </c>
      <c r="Q561" t="s">
        <v>294</v>
      </c>
    </row>
    <row r="562" spans="4:17" x14ac:dyDescent="0.25">
      <c r="D562" t="s">
        <v>12</v>
      </c>
      <c r="E562" t="s">
        <v>149</v>
      </c>
      <c r="F562" t="str">
        <f t="shared" si="40"/>
        <v>2024-08-12</v>
      </c>
      <c r="G562" t="str">
        <f t="shared" si="41"/>
        <v>2024-08-12</v>
      </c>
      <c r="H562">
        <f t="shared" si="42"/>
        <v>0</v>
      </c>
      <c r="J562" t="str">
        <f t="shared" si="43"/>
        <v>Яковлев Артем ИгоревичПетрова Дарья Кирилловна</v>
      </c>
      <c r="K562" t="s">
        <v>52</v>
      </c>
      <c r="L562" t="s">
        <v>198</v>
      </c>
      <c r="M562" t="s">
        <v>336</v>
      </c>
      <c r="N562" t="str">
        <f t="shared" si="44"/>
        <v>Петров Владимир КирилловичСмирнов Дмитрий Александрович</v>
      </c>
      <c r="O562" t="s">
        <v>36</v>
      </c>
      <c r="P562" t="s">
        <v>20</v>
      </c>
      <c r="Q562" t="s">
        <v>291</v>
      </c>
    </row>
    <row r="563" spans="4:17" x14ac:dyDescent="0.25">
      <c r="D563" t="s">
        <v>12</v>
      </c>
      <c r="E563" t="s">
        <v>35</v>
      </c>
      <c r="F563" t="str">
        <f t="shared" si="40"/>
        <v>2023-09-08</v>
      </c>
      <c r="G563" t="str">
        <f t="shared" si="41"/>
        <v>2023-09-08</v>
      </c>
      <c r="H563">
        <f t="shared" si="42"/>
        <v>0</v>
      </c>
      <c r="J563" t="str">
        <f t="shared" si="43"/>
        <v>Белов Алексей КонстантиновичНовикова Дарья Викторовна</v>
      </c>
      <c r="K563" t="s">
        <v>8</v>
      </c>
      <c r="L563" t="s">
        <v>138</v>
      </c>
      <c r="M563" t="s">
        <v>337</v>
      </c>
      <c r="N563" t="str">
        <f t="shared" si="44"/>
        <v>Белов Алексей КонстантиновичАлексеева Алиса Ильинична</v>
      </c>
      <c r="O563" t="s">
        <v>8</v>
      </c>
      <c r="P563" t="s">
        <v>64</v>
      </c>
      <c r="Q563" t="s">
        <v>291</v>
      </c>
    </row>
    <row r="564" spans="4:17" x14ac:dyDescent="0.25">
      <c r="D564" t="s">
        <v>12</v>
      </c>
      <c r="E564" t="s">
        <v>350</v>
      </c>
      <c r="F564" t="str">
        <f t="shared" si="40"/>
        <v>2024-05-24</v>
      </c>
      <c r="G564" t="str">
        <f t="shared" si="41"/>
        <v>2024-05-24</v>
      </c>
      <c r="H564">
        <f t="shared" si="42"/>
        <v>0</v>
      </c>
      <c r="J564" t="str">
        <f t="shared" si="43"/>
        <v>Орлов Павел ДенисовичВасильева Наталья Никитична</v>
      </c>
      <c r="K564" t="s">
        <v>17</v>
      </c>
      <c r="L564" t="s">
        <v>116</v>
      </c>
      <c r="M564" t="s">
        <v>337</v>
      </c>
      <c r="N564" t="str">
        <f t="shared" si="44"/>
        <v>Ткаченко Андрей ОлеговичПетрова Елена Сергеевна</v>
      </c>
      <c r="O564" t="s">
        <v>5</v>
      </c>
      <c r="P564" t="s">
        <v>123</v>
      </c>
      <c r="Q564" t="s">
        <v>291</v>
      </c>
    </row>
    <row r="565" spans="4:17" x14ac:dyDescent="0.25">
      <c r="D565" t="s">
        <v>12</v>
      </c>
      <c r="E565" t="s">
        <v>156</v>
      </c>
      <c r="F565" t="str">
        <f t="shared" si="40"/>
        <v>2023-12-25</v>
      </c>
      <c r="G565" t="str">
        <f t="shared" si="41"/>
        <v>2023-12-25</v>
      </c>
      <c r="H565">
        <f t="shared" si="42"/>
        <v>0</v>
      </c>
      <c r="J565" t="str">
        <f t="shared" si="43"/>
        <v>Кузнецов Дмитрий ЛьвовичПетрова Виктория Олеговна</v>
      </c>
      <c r="K565" t="s">
        <v>23</v>
      </c>
      <c r="L565" t="s">
        <v>338</v>
      </c>
      <c r="M565" t="s">
        <v>339</v>
      </c>
      <c r="N565" t="str">
        <f t="shared" si="44"/>
        <v>Белов Алексей КонстантиновичФедорова Татьяна Никитична</v>
      </c>
      <c r="O565" t="s">
        <v>8</v>
      </c>
      <c r="P565" t="s">
        <v>292</v>
      </c>
      <c r="Q565" t="s">
        <v>291</v>
      </c>
    </row>
    <row r="566" spans="4:17" x14ac:dyDescent="0.25">
      <c r="D566" t="s">
        <v>12</v>
      </c>
      <c r="E566" t="s">
        <v>67</v>
      </c>
      <c r="F566" t="str">
        <f t="shared" si="40"/>
        <v>2023-09-18</v>
      </c>
      <c r="G566" t="str">
        <f t="shared" si="41"/>
        <v>2023-09-18</v>
      </c>
      <c r="H566">
        <f t="shared" si="42"/>
        <v>0</v>
      </c>
      <c r="J566" t="str">
        <f t="shared" si="43"/>
        <v>Кузнецов Дмитрий ЛьвовичИванова Ксения Романовна</v>
      </c>
      <c r="K566" t="s">
        <v>23</v>
      </c>
      <c r="L566" t="s">
        <v>74</v>
      </c>
      <c r="M566" t="s">
        <v>339</v>
      </c>
      <c r="N566" t="str">
        <f t="shared" si="44"/>
        <v>Сидорова Елена ВасильевнаВасильев Георгий Станиславович</v>
      </c>
      <c r="O566" t="s">
        <v>12</v>
      </c>
      <c r="P566" t="s">
        <v>243</v>
      </c>
      <c r="Q566" t="s">
        <v>291</v>
      </c>
    </row>
    <row r="567" spans="4:17" x14ac:dyDescent="0.25">
      <c r="D567" t="s">
        <v>12</v>
      </c>
      <c r="E567" t="s">
        <v>228</v>
      </c>
      <c r="F567" t="str">
        <f t="shared" si="40"/>
        <v>2023-12-18</v>
      </c>
      <c r="G567" t="str">
        <f t="shared" si="41"/>
        <v>2023-12-18</v>
      </c>
      <c r="H567">
        <f t="shared" si="42"/>
        <v>0</v>
      </c>
      <c r="J567" t="str">
        <f t="shared" si="43"/>
        <v>Фролов Сергей ВикторовичМорозова Наталья Никитична</v>
      </c>
      <c r="K567" t="s">
        <v>27</v>
      </c>
      <c r="L567" t="s">
        <v>144</v>
      </c>
      <c r="M567" t="s">
        <v>339</v>
      </c>
      <c r="N567" t="str">
        <f t="shared" si="44"/>
        <v>Белов Алексей КонстантиновичФедорова Вероника Ивановна</v>
      </c>
      <c r="O567" t="s">
        <v>8</v>
      </c>
      <c r="P567" t="s">
        <v>107</v>
      </c>
      <c r="Q567" t="s">
        <v>291</v>
      </c>
    </row>
    <row r="568" spans="4:17" x14ac:dyDescent="0.25">
      <c r="D568" t="s">
        <v>12</v>
      </c>
      <c r="E568" t="s">
        <v>71</v>
      </c>
      <c r="F568" t="str">
        <f t="shared" si="40"/>
        <v>2024-04-03</v>
      </c>
      <c r="G568" t="str">
        <f t="shared" si="41"/>
        <v>2024-04-03</v>
      </c>
      <c r="H568">
        <f t="shared" si="42"/>
        <v>0</v>
      </c>
      <c r="J568" t="str">
        <f t="shared" si="43"/>
        <v>Ткаченко Андрей ОлеговичПетрова Наталья Геннадьевна</v>
      </c>
      <c r="K568" t="s">
        <v>5</v>
      </c>
      <c r="L568" t="s">
        <v>82</v>
      </c>
      <c r="M568" t="s">
        <v>339</v>
      </c>
      <c r="N568" t="str">
        <f t="shared" si="44"/>
        <v>Петров Владимир КирилловичВасильев Егор Владимирович</v>
      </c>
      <c r="O568" t="s">
        <v>36</v>
      </c>
      <c r="P568" t="s">
        <v>148</v>
      </c>
      <c r="Q568" t="s">
        <v>291</v>
      </c>
    </row>
    <row r="569" spans="4:17" x14ac:dyDescent="0.25">
      <c r="D569" t="s">
        <v>12</v>
      </c>
      <c r="E569" t="s">
        <v>86</v>
      </c>
      <c r="F569" t="str">
        <f t="shared" si="40"/>
        <v>2023-10-23</v>
      </c>
      <c r="G569" t="str">
        <f t="shared" si="41"/>
        <v>2024-04-01</v>
      </c>
      <c r="H569">
        <f t="shared" si="42"/>
        <v>161</v>
      </c>
      <c r="J569" t="str">
        <f t="shared" si="43"/>
        <v>Петров Владимир КирилловичНиколаев Роман Геннадьевич</v>
      </c>
      <c r="K569" t="s">
        <v>36</v>
      </c>
      <c r="L569" t="s">
        <v>139</v>
      </c>
      <c r="M569" t="s">
        <v>339</v>
      </c>
      <c r="N569" t="str">
        <f t="shared" si="44"/>
        <v>Орлов Павел ДенисовичСмирнова София Ивановна</v>
      </c>
      <c r="O569" t="s">
        <v>17</v>
      </c>
      <c r="P569" t="s">
        <v>25</v>
      </c>
      <c r="Q569" t="s">
        <v>289</v>
      </c>
    </row>
    <row r="570" spans="4:17" x14ac:dyDescent="0.25">
      <c r="D570" t="s">
        <v>12</v>
      </c>
      <c r="E570" t="s">
        <v>32</v>
      </c>
      <c r="F570" t="str">
        <f t="shared" si="40"/>
        <v>2024-03-07</v>
      </c>
      <c r="G570" t="str">
        <f t="shared" si="41"/>
        <v>2024-03-07</v>
      </c>
      <c r="H570">
        <f t="shared" si="42"/>
        <v>0</v>
      </c>
      <c r="J570" t="str">
        <f t="shared" si="43"/>
        <v>Новикова Ольга ПетровнаВасильев Артур Дмитриевич</v>
      </c>
      <c r="K570" t="s">
        <v>10</v>
      </c>
      <c r="L570" t="s">
        <v>77</v>
      </c>
      <c r="M570" t="s">
        <v>339</v>
      </c>
      <c r="N570" t="str">
        <f t="shared" si="44"/>
        <v>Яковлев Артем ИгоревичСтепанова Екатерина Михайловна</v>
      </c>
      <c r="O570" t="s">
        <v>52</v>
      </c>
      <c r="P570" t="s">
        <v>172</v>
      </c>
      <c r="Q570" t="s">
        <v>289</v>
      </c>
    </row>
    <row r="571" spans="4:17" x14ac:dyDescent="0.25">
      <c r="D571" t="s">
        <v>12</v>
      </c>
      <c r="E571" t="s">
        <v>235</v>
      </c>
      <c r="F571" t="str">
        <f t="shared" si="40"/>
        <v>2024-05-06</v>
      </c>
      <c r="G571" t="str">
        <f t="shared" si="41"/>
        <v>2024-05-06</v>
      </c>
      <c r="H571">
        <f t="shared" si="42"/>
        <v>0</v>
      </c>
      <c r="J571" t="str">
        <f t="shared" si="43"/>
        <v>Семенова Ирина ВалерьевнаСидоров Егор Кириллович</v>
      </c>
      <c r="K571" t="s">
        <v>46</v>
      </c>
      <c r="L571" t="s">
        <v>212</v>
      </c>
      <c r="M571" t="s">
        <v>339</v>
      </c>
      <c r="N571" t="str">
        <f t="shared" si="44"/>
        <v>Фролов Сергей ВикторовичВасильев Александр Иванович</v>
      </c>
      <c r="O571" t="s">
        <v>27</v>
      </c>
      <c r="P571" t="s">
        <v>158</v>
      </c>
      <c r="Q571" t="s">
        <v>289</v>
      </c>
    </row>
    <row r="572" spans="4:17" x14ac:dyDescent="0.25">
      <c r="D572" t="s">
        <v>12</v>
      </c>
      <c r="E572" t="s">
        <v>139</v>
      </c>
      <c r="F572" t="str">
        <f t="shared" si="40"/>
        <v>2024-07-22</v>
      </c>
      <c r="G572" t="str">
        <f t="shared" si="41"/>
        <v>2024-07-22</v>
      </c>
      <c r="H572">
        <f t="shared" si="42"/>
        <v>0</v>
      </c>
      <c r="J572" t="str">
        <f t="shared" si="43"/>
        <v>Семенова Ирина ВалерьевнаПопова Светлана Владимировна</v>
      </c>
      <c r="K572" t="s">
        <v>46</v>
      </c>
      <c r="L572" t="s">
        <v>316</v>
      </c>
      <c r="M572" t="s">
        <v>339</v>
      </c>
      <c r="N572" t="str">
        <f t="shared" si="44"/>
        <v>Яковлев Артем ИгоревичСмирнова Мария Сергеевна</v>
      </c>
      <c r="O572" t="s">
        <v>52</v>
      </c>
      <c r="P572" t="s">
        <v>290</v>
      </c>
      <c r="Q572" t="s">
        <v>289</v>
      </c>
    </row>
    <row r="573" spans="4:17" x14ac:dyDescent="0.25">
      <c r="D573" t="s">
        <v>12</v>
      </c>
      <c r="E573" t="s">
        <v>202</v>
      </c>
      <c r="F573" t="str">
        <f t="shared" si="40"/>
        <v>2023-11-27</v>
      </c>
      <c r="G573" t="str">
        <f t="shared" si="41"/>
        <v>2023-11-27</v>
      </c>
      <c r="H573">
        <f t="shared" si="42"/>
        <v>0</v>
      </c>
      <c r="J573" t="str">
        <f t="shared" si="43"/>
        <v>Иванова Анна СергеевнаКузнецов Павел Егорович</v>
      </c>
      <c r="K573" t="s">
        <v>48</v>
      </c>
      <c r="L573" t="s">
        <v>320</v>
      </c>
      <c r="M573" t="s">
        <v>339</v>
      </c>
      <c r="N573" t="str">
        <f t="shared" si="44"/>
        <v>Иванова Анна СергеевнаПавлова Светлана Кирилловна</v>
      </c>
      <c r="O573" t="s">
        <v>48</v>
      </c>
      <c r="P573" t="s">
        <v>219</v>
      </c>
      <c r="Q573" t="s">
        <v>289</v>
      </c>
    </row>
    <row r="574" spans="4:17" x14ac:dyDescent="0.25">
      <c r="D574" t="s">
        <v>12</v>
      </c>
      <c r="E574" t="s">
        <v>66</v>
      </c>
      <c r="F574" t="str">
        <f t="shared" si="40"/>
        <v>2024-03-21</v>
      </c>
      <c r="G574" t="str">
        <f t="shared" si="41"/>
        <v>2024-03-21</v>
      </c>
      <c r="H574">
        <f t="shared" si="42"/>
        <v>0</v>
      </c>
      <c r="J574" t="str">
        <f t="shared" si="43"/>
        <v>Фролов Сергей ВикторовичИванова Ксения Романовна</v>
      </c>
      <c r="K574" t="s">
        <v>27</v>
      </c>
      <c r="L574" t="s">
        <v>74</v>
      </c>
      <c r="M574" t="s">
        <v>339</v>
      </c>
      <c r="N574" t="str">
        <f t="shared" si="44"/>
        <v>Орлов Павел ДенисовичСидоров Павел Андреевич</v>
      </c>
      <c r="O574" t="s">
        <v>17</v>
      </c>
      <c r="P574" t="s">
        <v>287</v>
      </c>
      <c r="Q574" t="s">
        <v>288</v>
      </c>
    </row>
    <row r="575" spans="4:17" x14ac:dyDescent="0.25">
      <c r="D575" t="s">
        <v>12</v>
      </c>
      <c r="E575" t="s">
        <v>181</v>
      </c>
      <c r="F575" t="str">
        <f t="shared" si="40"/>
        <v>2024-07-24</v>
      </c>
      <c r="G575" t="str">
        <f t="shared" si="41"/>
        <v>2024-07-24</v>
      </c>
      <c r="H575">
        <f t="shared" si="42"/>
        <v>0</v>
      </c>
      <c r="J575" t="str">
        <f t="shared" si="43"/>
        <v>Семенова Ирина ВалерьевнаЛебедева Полина Артемовна</v>
      </c>
      <c r="K575" t="s">
        <v>46</v>
      </c>
      <c r="L575" t="s">
        <v>38</v>
      </c>
      <c r="M575" t="s">
        <v>339</v>
      </c>
      <c r="N575" t="str">
        <f t="shared" si="44"/>
        <v>Яковлев Артем ИгоревичСидорова Вероника Павловна</v>
      </c>
      <c r="O575" t="s">
        <v>52</v>
      </c>
      <c r="P575" t="s">
        <v>163</v>
      </c>
      <c r="Q575" t="s">
        <v>288</v>
      </c>
    </row>
    <row r="576" spans="4:17" x14ac:dyDescent="0.25">
      <c r="D576" t="s">
        <v>12</v>
      </c>
      <c r="E576" t="s">
        <v>197</v>
      </c>
      <c r="F576" t="str">
        <f t="shared" si="40"/>
        <v>2023-11-23</v>
      </c>
      <c r="G576" t="str">
        <f t="shared" si="41"/>
        <v>2023-11-23</v>
      </c>
      <c r="H576">
        <f t="shared" si="42"/>
        <v>0</v>
      </c>
      <c r="J576" t="str">
        <f t="shared" si="43"/>
        <v>Яковлев Артем ИгоревичКузнецова София Сергеевна</v>
      </c>
      <c r="K576" t="s">
        <v>52</v>
      </c>
      <c r="L576" t="s">
        <v>86</v>
      </c>
      <c r="M576" t="s">
        <v>339</v>
      </c>
      <c r="N576" t="str">
        <f t="shared" si="44"/>
        <v>Фролов Сергей ВикторовичМорозов Дмитрий Кириллович</v>
      </c>
      <c r="O576" t="s">
        <v>27</v>
      </c>
      <c r="P576" t="s">
        <v>32</v>
      </c>
      <c r="Q576" t="s">
        <v>288</v>
      </c>
    </row>
    <row r="577" spans="4:17" x14ac:dyDescent="0.25">
      <c r="D577" t="s">
        <v>12</v>
      </c>
      <c r="E577" t="s">
        <v>121</v>
      </c>
      <c r="F577" t="str">
        <f t="shared" si="40"/>
        <v>2023-10-09</v>
      </c>
      <c r="G577" t="str">
        <f t="shared" si="41"/>
        <v>2023-10-09</v>
      </c>
      <c r="H577">
        <f t="shared" si="42"/>
        <v>0</v>
      </c>
      <c r="J577" t="str">
        <f t="shared" si="43"/>
        <v>Белов Алексей КонстантиновичОрлов Владимир Геннадьевич</v>
      </c>
      <c r="K577" t="s">
        <v>8</v>
      </c>
      <c r="L577" t="s">
        <v>272</v>
      </c>
      <c r="M577" t="s">
        <v>339</v>
      </c>
      <c r="N577" t="str">
        <f t="shared" si="44"/>
        <v>Орлов Павел ДенисовичПавлов Никита Ильич</v>
      </c>
      <c r="O577" t="s">
        <v>17</v>
      </c>
      <c r="P577" t="s">
        <v>249</v>
      </c>
      <c r="Q577" t="s">
        <v>288</v>
      </c>
    </row>
    <row r="578" spans="4:17" x14ac:dyDescent="0.25">
      <c r="D578" t="s">
        <v>12</v>
      </c>
      <c r="E578" t="s">
        <v>272</v>
      </c>
      <c r="F578" t="str">
        <f t="shared" si="40"/>
        <v>2024-08-26</v>
      </c>
      <c r="G578" t="str">
        <f t="shared" si="41"/>
        <v>2024-08-26</v>
      </c>
      <c r="H578">
        <f t="shared" si="42"/>
        <v>0</v>
      </c>
      <c r="J578" t="str">
        <f t="shared" si="43"/>
        <v>Новикова Ольга ПетровнаПетрова Дарья Кирилловна</v>
      </c>
      <c r="K578" t="s">
        <v>10</v>
      </c>
      <c r="L578" t="s">
        <v>198</v>
      </c>
      <c r="M578" t="s">
        <v>340</v>
      </c>
      <c r="N578" t="str">
        <f t="shared" si="44"/>
        <v>Петров Владимир КирилловичКузнецов Сергей Станиславович</v>
      </c>
      <c r="O578" t="s">
        <v>36</v>
      </c>
      <c r="P578" t="s">
        <v>209</v>
      </c>
      <c r="Q578" t="s">
        <v>288</v>
      </c>
    </row>
    <row r="579" spans="4:17" x14ac:dyDescent="0.25">
      <c r="D579" t="s">
        <v>12</v>
      </c>
      <c r="E579" t="s">
        <v>79</v>
      </c>
      <c r="F579" t="str">
        <f t="shared" ref="F579:F642" si="45">VLOOKUP(D579&amp;E579,J:M,4,0)</f>
        <v>2023-12-04</v>
      </c>
      <c r="G579" t="str">
        <f t="shared" ref="G579:G642" si="46">VLOOKUP(D579&amp;E579,N:Q,4,0)</f>
        <v>2023-12-04</v>
      </c>
      <c r="H579">
        <f t="shared" ref="H579:H642" si="47">G579-F579</f>
        <v>0</v>
      </c>
      <c r="J579" t="str">
        <f t="shared" ref="J579:J642" si="48">K579&amp;L579</f>
        <v>Громова Мария ИльиничнаАлексеева Людмила Никитична</v>
      </c>
      <c r="K579" t="s">
        <v>15</v>
      </c>
      <c r="L579" t="s">
        <v>60</v>
      </c>
      <c r="M579" t="s">
        <v>340</v>
      </c>
      <c r="N579" t="str">
        <f t="shared" ref="N579:N642" si="49">O579&amp;P579</f>
        <v>Иванова Анна СергеевнаВолков Никита Кириллович</v>
      </c>
      <c r="O579" t="s">
        <v>48</v>
      </c>
      <c r="P579" t="s">
        <v>240</v>
      </c>
      <c r="Q579" t="s">
        <v>288</v>
      </c>
    </row>
    <row r="580" spans="4:17" x14ac:dyDescent="0.25">
      <c r="D580" t="s">
        <v>12</v>
      </c>
      <c r="E580" t="s">
        <v>359</v>
      </c>
      <c r="F580" t="str">
        <f t="shared" si="45"/>
        <v>2024-07-23</v>
      </c>
      <c r="G580" t="str">
        <f t="shared" si="46"/>
        <v>2024-07-23</v>
      </c>
      <c r="H580">
        <f t="shared" si="47"/>
        <v>0</v>
      </c>
      <c r="J580" t="str">
        <f t="shared" si="48"/>
        <v>Орлов Павел ДенисовичАлексеева Виктория Александровна</v>
      </c>
      <c r="K580" t="s">
        <v>17</v>
      </c>
      <c r="L580" t="s">
        <v>195</v>
      </c>
      <c r="M580" t="s">
        <v>340</v>
      </c>
      <c r="N580" t="str">
        <f t="shared" si="49"/>
        <v>Семенова Ирина ВалерьевнаКузнецов Алексей Михайлович</v>
      </c>
      <c r="O580" t="s">
        <v>46</v>
      </c>
      <c r="P580" t="s">
        <v>228</v>
      </c>
      <c r="Q580" t="s">
        <v>288</v>
      </c>
    </row>
    <row r="581" spans="4:17" x14ac:dyDescent="0.25">
      <c r="D581" t="s">
        <v>12</v>
      </c>
      <c r="E581" t="s">
        <v>239</v>
      </c>
      <c r="F581" t="str">
        <f t="shared" si="45"/>
        <v>2024-04-01</v>
      </c>
      <c r="G581" t="str">
        <f t="shared" si="46"/>
        <v>2024-04-15</v>
      </c>
      <c r="H581">
        <f t="shared" si="47"/>
        <v>14</v>
      </c>
      <c r="J581" t="str">
        <f t="shared" si="48"/>
        <v>Орлов Павел ДенисовичМорозов Сергей Олегович</v>
      </c>
      <c r="K581" t="s">
        <v>17</v>
      </c>
      <c r="L581" t="s">
        <v>150</v>
      </c>
      <c r="M581" t="s">
        <v>341</v>
      </c>
      <c r="N581" t="str">
        <f t="shared" si="49"/>
        <v>Ткаченко Андрей ОлеговичЛебедева Полина Артемовна</v>
      </c>
      <c r="O581" t="s">
        <v>5</v>
      </c>
      <c r="P581" t="s">
        <v>38</v>
      </c>
      <c r="Q581" t="s">
        <v>286</v>
      </c>
    </row>
    <row r="582" spans="4:17" x14ac:dyDescent="0.25">
      <c r="D582" t="s">
        <v>12</v>
      </c>
      <c r="E582" t="s">
        <v>165</v>
      </c>
      <c r="F582" t="str">
        <f t="shared" si="45"/>
        <v>2024-02-19</v>
      </c>
      <c r="G582" t="str">
        <f t="shared" si="46"/>
        <v>2024-02-19</v>
      </c>
      <c r="H582">
        <f t="shared" si="47"/>
        <v>0</v>
      </c>
      <c r="J582" t="str">
        <f t="shared" si="48"/>
        <v>Иванова Анна СергеевнаПетров Алексей Артемович</v>
      </c>
      <c r="K582" t="s">
        <v>48</v>
      </c>
      <c r="L582" t="s">
        <v>151</v>
      </c>
      <c r="M582" t="s">
        <v>341</v>
      </c>
      <c r="N582" t="str">
        <f t="shared" si="49"/>
        <v>Фролов Сергей ВикторовичНовикова Дарья Викторовна</v>
      </c>
      <c r="O582" t="s">
        <v>27</v>
      </c>
      <c r="P582" t="s">
        <v>138</v>
      </c>
      <c r="Q582" t="s">
        <v>286</v>
      </c>
    </row>
    <row r="583" spans="4:17" x14ac:dyDescent="0.25">
      <c r="D583" t="s">
        <v>12</v>
      </c>
      <c r="E583" t="s">
        <v>249</v>
      </c>
      <c r="F583" t="str">
        <f t="shared" si="45"/>
        <v>2024-04-25</v>
      </c>
      <c r="G583" t="str">
        <f t="shared" si="46"/>
        <v>2024-04-25</v>
      </c>
      <c r="H583">
        <f t="shared" si="47"/>
        <v>0</v>
      </c>
      <c r="J583" t="str">
        <f t="shared" si="48"/>
        <v>Иванова Анна СергеевнаОрлов Владимир Геннадьевич</v>
      </c>
      <c r="K583" t="s">
        <v>48</v>
      </c>
      <c r="L583" t="s">
        <v>272</v>
      </c>
      <c r="M583" t="s">
        <v>342</v>
      </c>
      <c r="N583" t="str">
        <f t="shared" si="49"/>
        <v>Сидорова Елена ВасильевнаПетрова Людмила Олеговна</v>
      </c>
      <c r="O583" t="s">
        <v>12</v>
      </c>
      <c r="P583" t="s">
        <v>70</v>
      </c>
      <c r="Q583" t="s">
        <v>286</v>
      </c>
    </row>
    <row r="584" spans="4:17" x14ac:dyDescent="0.25">
      <c r="D584" t="s">
        <v>12</v>
      </c>
      <c r="E584" t="s">
        <v>207</v>
      </c>
      <c r="F584" t="str">
        <f t="shared" si="45"/>
        <v>2023-12-29</v>
      </c>
      <c r="G584" t="str">
        <f t="shared" si="46"/>
        <v>2024-06-17</v>
      </c>
      <c r="H584">
        <f t="shared" si="47"/>
        <v>171</v>
      </c>
      <c r="J584" t="str">
        <f t="shared" si="48"/>
        <v>Иванова Анна СергеевнаКузнецова Валерия Романовна</v>
      </c>
      <c r="K584" t="s">
        <v>48</v>
      </c>
      <c r="L584" t="s">
        <v>71</v>
      </c>
      <c r="M584" t="s">
        <v>343</v>
      </c>
      <c r="N584" t="str">
        <f t="shared" si="49"/>
        <v>Фролов Сергей ВикторовичСтепанов Роман Павлович</v>
      </c>
      <c r="O584" t="s">
        <v>27</v>
      </c>
      <c r="P584" t="s">
        <v>190</v>
      </c>
      <c r="Q584" t="s">
        <v>286</v>
      </c>
    </row>
    <row r="585" spans="4:17" x14ac:dyDescent="0.25">
      <c r="D585" t="s">
        <v>12</v>
      </c>
      <c r="E585" t="s">
        <v>214</v>
      </c>
      <c r="F585" t="str">
        <f t="shared" si="45"/>
        <v>2024-01-15</v>
      </c>
      <c r="G585" t="str">
        <f t="shared" si="46"/>
        <v>2024-01-15</v>
      </c>
      <c r="H585">
        <f t="shared" si="47"/>
        <v>0</v>
      </c>
      <c r="J585" t="str">
        <f t="shared" si="48"/>
        <v>Новикова Ольга ПетровнаФедорова Татьяна Никитична</v>
      </c>
      <c r="K585" t="s">
        <v>10</v>
      </c>
      <c r="L585" t="s">
        <v>292</v>
      </c>
      <c r="M585" t="s">
        <v>343</v>
      </c>
      <c r="N585" t="str">
        <f t="shared" si="49"/>
        <v>Сидорова Елена ВасильевнаСтепанов Александр Юрьевич</v>
      </c>
      <c r="O585" t="s">
        <v>12</v>
      </c>
      <c r="P585" t="s">
        <v>97</v>
      </c>
      <c r="Q585" t="s">
        <v>286</v>
      </c>
    </row>
    <row r="586" spans="4:17" x14ac:dyDescent="0.25">
      <c r="D586" t="s">
        <v>12</v>
      </c>
      <c r="E586" t="s">
        <v>151</v>
      </c>
      <c r="F586" t="str">
        <f t="shared" si="45"/>
        <v>2024-03-11</v>
      </c>
      <c r="G586" t="str">
        <f t="shared" si="46"/>
        <v>2024-07-22</v>
      </c>
      <c r="H586">
        <f t="shared" si="47"/>
        <v>133</v>
      </c>
      <c r="J586" t="str">
        <f t="shared" si="48"/>
        <v>Иванова Анна СергеевнаМорозова София Артемовна</v>
      </c>
      <c r="K586" t="s">
        <v>48</v>
      </c>
      <c r="L586" t="s">
        <v>140</v>
      </c>
      <c r="M586" t="s">
        <v>344</v>
      </c>
      <c r="N586" t="str">
        <f t="shared" si="49"/>
        <v>Сидорова Елена ВасильевнаВолков Константин Алексеевич</v>
      </c>
      <c r="O586" t="s">
        <v>12</v>
      </c>
      <c r="P586" t="s">
        <v>84</v>
      </c>
      <c r="Q586" t="s">
        <v>286</v>
      </c>
    </row>
    <row r="587" spans="4:17" x14ac:dyDescent="0.25">
      <c r="D587" t="s">
        <v>12</v>
      </c>
      <c r="E587" t="s">
        <v>45</v>
      </c>
      <c r="F587" t="str">
        <f t="shared" si="45"/>
        <v>2023-09-11</v>
      </c>
      <c r="G587" t="str">
        <f t="shared" si="46"/>
        <v>2023-09-11</v>
      </c>
      <c r="H587">
        <f t="shared" si="47"/>
        <v>0</v>
      </c>
      <c r="J587" t="str">
        <f t="shared" si="48"/>
        <v>Сидорова Елена ВасильевнаПетрова Дарья Егоровна</v>
      </c>
      <c r="K587" t="s">
        <v>12</v>
      </c>
      <c r="L587" t="s">
        <v>24</v>
      </c>
      <c r="M587" t="s">
        <v>344</v>
      </c>
      <c r="N587" t="str">
        <f t="shared" si="49"/>
        <v>Ткаченко Андрей ОлеговичЕгоров Георгий Никитич</v>
      </c>
      <c r="O587" t="s">
        <v>5</v>
      </c>
      <c r="P587" t="s">
        <v>39</v>
      </c>
      <c r="Q587" t="s">
        <v>286</v>
      </c>
    </row>
    <row r="588" spans="4:17" x14ac:dyDescent="0.25">
      <c r="D588" t="s">
        <v>12</v>
      </c>
      <c r="E588" t="s">
        <v>171</v>
      </c>
      <c r="F588" t="str">
        <f t="shared" si="45"/>
        <v>2024-08-14</v>
      </c>
      <c r="G588" t="str">
        <f t="shared" si="46"/>
        <v>2024-08-14</v>
      </c>
      <c r="H588">
        <f t="shared" si="47"/>
        <v>0</v>
      </c>
      <c r="J588" t="str">
        <f t="shared" si="48"/>
        <v>Иванова Анна СергеевнаВолков Роман Иванович</v>
      </c>
      <c r="K588" t="s">
        <v>48</v>
      </c>
      <c r="L588" t="s">
        <v>75</v>
      </c>
      <c r="M588" t="s">
        <v>344</v>
      </c>
      <c r="N588" t="str">
        <f t="shared" si="49"/>
        <v>Орлов Павел ДенисовичМорозова Наталья Никитична</v>
      </c>
      <c r="O588" t="s">
        <v>17</v>
      </c>
      <c r="P588" t="s">
        <v>144</v>
      </c>
      <c r="Q588" t="s">
        <v>286</v>
      </c>
    </row>
    <row r="589" spans="4:17" x14ac:dyDescent="0.25">
      <c r="D589" t="s">
        <v>12</v>
      </c>
      <c r="E589" t="s">
        <v>256</v>
      </c>
      <c r="F589" t="str">
        <f t="shared" si="45"/>
        <v>2024-06-10</v>
      </c>
      <c r="G589" t="str">
        <f t="shared" si="46"/>
        <v>2024-08-12</v>
      </c>
      <c r="H589">
        <f t="shared" si="47"/>
        <v>63</v>
      </c>
      <c r="J589" t="str">
        <f t="shared" si="48"/>
        <v>Семенова Ирина ВалерьевнаПетрова Наталья Геннадьевна</v>
      </c>
      <c r="K589" t="s">
        <v>46</v>
      </c>
      <c r="L589" t="s">
        <v>82</v>
      </c>
      <c r="M589" t="s">
        <v>344</v>
      </c>
      <c r="N589" t="str">
        <f t="shared" si="49"/>
        <v>Новикова Ольга ПетровнаСмирнова София Ивановна</v>
      </c>
      <c r="O589" t="s">
        <v>10</v>
      </c>
      <c r="P589" t="s">
        <v>25</v>
      </c>
      <c r="Q589" t="s">
        <v>285</v>
      </c>
    </row>
    <row r="590" spans="4:17" x14ac:dyDescent="0.25">
      <c r="D590" t="s">
        <v>12</v>
      </c>
      <c r="E590" t="s">
        <v>98</v>
      </c>
      <c r="F590" t="str">
        <f t="shared" si="45"/>
        <v>2024-08-19</v>
      </c>
      <c r="G590" t="str">
        <f t="shared" si="46"/>
        <v>2024-08-19</v>
      </c>
      <c r="H590">
        <f t="shared" si="47"/>
        <v>0</v>
      </c>
      <c r="J590" t="str">
        <f t="shared" si="48"/>
        <v>Сидорова Елена ВасильевнаОрлов Роман Дмитриевич</v>
      </c>
      <c r="K590" t="s">
        <v>12</v>
      </c>
      <c r="L590" t="s">
        <v>239</v>
      </c>
      <c r="M590" t="s">
        <v>344</v>
      </c>
      <c r="N590" t="str">
        <f t="shared" si="49"/>
        <v>Кузнецов Дмитрий ЛьвовичСмирнов Константин Михайлович</v>
      </c>
      <c r="O590" t="s">
        <v>23</v>
      </c>
      <c r="P590" t="s">
        <v>85</v>
      </c>
      <c r="Q590" t="s">
        <v>284</v>
      </c>
    </row>
    <row r="591" spans="4:17" x14ac:dyDescent="0.25">
      <c r="D591" t="s">
        <v>12</v>
      </c>
      <c r="E591" t="s">
        <v>24</v>
      </c>
      <c r="F591" t="str">
        <f t="shared" si="45"/>
        <v>2024-01-29</v>
      </c>
      <c r="G591" t="str">
        <f t="shared" si="46"/>
        <v>2024-04-01</v>
      </c>
      <c r="H591">
        <f t="shared" si="47"/>
        <v>63</v>
      </c>
      <c r="J591" t="str">
        <f t="shared" si="48"/>
        <v>Иванова Анна СергеевнаВолков Алексей Артемович</v>
      </c>
      <c r="K591" t="s">
        <v>48</v>
      </c>
      <c r="L591" t="s">
        <v>111</v>
      </c>
      <c r="M591" t="s">
        <v>344</v>
      </c>
      <c r="N591" t="str">
        <f t="shared" si="49"/>
        <v>Белов Алексей КонстантиновичСмирнова София Ивановна</v>
      </c>
      <c r="O591" t="s">
        <v>8</v>
      </c>
      <c r="P591" t="s">
        <v>25</v>
      </c>
      <c r="Q591" t="s">
        <v>284</v>
      </c>
    </row>
    <row r="592" spans="4:17" x14ac:dyDescent="0.25">
      <c r="D592" t="s">
        <v>12</v>
      </c>
      <c r="E592" t="s">
        <v>123</v>
      </c>
      <c r="F592" t="str">
        <f t="shared" si="45"/>
        <v>2023-10-09</v>
      </c>
      <c r="G592" t="str">
        <f t="shared" si="46"/>
        <v>2023-10-09</v>
      </c>
      <c r="H592">
        <f t="shared" si="47"/>
        <v>0</v>
      </c>
      <c r="J592" t="str">
        <f t="shared" si="48"/>
        <v>Сидорова Елена ВасильевнаКузнецова София Сергеевна</v>
      </c>
      <c r="K592" t="s">
        <v>12</v>
      </c>
      <c r="L592" t="s">
        <v>86</v>
      </c>
      <c r="M592" t="s">
        <v>344</v>
      </c>
      <c r="N592" t="str">
        <f t="shared" si="49"/>
        <v>Белов Алексей КонстантиновичВасильев Никита Викторович</v>
      </c>
      <c r="O592" t="s">
        <v>8</v>
      </c>
      <c r="P592" t="s">
        <v>47</v>
      </c>
      <c r="Q592" t="s">
        <v>283</v>
      </c>
    </row>
    <row r="593" spans="4:17" x14ac:dyDescent="0.25">
      <c r="D593" t="s">
        <v>12</v>
      </c>
      <c r="E593" t="s">
        <v>29</v>
      </c>
      <c r="F593" t="str">
        <f t="shared" si="45"/>
        <v>2023-10-30</v>
      </c>
      <c r="G593" t="str">
        <f t="shared" si="46"/>
        <v>2023-10-30</v>
      </c>
      <c r="H593">
        <f t="shared" si="47"/>
        <v>0</v>
      </c>
      <c r="J593" t="str">
        <f t="shared" si="48"/>
        <v>Белов Алексей КонстантиновичПетрова София Алексеевна</v>
      </c>
      <c r="K593" t="s">
        <v>8</v>
      </c>
      <c r="L593" t="s">
        <v>59</v>
      </c>
      <c r="M593" t="s">
        <v>344</v>
      </c>
      <c r="N593" t="str">
        <f t="shared" si="49"/>
        <v>Белов Алексей КонстантиновичОрлова Анна Дмитриевна</v>
      </c>
      <c r="O593" t="s">
        <v>8</v>
      </c>
      <c r="P593" t="s">
        <v>165</v>
      </c>
      <c r="Q593" t="s">
        <v>283</v>
      </c>
    </row>
    <row r="594" spans="4:17" x14ac:dyDescent="0.25">
      <c r="D594" t="s">
        <v>12</v>
      </c>
      <c r="E594" t="s">
        <v>70</v>
      </c>
      <c r="F594" t="str">
        <f t="shared" si="45"/>
        <v>2024-02-05</v>
      </c>
      <c r="G594" t="str">
        <f t="shared" si="46"/>
        <v>2024-02-05</v>
      </c>
      <c r="H594">
        <f t="shared" si="47"/>
        <v>0</v>
      </c>
      <c r="J594" t="str">
        <f t="shared" si="48"/>
        <v>Иванова Анна СергеевнаМорозова Алиса Андреевна</v>
      </c>
      <c r="K594" t="s">
        <v>48</v>
      </c>
      <c r="L594" t="s">
        <v>125</v>
      </c>
      <c r="M594" t="s">
        <v>344</v>
      </c>
      <c r="N594" t="str">
        <f t="shared" si="49"/>
        <v>Семенова Ирина ВалерьевнаЛебедева Екатерина Сергеевна</v>
      </c>
      <c r="O594" t="s">
        <v>46</v>
      </c>
      <c r="P594" t="s">
        <v>278</v>
      </c>
      <c r="Q594" t="s">
        <v>283</v>
      </c>
    </row>
    <row r="595" spans="4:17" x14ac:dyDescent="0.25">
      <c r="D595" t="s">
        <v>12</v>
      </c>
      <c r="E595" t="s">
        <v>109</v>
      </c>
      <c r="F595" t="str">
        <f t="shared" si="45"/>
        <v>2023-10-30</v>
      </c>
      <c r="G595" t="str">
        <f t="shared" si="46"/>
        <v>2023-10-30</v>
      </c>
      <c r="H595">
        <f t="shared" si="47"/>
        <v>0</v>
      </c>
      <c r="J595" t="str">
        <f t="shared" si="48"/>
        <v>Семенова Ирина ВалерьевнаФедорова Вероника Ивановна</v>
      </c>
      <c r="K595" t="s">
        <v>46</v>
      </c>
      <c r="L595" t="s">
        <v>107</v>
      </c>
      <c r="M595" t="s">
        <v>345</v>
      </c>
      <c r="N595" t="str">
        <f t="shared" si="49"/>
        <v>Ткаченко Андрей ОлеговичИванов Роман Никитич</v>
      </c>
      <c r="O595" t="s">
        <v>5</v>
      </c>
      <c r="P595" t="s">
        <v>227</v>
      </c>
      <c r="Q595" t="s">
        <v>279</v>
      </c>
    </row>
    <row r="596" spans="4:17" x14ac:dyDescent="0.25">
      <c r="D596" t="s">
        <v>12</v>
      </c>
      <c r="E596" t="s">
        <v>118</v>
      </c>
      <c r="F596" t="str">
        <f t="shared" si="45"/>
        <v>2024-05-06</v>
      </c>
      <c r="G596" t="str">
        <f t="shared" si="46"/>
        <v>2024-05-06</v>
      </c>
      <c r="H596">
        <f t="shared" si="47"/>
        <v>0</v>
      </c>
      <c r="J596" t="str">
        <f t="shared" si="48"/>
        <v>Петров Владимир КирилловичФедоров Александр Дмитриевич</v>
      </c>
      <c r="K596" t="s">
        <v>36</v>
      </c>
      <c r="L596" t="s">
        <v>136</v>
      </c>
      <c r="M596" t="s">
        <v>345</v>
      </c>
      <c r="N596" t="str">
        <f t="shared" si="49"/>
        <v>Новикова Ольга ПетровнаСеменов Алексей Сергеевич</v>
      </c>
      <c r="O596" t="s">
        <v>10</v>
      </c>
      <c r="P596" t="s">
        <v>280</v>
      </c>
      <c r="Q596" t="s">
        <v>279</v>
      </c>
    </row>
    <row r="597" spans="4:17" x14ac:dyDescent="0.25">
      <c r="D597" t="s">
        <v>12</v>
      </c>
      <c r="E597" t="s">
        <v>280</v>
      </c>
      <c r="F597" t="str">
        <f t="shared" si="45"/>
        <v>2024-03-04</v>
      </c>
      <c r="G597" t="str">
        <f t="shared" si="46"/>
        <v>2024-03-04</v>
      </c>
      <c r="H597">
        <f t="shared" si="47"/>
        <v>0</v>
      </c>
      <c r="J597" t="str">
        <f t="shared" si="48"/>
        <v>Сидорова Елена ВасильевнаФедоров Дмитрий Викторович</v>
      </c>
      <c r="K597" t="s">
        <v>12</v>
      </c>
      <c r="L597" t="s">
        <v>157</v>
      </c>
      <c r="M597" t="s">
        <v>346</v>
      </c>
      <c r="N597" t="str">
        <f t="shared" si="49"/>
        <v>Ткаченко Андрей ОлеговичПавлова Анна Михайловна</v>
      </c>
      <c r="O597" t="s">
        <v>5</v>
      </c>
      <c r="P597" t="s">
        <v>191</v>
      </c>
      <c r="Q597" t="s">
        <v>279</v>
      </c>
    </row>
    <row r="598" spans="4:17" x14ac:dyDescent="0.25">
      <c r="D598" t="s">
        <v>12</v>
      </c>
      <c r="E598" t="s">
        <v>61</v>
      </c>
      <c r="F598" t="str">
        <f t="shared" si="45"/>
        <v>2024-07-08</v>
      </c>
      <c r="G598" t="str">
        <f t="shared" si="46"/>
        <v>2024-07-08</v>
      </c>
      <c r="H598">
        <f t="shared" si="47"/>
        <v>0</v>
      </c>
      <c r="J598" t="str">
        <f t="shared" si="48"/>
        <v>Сидорова Елена ВасильевнаКузнецова Валерия Романовна</v>
      </c>
      <c r="K598" t="s">
        <v>12</v>
      </c>
      <c r="L598" t="s">
        <v>71</v>
      </c>
      <c r="M598" t="s">
        <v>346</v>
      </c>
      <c r="N598" t="str">
        <f t="shared" si="49"/>
        <v>Сидорова Елена ВасильевнаИванова Анна Викторовна</v>
      </c>
      <c r="O598" t="s">
        <v>12</v>
      </c>
      <c r="P598" t="s">
        <v>281</v>
      </c>
      <c r="Q598" t="s">
        <v>279</v>
      </c>
    </row>
    <row r="599" spans="4:17" x14ac:dyDescent="0.25">
      <c r="D599" t="s">
        <v>12</v>
      </c>
      <c r="E599" t="s">
        <v>13</v>
      </c>
      <c r="F599" t="str">
        <f t="shared" si="45"/>
        <v>2023-09-04</v>
      </c>
      <c r="G599" t="str">
        <f t="shared" si="46"/>
        <v>2023-09-04</v>
      </c>
      <c r="H599">
        <f t="shared" si="47"/>
        <v>0</v>
      </c>
      <c r="J599" t="str">
        <f t="shared" si="48"/>
        <v>Кузнецов Дмитрий ЛьвовичЕгоров Георгий Никитич</v>
      </c>
      <c r="K599" t="s">
        <v>23</v>
      </c>
      <c r="L599" t="s">
        <v>39</v>
      </c>
      <c r="M599" t="s">
        <v>346</v>
      </c>
      <c r="N599" t="str">
        <f t="shared" si="49"/>
        <v>Сидорова Елена ВасильевнаПетрова Дарья Егоровна</v>
      </c>
      <c r="O599" t="s">
        <v>12</v>
      </c>
      <c r="P599" t="s">
        <v>24</v>
      </c>
      <c r="Q599" t="s">
        <v>279</v>
      </c>
    </row>
    <row r="600" spans="4:17" x14ac:dyDescent="0.25">
      <c r="D600" t="s">
        <v>12</v>
      </c>
      <c r="E600" t="s">
        <v>185</v>
      </c>
      <c r="F600" t="str">
        <f t="shared" si="45"/>
        <v>2024-05-09</v>
      </c>
      <c r="G600" t="str">
        <f t="shared" si="46"/>
        <v>2024-05-22</v>
      </c>
      <c r="H600">
        <f t="shared" si="47"/>
        <v>13</v>
      </c>
      <c r="J600" t="str">
        <f t="shared" si="48"/>
        <v>Кузнецов Дмитрий ЛьвовичКузнецов Алексей Михайлович</v>
      </c>
      <c r="K600" t="s">
        <v>23</v>
      </c>
      <c r="L600" t="s">
        <v>228</v>
      </c>
      <c r="M600" t="s">
        <v>346</v>
      </c>
      <c r="N600" t="str">
        <f t="shared" si="49"/>
        <v>Петров Владимир КирилловичОрлов Алексей Сергеевич</v>
      </c>
      <c r="O600" t="s">
        <v>36</v>
      </c>
      <c r="P600" t="s">
        <v>53</v>
      </c>
      <c r="Q600" t="s">
        <v>279</v>
      </c>
    </row>
    <row r="601" spans="4:17" x14ac:dyDescent="0.25">
      <c r="D601" t="s">
        <v>12</v>
      </c>
      <c r="E601" t="s">
        <v>287</v>
      </c>
      <c r="F601" t="str">
        <f t="shared" si="45"/>
        <v>2024-07-08</v>
      </c>
      <c r="G601" t="str">
        <f t="shared" si="46"/>
        <v>2024-07-08</v>
      </c>
      <c r="H601">
        <f t="shared" si="47"/>
        <v>0</v>
      </c>
      <c r="J601" t="str">
        <f t="shared" si="48"/>
        <v>Иванова Анна СергеевнаПетрова Дарья Егоровна</v>
      </c>
      <c r="K601" t="s">
        <v>48</v>
      </c>
      <c r="L601" t="s">
        <v>24</v>
      </c>
      <c r="M601" t="s">
        <v>347</v>
      </c>
      <c r="N601" t="str">
        <f t="shared" si="49"/>
        <v>Новикова Ольга ПетровнаПопова Дарья Владимировна</v>
      </c>
      <c r="O601" t="s">
        <v>10</v>
      </c>
      <c r="P601" t="s">
        <v>282</v>
      </c>
      <c r="Q601" t="s">
        <v>279</v>
      </c>
    </row>
    <row r="602" spans="4:17" x14ac:dyDescent="0.25">
      <c r="D602" t="s">
        <v>12</v>
      </c>
      <c r="E602" t="s">
        <v>270</v>
      </c>
      <c r="F602" t="str">
        <f t="shared" si="45"/>
        <v>2024-05-08</v>
      </c>
      <c r="G602" t="str">
        <f t="shared" si="46"/>
        <v>2024-05-08</v>
      </c>
      <c r="H602">
        <f t="shared" si="47"/>
        <v>0</v>
      </c>
      <c r="J602" t="str">
        <f t="shared" si="48"/>
        <v>Фролов Сергей ВикторовичФедорова Наталья Александровна</v>
      </c>
      <c r="K602" t="s">
        <v>27</v>
      </c>
      <c r="L602" t="s">
        <v>31</v>
      </c>
      <c r="M602" t="s">
        <v>347</v>
      </c>
      <c r="N602" t="str">
        <f t="shared" si="49"/>
        <v>Фролов Сергей ВикторовичСтепанов Никита Михайлович</v>
      </c>
      <c r="O602" t="s">
        <v>27</v>
      </c>
      <c r="P602" t="s">
        <v>68</v>
      </c>
      <c r="Q602" t="s">
        <v>279</v>
      </c>
    </row>
    <row r="603" spans="4:17" x14ac:dyDescent="0.25">
      <c r="D603" t="s">
        <v>12</v>
      </c>
      <c r="E603" t="s">
        <v>25</v>
      </c>
      <c r="F603" t="str">
        <f t="shared" si="45"/>
        <v>2023-09-06</v>
      </c>
      <c r="G603" t="str">
        <f t="shared" si="46"/>
        <v>2023-09-06</v>
      </c>
      <c r="H603">
        <f t="shared" si="47"/>
        <v>0</v>
      </c>
      <c r="J603" t="str">
        <f t="shared" si="48"/>
        <v>Семенова Ирина ВалерьевнаКузнецов Никита Сергеевич</v>
      </c>
      <c r="K603" t="s">
        <v>46</v>
      </c>
      <c r="L603" t="s">
        <v>248</v>
      </c>
      <c r="M603" t="s">
        <v>348</v>
      </c>
      <c r="N603" t="str">
        <f t="shared" si="49"/>
        <v>Орлов Павел ДенисовичКузнецов Никита Сергеевич</v>
      </c>
      <c r="O603" t="s">
        <v>17</v>
      </c>
      <c r="P603" t="s">
        <v>248</v>
      </c>
      <c r="Q603" t="s">
        <v>279</v>
      </c>
    </row>
    <row r="604" spans="4:17" x14ac:dyDescent="0.25">
      <c r="D604" t="s">
        <v>12</v>
      </c>
      <c r="E604" t="s">
        <v>97</v>
      </c>
      <c r="F604" t="str">
        <f t="shared" si="45"/>
        <v>2024-02-05</v>
      </c>
      <c r="G604" t="str">
        <f t="shared" si="46"/>
        <v>2024-07-22</v>
      </c>
      <c r="H604">
        <f t="shared" si="47"/>
        <v>168</v>
      </c>
      <c r="J604" t="str">
        <f t="shared" si="48"/>
        <v>Новикова Ольга ПетровнаПавлов Матвей Дмитриевич</v>
      </c>
      <c r="K604" t="s">
        <v>10</v>
      </c>
      <c r="L604" t="s">
        <v>103</v>
      </c>
      <c r="M604" t="s">
        <v>349</v>
      </c>
      <c r="N604" t="str">
        <f t="shared" si="49"/>
        <v>Яковлев Артем ИгоревичНиколаева Вероника Юрьевна</v>
      </c>
      <c r="O604" t="s">
        <v>52</v>
      </c>
      <c r="P604" t="s">
        <v>202</v>
      </c>
      <c r="Q604" t="s">
        <v>279</v>
      </c>
    </row>
    <row r="605" spans="4:17" x14ac:dyDescent="0.25">
      <c r="D605" t="s">
        <v>12</v>
      </c>
      <c r="E605" t="s">
        <v>68</v>
      </c>
      <c r="F605" t="str">
        <f t="shared" si="45"/>
        <v>2023-09-18</v>
      </c>
      <c r="G605" t="str">
        <f t="shared" si="46"/>
        <v>2023-09-18</v>
      </c>
      <c r="H605">
        <f t="shared" si="47"/>
        <v>0</v>
      </c>
      <c r="J605" t="str">
        <f t="shared" si="48"/>
        <v>Иванова Анна СергеевнаНовиков Сергей Никитич</v>
      </c>
      <c r="K605" t="s">
        <v>48</v>
      </c>
      <c r="L605" t="s">
        <v>197</v>
      </c>
      <c r="M605" t="s">
        <v>349</v>
      </c>
      <c r="N605" t="str">
        <f t="shared" si="49"/>
        <v>Кузнецов Дмитрий ЛьвовичОрлов Максим Егорович</v>
      </c>
      <c r="O605" t="s">
        <v>23</v>
      </c>
      <c r="P605" t="s">
        <v>87</v>
      </c>
      <c r="Q605" t="s">
        <v>279</v>
      </c>
    </row>
    <row r="606" spans="4:17" x14ac:dyDescent="0.25">
      <c r="D606" t="s">
        <v>12</v>
      </c>
      <c r="E606" t="s">
        <v>190</v>
      </c>
      <c r="F606" t="str">
        <f t="shared" si="45"/>
        <v>2024-02-29</v>
      </c>
      <c r="G606" t="str">
        <f t="shared" si="46"/>
        <v>2024-02-29</v>
      </c>
      <c r="H606">
        <f t="shared" si="47"/>
        <v>0</v>
      </c>
      <c r="J606" t="str">
        <f t="shared" si="48"/>
        <v>Иванова Анна СергеевнаКозлов Сергей Ильич</v>
      </c>
      <c r="K606" t="s">
        <v>48</v>
      </c>
      <c r="L606" t="s">
        <v>350</v>
      </c>
      <c r="M606" t="s">
        <v>349</v>
      </c>
      <c r="N606" t="str">
        <f t="shared" si="49"/>
        <v>Иванова Анна СергеевнаПавлов Матвей Дмитриевич</v>
      </c>
      <c r="O606" t="s">
        <v>48</v>
      </c>
      <c r="P606" t="s">
        <v>103</v>
      </c>
      <c r="Q606" t="s">
        <v>277</v>
      </c>
    </row>
    <row r="607" spans="4:17" x14ac:dyDescent="0.25">
      <c r="D607" t="s">
        <v>12</v>
      </c>
      <c r="E607" t="s">
        <v>172</v>
      </c>
      <c r="F607" t="str">
        <f t="shared" si="45"/>
        <v>2024-07-19</v>
      </c>
      <c r="G607" t="str">
        <f t="shared" si="46"/>
        <v>2024-07-19</v>
      </c>
      <c r="H607">
        <f t="shared" si="47"/>
        <v>0</v>
      </c>
      <c r="J607" t="str">
        <f t="shared" si="48"/>
        <v>Кузнецов Дмитрий ЛьвовичНиколаев Павел Артемович</v>
      </c>
      <c r="K607" t="s">
        <v>23</v>
      </c>
      <c r="L607" t="s">
        <v>235</v>
      </c>
      <c r="M607" t="s">
        <v>349</v>
      </c>
      <c r="N607" t="str">
        <f t="shared" si="49"/>
        <v>Яковлев Артем ИгоревичКозлова Ирина Павловна</v>
      </c>
      <c r="O607" t="s">
        <v>52</v>
      </c>
      <c r="P607" t="s">
        <v>122</v>
      </c>
      <c r="Q607" t="s">
        <v>277</v>
      </c>
    </row>
    <row r="608" spans="4:17" x14ac:dyDescent="0.25">
      <c r="D608" t="s">
        <v>12</v>
      </c>
      <c r="E608" t="s">
        <v>136</v>
      </c>
      <c r="F608" t="str">
        <f t="shared" si="45"/>
        <v>2024-04-17</v>
      </c>
      <c r="G608" t="str">
        <f t="shared" si="46"/>
        <v>2024-04-17</v>
      </c>
      <c r="H608">
        <f t="shared" si="47"/>
        <v>0</v>
      </c>
      <c r="J608" t="str">
        <f t="shared" si="48"/>
        <v>Орлов Павел ДенисовичНовикова Алиса Юрьевна</v>
      </c>
      <c r="K608" t="s">
        <v>17</v>
      </c>
      <c r="L608" t="s">
        <v>102</v>
      </c>
      <c r="M608" t="s">
        <v>349</v>
      </c>
      <c r="N608" t="str">
        <f t="shared" si="49"/>
        <v>Петров Владимир КирилловичЛебедева Екатерина Сергеевна</v>
      </c>
      <c r="O608" t="s">
        <v>36</v>
      </c>
      <c r="P608" t="s">
        <v>278</v>
      </c>
      <c r="Q608" t="s">
        <v>277</v>
      </c>
    </row>
    <row r="609" spans="4:17" x14ac:dyDescent="0.25">
      <c r="D609" t="s">
        <v>12</v>
      </c>
      <c r="E609" t="s">
        <v>157</v>
      </c>
      <c r="F609" t="str">
        <f t="shared" si="45"/>
        <v>2024-04-03</v>
      </c>
      <c r="G609" t="str">
        <f t="shared" si="46"/>
        <v>2024-04-03</v>
      </c>
      <c r="H609">
        <f t="shared" si="47"/>
        <v>0</v>
      </c>
      <c r="J609" t="str">
        <f t="shared" si="48"/>
        <v>Фролов Сергей ВикторовичПетров Сергей Викторович</v>
      </c>
      <c r="K609" t="s">
        <v>27</v>
      </c>
      <c r="L609" t="s">
        <v>98</v>
      </c>
      <c r="M609" t="s">
        <v>349</v>
      </c>
      <c r="N609" t="str">
        <f t="shared" si="49"/>
        <v>Громова Мария ИльиничнаЕгорова Полина Сергеевна</v>
      </c>
      <c r="O609" t="s">
        <v>15</v>
      </c>
      <c r="P609" t="s">
        <v>19</v>
      </c>
      <c r="Q609" t="s">
        <v>276</v>
      </c>
    </row>
    <row r="610" spans="4:17" x14ac:dyDescent="0.25">
      <c r="D610" t="s">
        <v>12</v>
      </c>
      <c r="E610" t="s">
        <v>107</v>
      </c>
      <c r="F610" t="str">
        <f t="shared" si="45"/>
        <v>2024-03-18</v>
      </c>
      <c r="G610" t="str">
        <f t="shared" si="46"/>
        <v>2024-08-08</v>
      </c>
      <c r="H610">
        <f t="shared" si="47"/>
        <v>143</v>
      </c>
      <c r="J610" t="str">
        <f t="shared" si="48"/>
        <v>Новикова Ольга ПетровнаНиколаева Ирина Владимировна</v>
      </c>
      <c r="K610" t="s">
        <v>10</v>
      </c>
      <c r="L610" t="s">
        <v>66</v>
      </c>
      <c r="M610" t="s">
        <v>349</v>
      </c>
      <c r="N610" t="str">
        <f t="shared" si="49"/>
        <v>Кузнецов Дмитрий ЛьвовичПавлова Екатерина Павловна</v>
      </c>
      <c r="O610" t="s">
        <v>23</v>
      </c>
      <c r="P610" t="s">
        <v>57</v>
      </c>
      <c r="Q610" t="s">
        <v>276</v>
      </c>
    </row>
    <row r="611" spans="4:17" x14ac:dyDescent="0.25">
      <c r="D611" t="s">
        <v>5</v>
      </c>
      <c r="E611" t="s">
        <v>92</v>
      </c>
      <c r="F611" t="str">
        <f t="shared" si="45"/>
        <v>2024-06-28</v>
      </c>
      <c r="G611" t="str">
        <f t="shared" si="46"/>
        <v>2024-06-28</v>
      </c>
      <c r="H611">
        <f t="shared" si="47"/>
        <v>0</v>
      </c>
      <c r="J611" t="str">
        <f t="shared" si="48"/>
        <v>Громова Мария ИльиничнаКузнецов Никита Сергеевич</v>
      </c>
      <c r="K611" t="s">
        <v>15</v>
      </c>
      <c r="L611" t="s">
        <v>248</v>
      </c>
      <c r="M611" t="s">
        <v>349</v>
      </c>
      <c r="N611" t="str">
        <f t="shared" si="49"/>
        <v>Семенова Ирина ВалерьевнаМорозов Дмитрий Кириллович</v>
      </c>
      <c r="O611" t="s">
        <v>46</v>
      </c>
      <c r="P611" t="s">
        <v>32</v>
      </c>
      <c r="Q611" t="s">
        <v>276</v>
      </c>
    </row>
    <row r="612" spans="4:17" x14ac:dyDescent="0.25">
      <c r="D612" t="s">
        <v>5</v>
      </c>
      <c r="E612" t="s">
        <v>64</v>
      </c>
      <c r="F612" t="str">
        <f t="shared" si="45"/>
        <v>2023-09-18</v>
      </c>
      <c r="G612" t="str">
        <f t="shared" si="46"/>
        <v>2023-09-18</v>
      </c>
      <c r="H612">
        <f t="shared" si="47"/>
        <v>0</v>
      </c>
      <c r="J612" t="str">
        <f t="shared" si="48"/>
        <v>Семенова Ирина ВалерьевнаПопова Светлана Владимировна</v>
      </c>
      <c r="K612" t="s">
        <v>46</v>
      </c>
      <c r="L612" t="s">
        <v>316</v>
      </c>
      <c r="M612" t="s">
        <v>349</v>
      </c>
      <c r="N612" t="str">
        <f t="shared" si="49"/>
        <v>Семенова Ирина ВалерьевнаКозлов Михаил Артемович</v>
      </c>
      <c r="O612" t="s">
        <v>46</v>
      </c>
      <c r="P612" t="s">
        <v>273</v>
      </c>
      <c r="Q612" t="s">
        <v>274</v>
      </c>
    </row>
    <row r="613" spans="4:17" x14ac:dyDescent="0.25">
      <c r="D613" t="s">
        <v>5</v>
      </c>
      <c r="E613" t="s">
        <v>195</v>
      </c>
      <c r="F613" t="str">
        <f t="shared" si="45"/>
        <v>2024-06-24</v>
      </c>
      <c r="G613" t="str">
        <f t="shared" si="46"/>
        <v>2024-06-24</v>
      </c>
      <c r="H613">
        <f t="shared" si="47"/>
        <v>0</v>
      </c>
      <c r="J613" t="str">
        <f t="shared" si="48"/>
        <v>Белов Алексей КонстантиновичЛебедев Артур Олегович</v>
      </c>
      <c r="K613" t="s">
        <v>8</v>
      </c>
      <c r="L613" t="s">
        <v>258</v>
      </c>
      <c r="M613" t="s">
        <v>349</v>
      </c>
      <c r="N613" t="str">
        <f t="shared" si="49"/>
        <v>Ткаченко Андрей ОлеговичСтепанов Алексей Артемович</v>
      </c>
      <c r="O613" t="s">
        <v>5</v>
      </c>
      <c r="P613" t="s">
        <v>206</v>
      </c>
      <c r="Q613" t="s">
        <v>274</v>
      </c>
    </row>
    <row r="614" spans="4:17" x14ac:dyDescent="0.25">
      <c r="D614" t="s">
        <v>5</v>
      </c>
      <c r="E614" t="s">
        <v>180</v>
      </c>
      <c r="F614" t="str">
        <f t="shared" si="45"/>
        <v>2024-03-14</v>
      </c>
      <c r="G614" t="str">
        <f t="shared" si="46"/>
        <v>2024-03-14</v>
      </c>
      <c r="H614">
        <f t="shared" si="47"/>
        <v>0</v>
      </c>
      <c r="J614" t="str">
        <f t="shared" si="48"/>
        <v>Иванова Анна СергеевнаСтепанов Алексей Артемович</v>
      </c>
      <c r="K614" t="s">
        <v>48</v>
      </c>
      <c r="L614" t="s">
        <v>206</v>
      </c>
      <c r="M614" t="s">
        <v>349</v>
      </c>
      <c r="N614" t="str">
        <f t="shared" si="49"/>
        <v>Кузнецов Дмитрий ЛьвовичКузнецова Валерия Романовна</v>
      </c>
      <c r="O614" t="s">
        <v>23</v>
      </c>
      <c r="P614" t="s">
        <v>71</v>
      </c>
      <c r="Q614" t="s">
        <v>274</v>
      </c>
    </row>
    <row r="615" spans="4:17" x14ac:dyDescent="0.25">
      <c r="D615" t="s">
        <v>5</v>
      </c>
      <c r="E615" t="s">
        <v>304</v>
      </c>
      <c r="F615" t="str">
        <f t="shared" si="45"/>
        <v>2024-03-19</v>
      </c>
      <c r="G615" t="str">
        <f t="shared" si="46"/>
        <v>2024-08-27</v>
      </c>
      <c r="H615">
        <f t="shared" si="47"/>
        <v>161</v>
      </c>
      <c r="J615" t="str">
        <f t="shared" si="48"/>
        <v>Новикова Ольга ПетровнаАлексеева Алиса Ильинична</v>
      </c>
      <c r="K615" t="s">
        <v>10</v>
      </c>
      <c r="L615" t="s">
        <v>64</v>
      </c>
      <c r="M615" t="s">
        <v>349</v>
      </c>
      <c r="N615" t="str">
        <f t="shared" si="49"/>
        <v>Новикова Ольга ПетровнаПавлов Константин Никитич</v>
      </c>
      <c r="O615" t="s">
        <v>10</v>
      </c>
      <c r="P615" t="s">
        <v>232</v>
      </c>
      <c r="Q615" t="s">
        <v>274</v>
      </c>
    </row>
    <row r="616" spans="4:17" x14ac:dyDescent="0.25">
      <c r="D616" t="s">
        <v>5</v>
      </c>
      <c r="E616" t="s">
        <v>116</v>
      </c>
      <c r="F616" t="str">
        <f t="shared" si="45"/>
        <v>2023-10-05</v>
      </c>
      <c r="G616" t="str">
        <f t="shared" si="46"/>
        <v>2023-10-05</v>
      </c>
      <c r="H616">
        <f t="shared" si="47"/>
        <v>0</v>
      </c>
      <c r="J616" t="str">
        <f t="shared" si="48"/>
        <v>Громова Мария ИльиничнаПетрова Полина Дмитриевна</v>
      </c>
      <c r="K616" t="s">
        <v>15</v>
      </c>
      <c r="L616" t="s">
        <v>109</v>
      </c>
      <c r="M616" t="s">
        <v>351</v>
      </c>
      <c r="N616" t="str">
        <f t="shared" si="49"/>
        <v>Орлов Павел ДенисовичПетрова Юлия Геннадьевна</v>
      </c>
      <c r="O616" t="s">
        <v>17</v>
      </c>
      <c r="P616" t="s">
        <v>275</v>
      </c>
      <c r="Q616" t="s">
        <v>274</v>
      </c>
    </row>
    <row r="617" spans="4:17" x14ac:dyDescent="0.25">
      <c r="D617" t="s">
        <v>5</v>
      </c>
      <c r="E617" t="s">
        <v>39</v>
      </c>
      <c r="F617" t="str">
        <f t="shared" si="45"/>
        <v>2023-12-15</v>
      </c>
      <c r="G617" t="str">
        <f t="shared" si="46"/>
        <v>2024-02-05</v>
      </c>
      <c r="H617">
        <f t="shared" si="47"/>
        <v>52</v>
      </c>
      <c r="J617" t="str">
        <f t="shared" si="48"/>
        <v>Семенова Ирина ВалерьевнаИванова Анна Викторовна</v>
      </c>
      <c r="K617" t="s">
        <v>46</v>
      </c>
      <c r="L617" t="s">
        <v>281</v>
      </c>
      <c r="M617" t="s">
        <v>352</v>
      </c>
      <c r="N617" t="str">
        <f t="shared" si="49"/>
        <v>Белов Алексей КонстантиновичНиколаев Павел Артемович</v>
      </c>
      <c r="O617" t="s">
        <v>8</v>
      </c>
      <c r="P617" t="s">
        <v>235</v>
      </c>
      <c r="Q617" t="s">
        <v>274</v>
      </c>
    </row>
    <row r="618" spans="4:17" x14ac:dyDescent="0.25">
      <c r="D618" t="s">
        <v>5</v>
      </c>
      <c r="E618" t="s">
        <v>130</v>
      </c>
      <c r="F618" t="str">
        <f t="shared" si="45"/>
        <v>2024-02-15</v>
      </c>
      <c r="G618" t="str">
        <f t="shared" si="46"/>
        <v>2024-02-15</v>
      </c>
      <c r="H618">
        <f t="shared" si="47"/>
        <v>0</v>
      </c>
      <c r="J618" t="str">
        <f t="shared" si="48"/>
        <v>Ткаченко Андрей ОлеговичЛебедева Ирина Михайловна</v>
      </c>
      <c r="K618" t="s">
        <v>5</v>
      </c>
      <c r="L618" t="s">
        <v>302</v>
      </c>
      <c r="M618" t="s">
        <v>352</v>
      </c>
      <c r="N618" t="str">
        <f t="shared" si="49"/>
        <v>Новикова Ольга ПетровнаНовикова Алиса Юрьевна</v>
      </c>
      <c r="O618" t="s">
        <v>10</v>
      </c>
      <c r="P618" t="s">
        <v>102</v>
      </c>
      <c r="Q618" t="s">
        <v>269</v>
      </c>
    </row>
    <row r="619" spans="4:17" x14ac:dyDescent="0.25">
      <c r="D619" t="s">
        <v>5</v>
      </c>
      <c r="E619" t="s">
        <v>229</v>
      </c>
      <c r="F619" t="str">
        <f t="shared" si="45"/>
        <v>2024-06-17</v>
      </c>
      <c r="G619" t="str">
        <f t="shared" si="46"/>
        <v>2024-06-17</v>
      </c>
      <c r="H619">
        <f t="shared" si="47"/>
        <v>0</v>
      </c>
      <c r="J619" t="str">
        <f t="shared" si="48"/>
        <v>Ткаченко Андрей ОлеговичКузнецова Валерия Романовна</v>
      </c>
      <c r="K619" t="s">
        <v>5</v>
      </c>
      <c r="L619" t="s">
        <v>71</v>
      </c>
      <c r="M619" t="s">
        <v>353</v>
      </c>
      <c r="N619" t="str">
        <f t="shared" si="49"/>
        <v>Громова Мария ИльиничнаСтепанов Александр Юрьевич</v>
      </c>
      <c r="O619" t="s">
        <v>15</v>
      </c>
      <c r="P619" t="s">
        <v>97</v>
      </c>
      <c r="Q619" t="s">
        <v>269</v>
      </c>
    </row>
    <row r="620" spans="4:17" x14ac:dyDescent="0.25">
      <c r="D620" t="s">
        <v>5</v>
      </c>
      <c r="E620" t="s">
        <v>227</v>
      </c>
      <c r="F620" t="str">
        <f t="shared" si="45"/>
        <v>2024-01-29</v>
      </c>
      <c r="G620" t="str">
        <f t="shared" si="46"/>
        <v>2024-01-29</v>
      </c>
      <c r="H620">
        <f t="shared" si="47"/>
        <v>0</v>
      </c>
      <c r="J620" t="str">
        <f t="shared" si="48"/>
        <v>Семенова Ирина ВалерьевнаВасильева Наталья Никитична</v>
      </c>
      <c r="K620" t="s">
        <v>46</v>
      </c>
      <c r="L620" t="s">
        <v>116</v>
      </c>
      <c r="M620" t="s">
        <v>353</v>
      </c>
      <c r="N620" t="str">
        <f t="shared" si="49"/>
        <v>Петров Владимир КирилловичСидорова Виктория Ильинична</v>
      </c>
      <c r="O620" t="s">
        <v>36</v>
      </c>
      <c r="P620" t="s">
        <v>270</v>
      </c>
      <c r="Q620" t="s">
        <v>269</v>
      </c>
    </row>
    <row r="621" spans="4:17" x14ac:dyDescent="0.25">
      <c r="D621" t="s">
        <v>5</v>
      </c>
      <c r="E621" t="s">
        <v>264</v>
      </c>
      <c r="F621" t="str">
        <f t="shared" si="45"/>
        <v>2024-09-02</v>
      </c>
      <c r="G621" t="str">
        <f t="shared" si="46"/>
        <v>2024-09-02</v>
      </c>
      <c r="H621">
        <f t="shared" si="47"/>
        <v>0</v>
      </c>
      <c r="J621" t="str">
        <f t="shared" si="48"/>
        <v>Орлов Павел ДенисовичАлексеева Ксения Андреевна</v>
      </c>
      <c r="K621" t="s">
        <v>17</v>
      </c>
      <c r="L621" t="s">
        <v>184</v>
      </c>
      <c r="M621" t="s">
        <v>354</v>
      </c>
      <c r="N621" t="str">
        <f t="shared" si="49"/>
        <v>Фролов Сергей ВикторовичИванова Екатерина Егоровна</v>
      </c>
      <c r="O621" t="s">
        <v>27</v>
      </c>
      <c r="P621" t="s">
        <v>131</v>
      </c>
      <c r="Q621" t="s">
        <v>269</v>
      </c>
    </row>
    <row r="622" spans="4:17" x14ac:dyDescent="0.25">
      <c r="D622" t="s">
        <v>5</v>
      </c>
      <c r="E622" t="s">
        <v>281</v>
      </c>
      <c r="F622" t="str">
        <f t="shared" si="45"/>
        <v>2024-04-24</v>
      </c>
      <c r="G622" t="str">
        <f t="shared" si="46"/>
        <v>2024-04-24</v>
      </c>
      <c r="H622">
        <f t="shared" si="47"/>
        <v>0</v>
      </c>
      <c r="J622" t="str">
        <f t="shared" si="48"/>
        <v>Яковлев Артем ИгоревичСеменова Виктория Владимировна</v>
      </c>
      <c r="K622" t="s">
        <v>52</v>
      </c>
      <c r="L622" t="s">
        <v>73</v>
      </c>
      <c r="M622" t="s">
        <v>354</v>
      </c>
      <c r="N622" t="str">
        <f t="shared" si="49"/>
        <v>Фролов Сергей ВикторовичПопов Михаил Александрович</v>
      </c>
      <c r="O622" t="s">
        <v>27</v>
      </c>
      <c r="P622" t="s">
        <v>271</v>
      </c>
      <c r="Q622" t="s">
        <v>269</v>
      </c>
    </row>
    <row r="623" spans="4:17" x14ac:dyDescent="0.25">
      <c r="D623" t="s">
        <v>5</v>
      </c>
      <c r="E623" t="s">
        <v>131</v>
      </c>
      <c r="F623" t="str">
        <f t="shared" si="45"/>
        <v>2023-10-12</v>
      </c>
      <c r="G623" t="str">
        <f t="shared" si="46"/>
        <v>2024-06-21</v>
      </c>
      <c r="H623">
        <f t="shared" si="47"/>
        <v>253</v>
      </c>
      <c r="J623" t="str">
        <f t="shared" si="48"/>
        <v>Орлов Павел ДенисовичСидорова Виктория Ильинична</v>
      </c>
      <c r="K623" t="s">
        <v>17</v>
      </c>
      <c r="L623" t="s">
        <v>270</v>
      </c>
      <c r="M623" t="s">
        <v>354</v>
      </c>
      <c r="N623" t="str">
        <f t="shared" si="49"/>
        <v>Ткаченко Андрей ОлеговичОрлов Владимир Геннадьевич</v>
      </c>
      <c r="O623" t="s">
        <v>5</v>
      </c>
      <c r="P623" t="s">
        <v>272</v>
      </c>
      <c r="Q623" t="s">
        <v>269</v>
      </c>
    </row>
    <row r="624" spans="4:17" x14ac:dyDescent="0.25">
      <c r="D624" t="s">
        <v>5</v>
      </c>
      <c r="E624" t="s">
        <v>173</v>
      </c>
      <c r="F624" t="str">
        <f t="shared" si="45"/>
        <v>2023-11-06</v>
      </c>
      <c r="G624" t="str">
        <f t="shared" si="46"/>
        <v>2023-11-06</v>
      </c>
      <c r="H624">
        <f t="shared" si="47"/>
        <v>0</v>
      </c>
      <c r="J624" t="str">
        <f t="shared" si="48"/>
        <v>Иванова Анна СергеевнаПетрова Дарья Егоровна</v>
      </c>
      <c r="K624" t="s">
        <v>48</v>
      </c>
      <c r="L624" t="s">
        <v>24</v>
      </c>
      <c r="M624" t="s">
        <v>354</v>
      </c>
      <c r="N624" t="str">
        <f t="shared" si="49"/>
        <v>Белов Алексей КонстантиновичОрлов Алексей Юрьевич</v>
      </c>
      <c r="O624" t="s">
        <v>8</v>
      </c>
      <c r="P624" t="s">
        <v>252</v>
      </c>
      <c r="Q624" t="s">
        <v>269</v>
      </c>
    </row>
    <row r="625" spans="4:17" x14ac:dyDescent="0.25">
      <c r="D625" t="s">
        <v>5</v>
      </c>
      <c r="E625" t="s">
        <v>248</v>
      </c>
      <c r="F625" t="str">
        <f t="shared" si="45"/>
        <v>2024-07-09</v>
      </c>
      <c r="G625" t="str">
        <f t="shared" si="46"/>
        <v>2024-07-09</v>
      </c>
      <c r="H625">
        <f t="shared" si="47"/>
        <v>0</v>
      </c>
      <c r="J625" t="str">
        <f t="shared" si="48"/>
        <v>Сидорова Елена ВасильевнаОрлов Роман Дмитриевич</v>
      </c>
      <c r="K625" t="s">
        <v>12</v>
      </c>
      <c r="L625" t="s">
        <v>239</v>
      </c>
      <c r="M625" t="s">
        <v>354</v>
      </c>
      <c r="N625" t="str">
        <f t="shared" si="49"/>
        <v>Белов Алексей КонстантиновичСидоров Михаил Артемович</v>
      </c>
      <c r="O625" t="s">
        <v>8</v>
      </c>
      <c r="P625" t="s">
        <v>185</v>
      </c>
      <c r="Q625" t="s">
        <v>269</v>
      </c>
    </row>
    <row r="626" spans="4:17" x14ac:dyDescent="0.25">
      <c r="D626" t="s">
        <v>5</v>
      </c>
      <c r="E626" t="s">
        <v>71</v>
      </c>
      <c r="F626" t="str">
        <f t="shared" si="45"/>
        <v>2024-04-12</v>
      </c>
      <c r="G626" t="str">
        <f t="shared" si="46"/>
        <v>2024-04-12</v>
      </c>
      <c r="H626">
        <f t="shared" si="47"/>
        <v>0</v>
      </c>
      <c r="J626" t="str">
        <f t="shared" si="48"/>
        <v>Семенова Ирина ВалерьевнаМорозов Илья Викторович</v>
      </c>
      <c r="K626" t="s">
        <v>46</v>
      </c>
      <c r="L626" t="s">
        <v>231</v>
      </c>
      <c r="M626" t="s">
        <v>355</v>
      </c>
      <c r="N626" t="str">
        <f t="shared" si="49"/>
        <v>Белов Алексей КонстантиновичПопова Ольга Егоровна</v>
      </c>
      <c r="O626" t="s">
        <v>8</v>
      </c>
      <c r="P626" t="s">
        <v>9</v>
      </c>
      <c r="Q626" t="s">
        <v>267</v>
      </c>
    </row>
    <row r="627" spans="4:17" x14ac:dyDescent="0.25">
      <c r="D627" t="s">
        <v>5</v>
      </c>
      <c r="E627" t="s">
        <v>258</v>
      </c>
      <c r="F627" t="str">
        <f t="shared" si="45"/>
        <v>2024-03-05</v>
      </c>
      <c r="G627" t="str">
        <f t="shared" si="46"/>
        <v>2024-03-05</v>
      </c>
      <c r="H627">
        <f t="shared" si="47"/>
        <v>0</v>
      </c>
      <c r="J627" t="str">
        <f t="shared" si="48"/>
        <v>Громова Мария ИльиничнаСеменов Алексей Сергеевич</v>
      </c>
      <c r="K627" t="s">
        <v>15</v>
      </c>
      <c r="L627" t="s">
        <v>280</v>
      </c>
      <c r="M627" t="s">
        <v>355</v>
      </c>
      <c r="N627" t="str">
        <f t="shared" si="49"/>
        <v>Новикова Ольга ПетровнаНиколаева Ирина Романовна</v>
      </c>
      <c r="O627" t="s">
        <v>10</v>
      </c>
      <c r="P627" t="s">
        <v>268</v>
      </c>
      <c r="Q627" t="s">
        <v>267</v>
      </c>
    </row>
    <row r="628" spans="4:17" x14ac:dyDescent="0.25">
      <c r="D628" t="s">
        <v>5</v>
      </c>
      <c r="E628" t="s">
        <v>6</v>
      </c>
      <c r="F628" t="str">
        <f t="shared" si="45"/>
        <v>2023-09-01</v>
      </c>
      <c r="G628" t="str">
        <f t="shared" si="46"/>
        <v>2023-09-01</v>
      </c>
      <c r="H628">
        <f t="shared" si="47"/>
        <v>0</v>
      </c>
      <c r="J628" t="str">
        <f t="shared" si="48"/>
        <v>Фролов Сергей ВикторовичНиколаев Павел Артемович</v>
      </c>
      <c r="K628" t="s">
        <v>27</v>
      </c>
      <c r="L628" t="s">
        <v>235</v>
      </c>
      <c r="M628" t="s">
        <v>355</v>
      </c>
      <c r="N628" t="str">
        <f t="shared" si="49"/>
        <v>Орлов Павел ДенисовичФедорова Алиса Кирилловна</v>
      </c>
      <c r="O628" t="s">
        <v>17</v>
      </c>
      <c r="P628" t="s">
        <v>193</v>
      </c>
      <c r="Q628" t="s">
        <v>267</v>
      </c>
    </row>
    <row r="629" spans="4:17" x14ac:dyDescent="0.25">
      <c r="D629" t="s">
        <v>5</v>
      </c>
      <c r="E629" t="s">
        <v>62</v>
      </c>
      <c r="F629" t="str">
        <f t="shared" si="45"/>
        <v>2024-03-18</v>
      </c>
      <c r="G629" t="str">
        <f t="shared" si="46"/>
        <v>2024-08-29</v>
      </c>
      <c r="H629">
        <f t="shared" si="47"/>
        <v>164</v>
      </c>
      <c r="J629" t="str">
        <f t="shared" si="48"/>
        <v>Семенова Ирина ВалерьевнаЛебедев Павел Кириллович</v>
      </c>
      <c r="K629" t="s">
        <v>46</v>
      </c>
      <c r="L629" t="s">
        <v>6</v>
      </c>
      <c r="M629" t="s">
        <v>356</v>
      </c>
      <c r="N629" t="str">
        <f t="shared" si="49"/>
        <v>Кузнецов Дмитрий ЛьвовичСтепанов Александр Юрьевич</v>
      </c>
      <c r="O629" t="s">
        <v>23</v>
      </c>
      <c r="P629" t="s">
        <v>97</v>
      </c>
      <c r="Q629" t="s">
        <v>267</v>
      </c>
    </row>
    <row r="630" spans="4:17" x14ac:dyDescent="0.25">
      <c r="D630" t="s">
        <v>5</v>
      </c>
      <c r="E630" t="s">
        <v>302</v>
      </c>
      <c r="F630" t="str">
        <f t="shared" si="45"/>
        <v>2024-02-16</v>
      </c>
      <c r="G630" t="str">
        <f t="shared" si="46"/>
        <v>2024-04-11</v>
      </c>
      <c r="H630">
        <f t="shared" si="47"/>
        <v>55</v>
      </c>
      <c r="J630" t="str">
        <f t="shared" si="48"/>
        <v>Сидорова Елена ВасильевнаФедоров Александр Дмитриевич</v>
      </c>
      <c r="K630" t="s">
        <v>12</v>
      </c>
      <c r="L630" t="s">
        <v>136</v>
      </c>
      <c r="M630" t="s">
        <v>356</v>
      </c>
      <c r="N630" t="str">
        <f t="shared" si="49"/>
        <v>Кузнецов Дмитрий ЛьвовичВасильев Георгий Станиславович</v>
      </c>
      <c r="O630" t="s">
        <v>23</v>
      </c>
      <c r="P630" t="s">
        <v>243</v>
      </c>
      <c r="Q630" t="s">
        <v>266</v>
      </c>
    </row>
    <row r="631" spans="4:17" x14ac:dyDescent="0.25">
      <c r="D631" t="s">
        <v>5</v>
      </c>
      <c r="E631" t="s">
        <v>238</v>
      </c>
      <c r="F631" t="str">
        <f t="shared" si="45"/>
        <v>2024-04-22</v>
      </c>
      <c r="G631" t="str">
        <f t="shared" si="46"/>
        <v>2024-04-22</v>
      </c>
      <c r="H631">
        <f t="shared" si="47"/>
        <v>0</v>
      </c>
      <c r="J631" t="str">
        <f t="shared" si="48"/>
        <v>Ткаченко Андрей ОлеговичСеменов Сергей Дмитриевич</v>
      </c>
      <c r="K631" t="s">
        <v>5</v>
      </c>
      <c r="L631" t="s">
        <v>293</v>
      </c>
      <c r="M631" t="s">
        <v>356</v>
      </c>
      <c r="N631" t="str">
        <f t="shared" si="49"/>
        <v>Петров Владимир КирилловичНовикова Дарья Викторовна</v>
      </c>
      <c r="O631" t="s">
        <v>36</v>
      </c>
      <c r="P631" t="s">
        <v>138</v>
      </c>
      <c r="Q631" t="s">
        <v>265</v>
      </c>
    </row>
    <row r="632" spans="4:17" x14ac:dyDescent="0.25">
      <c r="D632" t="s">
        <v>5</v>
      </c>
      <c r="E632" t="s">
        <v>38</v>
      </c>
      <c r="F632" t="str">
        <f t="shared" si="45"/>
        <v>2024-02-05</v>
      </c>
      <c r="G632" t="str">
        <f t="shared" si="46"/>
        <v>2024-02-05</v>
      </c>
      <c r="H632">
        <f t="shared" si="47"/>
        <v>0</v>
      </c>
      <c r="J632" t="str">
        <f t="shared" si="48"/>
        <v>Громова Мария ИльиничнаКузнецова София Сергеевна</v>
      </c>
      <c r="K632" t="s">
        <v>15</v>
      </c>
      <c r="L632" t="s">
        <v>86</v>
      </c>
      <c r="M632" t="s">
        <v>357</v>
      </c>
      <c r="N632" t="str">
        <f t="shared" si="49"/>
        <v>Ткаченко Андрей ОлеговичМорозова Ольга Геннадьевна</v>
      </c>
      <c r="O632" t="s">
        <v>5</v>
      </c>
      <c r="P632" t="s">
        <v>56</v>
      </c>
      <c r="Q632" t="s">
        <v>265</v>
      </c>
    </row>
    <row r="633" spans="4:17" x14ac:dyDescent="0.25">
      <c r="D633" t="s">
        <v>5</v>
      </c>
      <c r="E633" t="s">
        <v>90</v>
      </c>
      <c r="F633" t="str">
        <f t="shared" si="45"/>
        <v>2023-12-18</v>
      </c>
      <c r="G633" t="str">
        <f t="shared" si="46"/>
        <v>2023-12-18</v>
      </c>
      <c r="H633">
        <f t="shared" si="47"/>
        <v>0</v>
      </c>
      <c r="J633" t="str">
        <f t="shared" si="48"/>
        <v>Громова Мария ИльиничнаКозлова Ксения Владимировна</v>
      </c>
      <c r="K633" t="s">
        <v>15</v>
      </c>
      <c r="L633" t="s">
        <v>173</v>
      </c>
      <c r="M633" t="s">
        <v>357</v>
      </c>
      <c r="N633" t="str">
        <f t="shared" si="49"/>
        <v>Сидорова Елена ВасильевнаПавлов Павел Павлович</v>
      </c>
      <c r="O633" t="s">
        <v>12</v>
      </c>
      <c r="P633" t="s">
        <v>207</v>
      </c>
      <c r="Q633" t="s">
        <v>263</v>
      </c>
    </row>
    <row r="634" spans="4:17" x14ac:dyDescent="0.25">
      <c r="D634" t="s">
        <v>5</v>
      </c>
      <c r="E634" t="s">
        <v>335</v>
      </c>
      <c r="F634" t="str">
        <f t="shared" si="45"/>
        <v>2024-07-08</v>
      </c>
      <c r="G634" t="str">
        <f t="shared" si="46"/>
        <v>2024-07-08</v>
      </c>
      <c r="H634">
        <f t="shared" si="47"/>
        <v>0</v>
      </c>
      <c r="J634" t="str">
        <f t="shared" si="48"/>
        <v>Новикова Ольга ПетровнаФедорова Татьяна Никитична</v>
      </c>
      <c r="K634" t="s">
        <v>10</v>
      </c>
      <c r="L634" t="s">
        <v>292</v>
      </c>
      <c r="M634" t="s">
        <v>357</v>
      </c>
      <c r="N634" t="str">
        <f t="shared" si="49"/>
        <v>Семенова Ирина ВалерьевнаИванова Александра Никитична</v>
      </c>
      <c r="O634" t="s">
        <v>46</v>
      </c>
      <c r="P634" t="s">
        <v>264</v>
      </c>
      <c r="Q634" t="s">
        <v>263</v>
      </c>
    </row>
    <row r="635" spans="4:17" x14ac:dyDescent="0.25">
      <c r="D635" t="s">
        <v>5</v>
      </c>
      <c r="E635" t="s">
        <v>44</v>
      </c>
      <c r="F635" t="str">
        <f t="shared" si="45"/>
        <v>2023-09-11</v>
      </c>
      <c r="G635" t="str">
        <f t="shared" si="46"/>
        <v>2023-09-13</v>
      </c>
      <c r="H635">
        <f t="shared" si="47"/>
        <v>2</v>
      </c>
      <c r="J635" t="str">
        <f t="shared" si="48"/>
        <v>Кузнецов Дмитрий ЛьвовичСмирнов Егор Никитич</v>
      </c>
      <c r="K635" t="s">
        <v>23</v>
      </c>
      <c r="L635" t="s">
        <v>296</v>
      </c>
      <c r="M635" t="s">
        <v>358</v>
      </c>
      <c r="N635" t="str">
        <f t="shared" si="49"/>
        <v>Орлов Павел ДенисовичЛебедев Роман Станиславович</v>
      </c>
      <c r="O635" t="s">
        <v>17</v>
      </c>
      <c r="P635" t="s">
        <v>62</v>
      </c>
      <c r="Q635" t="s">
        <v>262</v>
      </c>
    </row>
    <row r="636" spans="4:17" x14ac:dyDescent="0.25">
      <c r="D636" t="s">
        <v>5</v>
      </c>
      <c r="E636" t="s">
        <v>56</v>
      </c>
      <c r="F636" t="str">
        <f t="shared" si="45"/>
        <v>2024-01-17</v>
      </c>
      <c r="G636" t="str">
        <f t="shared" si="46"/>
        <v>2024-01-17</v>
      </c>
      <c r="H636">
        <f t="shared" si="47"/>
        <v>0</v>
      </c>
      <c r="J636" t="str">
        <f t="shared" si="48"/>
        <v>Белов Алексей КонстантиновичСмирнова София Ильинична</v>
      </c>
      <c r="K636" t="s">
        <v>8</v>
      </c>
      <c r="L636" t="s">
        <v>160</v>
      </c>
      <c r="M636" t="s">
        <v>358</v>
      </c>
      <c r="N636" t="str">
        <f t="shared" si="49"/>
        <v>Иванова Анна СергеевнаМорозов Константин Романович</v>
      </c>
      <c r="O636" t="s">
        <v>48</v>
      </c>
      <c r="P636" t="s">
        <v>91</v>
      </c>
      <c r="Q636" t="s">
        <v>262</v>
      </c>
    </row>
    <row r="637" spans="4:17" x14ac:dyDescent="0.25">
      <c r="D637" t="s">
        <v>5</v>
      </c>
      <c r="E637" t="s">
        <v>51</v>
      </c>
      <c r="F637" t="str">
        <f t="shared" si="45"/>
        <v>2023-09-13</v>
      </c>
      <c r="G637" t="str">
        <f t="shared" si="46"/>
        <v>2023-09-13</v>
      </c>
      <c r="H637">
        <f t="shared" si="47"/>
        <v>0</v>
      </c>
      <c r="J637" t="str">
        <f t="shared" si="48"/>
        <v>Петров Владимир КирилловичСеменова Виктория Владимировна</v>
      </c>
      <c r="K637" t="s">
        <v>36</v>
      </c>
      <c r="L637" t="s">
        <v>73</v>
      </c>
      <c r="M637" t="s">
        <v>358</v>
      </c>
      <c r="N637" t="str">
        <f t="shared" si="49"/>
        <v>Орлов Павел ДенисовичСидорова Полина Александровна</v>
      </c>
      <c r="O637" t="s">
        <v>17</v>
      </c>
      <c r="P637" t="s">
        <v>18</v>
      </c>
      <c r="Q637" t="s">
        <v>262</v>
      </c>
    </row>
    <row r="638" spans="4:17" x14ac:dyDescent="0.25">
      <c r="D638" t="s">
        <v>5</v>
      </c>
      <c r="E638" t="s">
        <v>129</v>
      </c>
      <c r="F638" t="str">
        <f t="shared" si="45"/>
        <v>2023-12-11</v>
      </c>
      <c r="G638" t="str">
        <f t="shared" si="46"/>
        <v>2023-12-11</v>
      </c>
      <c r="H638">
        <f t="shared" si="47"/>
        <v>0</v>
      </c>
      <c r="J638" t="str">
        <f t="shared" si="48"/>
        <v>Петров Владимир КирилловичОрлов Михаил Олегович</v>
      </c>
      <c r="K638" t="s">
        <v>36</v>
      </c>
      <c r="L638" t="s">
        <v>359</v>
      </c>
      <c r="M638" t="s">
        <v>358</v>
      </c>
      <c r="N638" t="str">
        <f t="shared" si="49"/>
        <v>Белов Алексей КонстантиновичНиколаев Егор Станиславович</v>
      </c>
      <c r="O638" t="s">
        <v>8</v>
      </c>
      <c r="P638" t="s">
        <v>175</v>
      </c>
      <c r="Q638" t="s">
        <v>262</v>
      </c>
    </row>
    <row r="639" spans="4:17" x14ac:dyDescent="0.25">
      <c r="D639" t="s">
        <v>5</v>
      </c>
      <c r="E639" t="s">
        <v>175</v>
      </c>
      <c r="F639" t="str">
        <f t="shared" si="45"/>
        <v>2023-12-06</v>
      </c>
      <c r="G639" t="str">
        <f t="shared" si="46"/>
        <v>2023-12-06</v>
      </c>
      <c r="H639">
        <f t="shared" si="47"/>
        <v>0</v>
      </c>
      <c r="J639" t="str">
        <f t="shared" si="48"/>
        <v>Ткаченко Андрей ОлеговичЛебедева Людмила Юрьевна</v>
      </c>
      <c r="K639" t="s">
        <v>5</v>
      </c>
      <c r="L639" t="s">
        <v>238</v>
      </c>
      <c r="M639" t="s">
        <v>360</v>
      </c>
      <c r="N639" t="str">
        <f t="shared" si="49"/>
        <v>Сидорова Елена ВасильевнаПавлова Анна Артемовна</v>
      </c>
      <c r="O639" t="s">
        <v>12</v>
      </c>
      <c r="P639" t="s">
        <v>214</v>
      </c>
      <c r="Q639" t="s">
        <v>262</v>
      </c>
    </row>
    <row r="640" spans="4:17" x14ac:dyDescent="0.25">
      <c r="D640" t="s">
        <v>5</v>
      </c>
      <c r="E640" t="s">
        <v>153</v>
      </c>
      <c r="F640" t="str">
        <f t="shared" si="45"/>
        <v>2024-08-19</v>
      </c>
      <c r="G640" t="str">
        <f t="shared" si="46"/>
        <v>2024-08-19</v>
      </c>
      <c r="H640">
        <f t="shared" si="47"/>
        <v>0</v>
      </c>
      <c r="J640" t="str">
        <f t="shared" si="48"/>
        <v>Новикова Ольга ПетровнаКузнецов Павел Егорович</v>
      </c>
      <c r="K640" t="s">
        <v>10</v>
      </c>
      <c r="L640" t="s">
        <v>320</v>
      </c>
      <c r="M640" t="s">
        <v>360</v>
      </c>
      <c r="N640" t="str">
        <f t="shared" si="49"/>
        <v>Семенова Ирина ВалерьевнаМорозова Людмила Юрьевна</v>
      </c>
      <c r="O640" t="s">
        <v>46</v>
      </c>
      <c r="P640" t="s">
        <v>44</v>
      </c>
      <c r="Q640" t="s">
        <v>262</v>
      </c>
    </row>
    <row r="641" spans="4:17" x14ac:dyDescent="0.25">
      <c r="D641" t="s">
        <v>5</v>
      </c>
      <c r="E641" t="s">
        <v>197</v>
      </c>
      <c r="F641" t="str">
        <f t="shared" si="45"/>
        <v>2024-07-18</v>
      </c>
      <c r="G641" t="str">
        <f t="shared" si="46"/>
        <v>2024-07-18</v>
      </c>
      <c r="H641">
        <f t="shared" si="47"/>
        <v>0</v>
      </c>
      <c r="J641" t="str">
        <f t="shared" si="48"/>
        <v>Иванова Анна СергеевнаКозлов Артем Владимирович</v>
      </c>
      <c r="K641" t="s">
        <v>48</v>
      </c>
      <c r="L641" t="s">
        <v>113</v>
      </c>
      <c r="M641" t="s">
        <v>360</v>
      </c>
      <c r="N641" t="str">
        <f t="shared" si="49"/>
        <v>Семенова Ирина ВалерьевнаСеменова Виктория Владимировна</v>
      </c>
      <c r="O641" t="s">
        <v>46</v>
      </c>
      <c r="P641" t="s">
        <v>73</v>
      </c>
      <c r="Q641" t="s">
        <v>262</v>
      </c>
    </row>
    <row r="642" spans="4:17" x14ac:dyDescent="0.25">
      <c r="D642" t="s">
        <v>5</v>
      </c>
      <c r="E642" t="s">
        <v>138</v>
      </c>
      <c r="F642" t="str">
        <f t="shared" si="45"/>
        <v>2023-11-20</v>
      </c>
      <c r="G642" t="str">
        <f t="shared" si="46"/>
        <v>2023-11-20</v>
      </c>
      <c r="H642">
        <f t="shared" si="47"/>
        <v>0</v>
      </c>
      <c r="J642" t="str">
        <f t="shared" si="48"/>
        <v>Иванова Анна СергеевнаКозлова Ксения Владимировна</v>
      </c>
      <c r="K642" t="s">
        <v>48</v>
      </c>
      <c r="L642" t="s">
        <v>173</v>
      </c>
      <c r="M642" t="s">
        <v>360</v>
      </c>
      <c r="N642" t="str">
        <f t="shared" si="49"/>
        <v>Новикова Ольга ПетровнаОрлова Анна Дмитриевна</v>
      </c>
      <c r="O642" t="s">
        <v>10</v>
      </c>
      <c r="P642" t="s">
        <v>165</v>
      </c>
      <c r="Q642" t="s">
        <v>261</v>
      </c>
    </row>
    <row r="643" spans="4:17" x14ac:dyDescent="0.25">
      <c r="D643" t="s">
        <v>5</v>
      </c>
      <c r="E643" t="s">
        <v>53</v>
      </c>
      <c r="F643" t="str">
        <f t="shared" ref="F643:F706" si="50">VLOOKUP(D643&amp;E643,J:M,4,0)</f>
        <v>2024-07-29</v>
      </c>
      <c r="G643" t="str">
        <f t="shared" ref="G643:G706" si="51">VLOOKUP(D643&amp;E643,N:Q,4,0)</f>
        <v>2024-07-29</v>
      </c>
      <c r="H643">
        <f t="shared" ref="H643:H706" si="52">G643-F643</f>
        <v>0</v>
      </c>
      <c r="J643" t="str">
        <f t="shared" ref="J643:J706" si="53">K643&amp;L643</f>
        <v>Семенова Ирина ВалерьевнаНиколаев Павел Артемович</v>
      </c>
      <c r="K643" t="s">
        <v>46</v>
      </c>
      <c r="L643" t="s">
        <v>235</v>
      </c>
      <c r="M643" t="s">
        <v>360</v>
      </c>
      <c r="N643" t="str">
        <f t="shared" ref="N643:N706" si="54">O643&amp;P643</f>
        <v>Яковлев Артем ИгоревичКузнецов Георгий Никитич</v>
      </c>
      <c r="O643" t="s">
        <v>52</v>
      </c>
      <c r="P643" t="s">
        <v>188</v>
      </c>
      <c r="Q643" t="s">
        <v>261</v>
      </c>
    </row>
    <row r="644" spans="4:17" x14ac:dyDescent="0.25">
      <c r="D644" t="s">
        <v>5</v>
      </c>
      <c r="E644" t="s">
        <v>272</v>
      </c>
      <c r="F644" t="str">
        <f t="shared" si="50"/>
        <v>2024-01-22</v>
      </c>
      <c r="G644" t="str">
        <f t="shared" si="51"/>
        <v>2024-01-22</v>
      </c>
      <c r="H644">
        <f t="shared" si="52"/>
        <v>0</v>
      </c>
      <c r="J644" t="str">
        <f t="shared" si="53"/>
        <v>Иванова Анна СергеевнаФедорова Вероника Ивановна</v>
      </c>
      <c r="K644" t="s">
        <v>48</v>
      </c>
      <c r="L644" t="s">
        <v>107</v>
      </c>
      <c r="M644" t="s">
        <v>361</v>
      </c>
      <c r="N644" t="str">
        <f t="shared" si="54"/>
        <v>Орлов Павел ДенисовичАлексеева Алиса Ильинична</v>
      </c>
      <c r="O644" t="s">
        <v>17</v>
      </c>
      <c r="P644" t="s">
        <v>64</v>
      </c>
      <c r="Q644" t="s">
        <v>261</v>
      </c>
    </row>
    <row r="645" spans="4:17" x14ac:dyDescent="0.25">
      <c r="D645" t="s">
        <v>5</v>
      </c>
      <c r="E645" t="s">
        <v>79</v>
      </c>
      <c r="F645" t="str">
        <f t="shared" si="50"/>
        <v>2023-09-25</v>
      </c>
      <c r="G645" t="str">
        <f t="shared" si="51"/>
        <v>2023-09-25</v>
      </c>
      <c r="H645">
        <f t="shared" si="52"/>
        <v>0</v>
      </c>
      <c r="J645" t="str">
        <f t="shared" si="53"/>
        <v>Семенова Ирина ВалерьевнаАлексеева Полина Станиславовна</v>
      </c>
      <c r="K645" t="s">
        <v>46</v>
      </c>
      <c r="L645" t="s">
        <v>180</v>
      </c>
      <c r="M645" t="s">
        <v>361</v>
      </c>
      <c r="N645" t="str">
        <f t="shared" si="54"/>
        <v>Фролов Сергей ВикторовичМорозова Людмила Юрьевна</v>
      </c>
      <c r="O645" t="s">
        <v>27</v>
      </c>
      <c r="P645" t="s">
        <v>44</v>
      </c>
      <c r="Q645" t="s">
        <v>260</v>
      </c>
    </row>
    <row r="646" spans="4:17" x14ac:dyDescent="0.25">
      <c r="D646" t="s">
        <v>5</v>
      </c>
      <c r="E646" t="s">
        <v>34</v>
      </c>
      <c r="F646" t="str">
        <f t="shared" si="50"/>
        <v>2023-09-08</v>
      </c>
      <c r="G646" t="str">
        <f t="shared" si="51"/>
        <v>2023-09-08</v>
      </c>
      <c r="H646">
        <f t="shared" si="52"/>
        <v>0</v>
      </c>
      <c r="J646" t="str">
        <f t="shared" si="53"/>
        <v>Петров Владимир КирилловичСмирнов Михаил Алексеевич</v>
      </c>
      <c r="K646" t="s">
        <v>36</v>
      </c>
      <c r="L646" t="s">
        <v>28</v>
      </c>
      <c r="M646" t="s">
        <v>361</v>
      </c>
      <c r="N646" t="str">
        <f t="shared" si="54"/>
        <v>Громова Мария ИльиничнаНиколаев Александр Романович</v>
      </c>
      <c r="O646" t="s">
        <v>15</v>
      </c>
      <c r="P646" t="s">
        <v>80</v>
      </c>
      <c r="Q646" t="s">
        <v>259</v>
      </c>
    </row>
    <row r="647" spans="4:17" x14ac:dyDescent="0.25">
      <c r="D647" t="s">
        <v>5</v>
      </c>
      <c r="E647" t="s">
        <v>81</v>
      </c>
      <c r="F647" t="str">
        <f t="shared" si="50"/>
        <v>2024-01-03</v>
      </c>
      <c r="G647" t="str">
        <f t="shared" si="51"/>
        <v>2024-01-03</v>
      </c>
      <c r="H647">
        <f t="shared" si="52"/>
        <v>0</v>
      </c>
      <c r="J647" t="str">
        <f t="shared" si="53"/>
        <v>Кузнецов Дмитрий ЛьвовичАлексеев Андрей Кириллович</v>
      </c>
      <c r="K647" t="s">
        <v>23</v>
      </c>
      <c r="L647" t="s">
        <v>317</v>
      </c>
      <c r="M647" t="s">
        <v>361</v>
      </c>
      <c r="N647" t="str">
        <f t="shared" si="54"/>
        <v>Фролов Сергей ВикторовичОрлов Роман Дмитриевич</v>
      </c>
      <c r="O647" t="s">
        <v>27</v>
      </c>
      <c r="P647" t="s">
        <v>239</v>
      </c>
      <c r="Q647" t="s">
        <v>259</v>
      </c>
    </row>
    <row r="648" spans="4:17" x14ac:dyDescent="0.25">
      <c r="D648" t="s">
        <v>5</v>
      </c>
      <c r="E648" t="s">
        <v>223</v>
      </c>
      <c r="F648" t="str">
        <f t="shared" si="50"/>
        <v>2023-12-13</v>
      </c>
      <c r="G648" t="str">
        <f t="shared" si="51"/>
        <v>2023-12-13</v>
      </c>
      <c r="H648">
        <f t="shared" si="52"/>
        <v>0</v>
      </c>
      <c r="J648" t="str">
        <f t="shared" si="53"/>
        <v>Фролов Сергей ВикторовичМорозов Никита Иванович</v>
      </c>
      <c r="K648" t="s">
        <v>27</v>
      </c>
      <c r="L648" t="s">
        <v>335</v>
      </c>
      <c r="M648" t="s">
        <v>362</v>
      </c>
      <c r="N648" t="str">
        <f t="shared" si="54"/>
        <v>Яковлев Артем ИгоревичПавлова Анна Михайловна</v>
      </c>
      <c r="O648" t="s">
        <v>52</v>
      </c>
      <c r="P648" t="s">
        <v>191</v>
      </c>
      <c r="Q648" t="s">
        <v>259</v>
      </c>
    </row>
    <row r="649" spans="4:17" x14ac:dyDescent="0.25">
      <c r="D649" t="s">
        <v>5</v>
      </c>
      <c r="E649" t="s">
        <v>232</v>
      </c>
      <c r="F649" t="str">
        <f t="shared" si="50"/>
        <v>2024-08-01</v>
      </c>
      <c r="G649" t="str">
        <f t="shared" si="51"/>
        <v>2024-08-01</v>
      </c>
      <c r="H649">
        <f t="shared" si="52"/>
        <v>0</v>
      </c>
      <c r="J649" t="str">
        <f t="shared" si="53"/>
        <v>Иванова Анна СергеевнаВолков Роман Иванович</v>
      </c>
      <c r="K649" t="s">
        <v>48</v>
      </c>
      <c r="L649" t="s">
        <v>75</v>
      </c>
      <c r="M649" t="s">
        <v>362</v>
      </c>
      <c r="N649" t="str">
        <f t="shared" si="54"/>
        <v>Яковлев Артем ИгоревичКозлова Алиса Алексеевна</v>
      </c>
      <c r="O649" t="s">
        <v>52</v>
      </c>
      <c r="P649" t="s">
        <v>156</v>
      </c>
      <c r="Q649" t="s">
        <v>257</v>
      </c>
    </row>
    <row r="650" spans="4:17" x14ac:dyDescent="0.25">
      <c r="D650" t="s">
        <v>5</v>
      </c>
      <c r="E650" t="s">
        <v>191</v>
      </c>
      <c r="F650" t="str">
        <f t="shared" si="50"/>
        <v>2023-12-05</v>
      </c>
      <c r="G650" t="str">
        <f t="shared" si="51"/>
        <v>2024-01-29</v>
      </c>
      <c r="H650">
        <f t="shared" si="52"/>
        <v>55</v>
      </c>
      <c r="J650" t="str">
        <f t="shared" si="53"/>
        <v>Ткаченко Андрей ОлеговичИванова Анна Викторовна</v>
      </c>
      <c r="K650" t="s">
        <v>5</v>
      </c>
      <c r="L650" t="s">
        <v>281</v>
      </c>
      <c r="M650" t="s">
        <v>362</v>
      </c>
      <c r="N650" t="str">
        <f t="shared" si="54"/>
        <v>Семенова Ирина ВалерьевнаПетрова Дарья Кирилловна</v>
      </c>
      <c r="O650" t="s">
        <v>46</v>
      </c>
      <c r="P650" t="s">
        <v>198</v>
      </c>
      <c r="Q650" t="s">
        <v>257</v>
      </c>
    </row>
    <row r="651" spans="4:17" x14ac:dyDescent="0.25">
      <c r="D651" t="s">
        <v>5</v>
      </c>
      <c r="E651" t="s">
        <v>112</v>
      </c>
      <c r="F651" t="str">
        <f t="shared" si="50"/>
        <v>2024-08-05</v>
      </c>
      <c r="G651" t="str">
        <f t="shared" si="51"/>
        <v>2024-08-05</v>
      </c>
      <c r="H651">
        <f t="shared" si="52"/>
        <v>0</v>
      </c>
      <c r="J651" t="str">
        <f t="shared" si="53"/>
        <v>Иванова Анна СергеевнаСеменов Никита Михайлович</v>
      </c>
      <c r="K651" t="s">
        <v>48</v>
      </c>
      <c r="L651" t="s">
        <v>300</v>
      </c>
      <c r="M651" t="s">
        <v>362</v>
      </c>
      <c r="N651" t="str">
        <f t="shared" si="54"/>
        <v>Фролов Сергей ВикторовичОрлова Валерия Юрьевна</v>
      </c>
      <c r="O651" t="s">
        <v>27</v>
      </c>
      <c r="P651" t="s">
        <v>81</v>
      </c>
      <c r="Q651" t="s">
        <v>257</v>
      </c>
    </row>
    <row r="652" spans="4:17" x14ac:dyDescent="0.25">
      <c r="D652" t="s">
        <v>5</v>
      </c>
      <c r="E652" t="s">
        <v>219</v>
      </c>
      <c r="F652" t="str">
        <f t="shared" si="50"/>
        <v>2023-12-11</v>
      </c>
      <c r="G652" t="str">
        <f t="shared" si="51"/>
        <v>2023-12-11</v>
      </c>
      <c r="H652">
        <f t="shared" si="52"/>
        <v>0</v>
      </c>
      <c r="J652" t="str">
        <f t="shared" si="53"/>
        <v>Фролов Сергей ВикторовичЛебедева Людмила Юрьевна</v>
      </c>
      <c r="K652" t="s">
        <v>27</v>
      </c>
      <c r="L652" t="s">
        <v>238</v>
      </c>
      <c r="M652" t="s">
        <v>362</v>
      </c>
      <c r="N652" t="str">
        <f t="shared" si="54"/>
        <v>Сидорова Елена ВасильевнаВолков Никита Кириллович</v>
      </c>
      <c r="O652" t="s">
        <v>12</v>
      </c>
      <c r="P652" t="s">
        <v>240</v>
      </c>
      <c r="Q652" t="s">
        <v>257</v>
      </c>
    </row>
    <row r="653" spans="4:17" x14ac:dyDescent="0.25">
      <c r="D653" t="s">
        <v>5</v>
      </c>
      <c r="E653" t="s">
        <v>151</v>
      </c>
      <c r="F653" t="str">
        <f t="shared" si="50"/>
        <v>2024-01-03</v>
      </c>
      <c r="G653" t="str">
        <f t="shared" si="51"/>
        <v>2024-01-03</v>
      </c>
      <c r="H653">
        <f t="shared" si="52"/>
        <v>0</v>
      </c>
      <c r="J653" t="str">
        <f t="shared" si="53"/>
        <v>Сидорова Елена ВасильевнаПавлов Никита Ильич</v>
      </c>
      <c r="K653" t="s">
        <v>12</v>
      </c>
      <c r="L653" t="s">
        <v>249</v>
      </c>
      <c r="M653" t="s">
        <v>363</v>
      </c>
      <c r="N653" t="str">
        <f t="shared" si="54"/>
        <v>Орлов Павел ДенисовичАлексеева Ксения Андреевна</v>
      </c>
      <c r="O653" t="s">
        <v>17</v>
      </c>
      <c r="P653" t="s">
        <v>184</v>
      </c>
      <c r="Q653" t="s">
        <v>257</v>
      </c>
    </row>
    <row r="654" spans="4:17" x14ac:dyDescent="0.25">
      <c r="D654" t="s">
        <v>5</v>
      </c>
      <c r="E654" t="s">
        <v>98</v>
      </c>
      <c r="F654" t="str">
        <f t="shared" si="50"/>
        <v>2024-05-27</v>
      </c>
      <c r="G654" t="str">
        <f t="shared" si="51"/>
        <v>2024-05-27</v>
      </c>
      <c r="H654">
        <f t="shared" si="52"/>
        <v>0</v>
      </c>
      <c r="J654" t="str">
        <f t="shared" si="53"/>
        <v>Орлов Павел ДенисовичВолков Константин Алексеевич</v>
      </c>
      <c r="K654" t="s">
        <v>17</v>
      </c>
      <c r="L654" t="s">
        <v>84</v>
      </c>
      <c r="M654" t="s">
        <v>363</v>
      </c>
      <c r="N654" t="str">
        <f t="shared" si="54"/>
        <v>Громова Мария ИльиничнаЛебедев Артур Олегович</v>
      </c>
      <c r="O654" t="s">
        <v>15</v>
      </c>
      <c r="P654" t="s">
        <v>258</v>
      </c>
      <c r="Q654" t="s">
        <v>257</v>
      </c>
    </row>
    <row r="655" spans="4:17" x14ac:dyDescent="0.25">
      <c r="D655" t="s">
        <v>5</v>
      </c>
      <c r="E655" t="s">
        <v>123</v>
      </c>
      <c r="F655" t="str">
        <f t="shared" si="50"/>
        <v>2024-02-08</v>
      </c>
      <c r="G655" t="str">
        <f t="shared" si="51"/>
        <v>2024-02-08</v>
      </c>
      <c r="H655">
        <f t="shared" si="52"/>
        <v>0</v>
      </c>
      <c r="J655" t="str">
        <f t="shared" si="53"/>
        <v>Петров Владимир КирилловичЛебедева Ирина Романовна</v>
      </c>
      <c r="K655" t="s">
        <v>36</v>
      </c>
      <c r="L655" t="s">
        <v>364</v>
      </c>
      <c r="M655" t="s">
        <v>363</v>
      </c>
      <c r="N655" t="str">
        <f t="shared" si="54"/>
        <v>Орлов Павел ДенисовичПавлов Артур Романович</v>
      </c>
      <c r="O655" t="s">
        <v>17</v>
      </c>
      <c r="P655" t="s">
        <v>223</v>
      </c>
      <c r="Q655" t="s">
        <v>257</v>
      </c>
    </row>
    <row r="656" spans="4:17" x14ac:dyDescent="0.25">
      <c r="D656" t="s">
        <v>5</v>
      </c>
      <c r="E656" t="s">
        <v>82</v>
      </c>
      <c r="F656" t="str">
        <f t="shared" si="50"/>
        <v>2024-03-25</v>
      </c>
      <c r="G656" t="str">
        <f t="shared" si="51"/>
        <v>2024-03-25</v>
      </c>
      <c r="H656">
        <f t="shared" si="52"/>
        <v>0</v>
      </c>
      <c r="J656" t="str">
        <f t="shared" si="53"/>
        <v>Сидорова Елена ВасильевнаИванова Анна Викторовна</v>
      </c>
      <c r="K656" t="s">
        <v>12</v>
      </c>
      <c r="L656" t="s">
        <v>281</v>
      </c>
      <c r="M656" t="s">
        <v>363</v>
      </c>
      <c r="N656" t="str">
        <f t="shared" si="54"/>
        <v>Кузнецов Дмитрий ЛьвовичЛебедева Полина Артемовна</v>
      </c>
      <c r="O656" t="s">
        <v>23</v>
      </c>
      <c r="P656" t="s">
        <v>38</v>
      </c>
      <c r="Q656" t="s">
        <v>257</v>
      </c>
    </row>
    <row r="657" spans="4:17" x14ac:dyDescent="0.25">
      <c r="D657" t="s">
        <v>5</v>
      </c>
      <c r="E657" t="s">
        <v>109</v>
      </c>
      <c r="F657" t="str">
        <f t="shared" si="50"/>
        <v>2023-12-14</v>
      </c>
      <c r="G657" t="str">
        <f t="shared" si="51"/>
        <v>2023-12-14</v>
      </c>
      <c r="H657">
        <f t="shared" si="52"/>
        <v>0</v>
      </c>
      <c r="J657" t="str">
        <f t="shared" si="53"/>
        <v>Кузнецов Дмитрий ЛьвовичИванова Александра Никитична</v>
      </c>
      <c r="K657" t="s">
        <v>23</v>
      </c>
      <c r="L657" t="s">
        <v>264</v>
      </c>
      <c r="M657" t="s">
        <v>363</v>
      </c>
      <c r="N657" t="str">
        <f t="shared" si="54"/>
        <v>Орлов Павел ДенисовичОрлова Александра Викторовна</v>
      </c>
      <c r="O657" t="s">
        <v>17</v>
      </c>
      <c r="P657" t="s">
        <v>34</v>
      </c>
      <c r="Q657" t="s">
        <v>255</v>
      </c>
    </row>
    <row r="658" spans="4:17" x14ac:dyDescent="0.25">
      <c r="D658" t="s">
        <v>5</v>
      </c>
      <c r="E658" t="s">
        <v>105</v>
      </c>
      <c r="F658" t="str">
        <f t="shared" si="50"/>
        <v>2024-05-06</v>
      </c>
      <c r="G658" t="str">
        <f t="shared" si="51"/>
        <v>2024-05-06</v>
      </c>
      <c r="H658">
        <f t="shared" si="52"/>
        <v>0</v>
      </c>
      <c r="J658" t="str">
        <f t="shared" si="53"/>
        <v>Петров Владимир КирилловичПетрова Виктория Олеговна</v>
      </c>
      <c r="K658" t="s">
        <v>36</v>
      </c>
      <c r="L658" t="s">
        <v>338</v>
      </c>
      <c r="M658" t="s">
        <v>365</v>
      </c>
      <c r="N658" t="str">
        <f t="shared" si="54"/>
        <v>Орлов Павел ДенисовичОрлов Кирилл Владимирович</v>
      </c>
      <c r="O658" t="s">
        <v>17</v>
      </c>
      <c r="P658" t="s">
        <v>79</v>
      </c>
      <c r="Q658" t="s">
        <v>255</v>
      </c>
    </row>
    <row r="659" spans="4:17" x14ac:dyDescent="0.25">
      <c r="D659" t="s">
        <v>5</v>
      </c>
      <c r="E659" t="s">
        <v>11</v>
      </c>
      <c r="F659" t="str">
        <f t="shared" si="50"/>
        <v>2024-05-13</v>
      </c>
      <c r="G659" t="str">
        <f t="shared" si="51"/>
        <v>2024-05-13</v>
      </c>
      <c r="H659">
        <f t="shared" si="52"/>
        <v>0</v>
      </c>
      <c r="J659" t="str">
        <f t="shared" si="53"/>
        <v>Белов Алексей КонстантиновичСтепанов Артем Юрьевич</v>
      </c>
      <c r="K659" t="s">
        <v>8</v>
      </c>
      <c r="L659" t="s">
        <v>328</v>
      </c>
      <c r="M659" t="s">
        <v>365</v>
      </c>
      <c r="N659" t="str">
        <f t="shared" si="54"/>
        <v>Новикова Ольга ПетровнаОрлова Александра Викторовна</v>
      </c>
      <c r="O659" t="s">
        <v>10</v>
      </c>
      <c r="P659" t="s">
        <v>34</v>
      </c>
      <c r="Q659" t="s">
        <v>255</v>
      </c>
    </row>
    <row r="660" spans="4:17" x14ac:dyDescent="0.25">
      <c r="D660" t="s">
        <v>5</v>
      </c>
      <c r="E660" t="s">
        <v>93</v>
      </c>
      <c r="F660" t="str">
        <f t="shared" si="50"/>
        <v>2023-09-25</v>
      </c>
      <c r="G660" t="str">
        <f t="shared" si="51"/>
        <v>2023-09-25</v>
      </c>
      <c r="H660">
        <f t="shared" si="52"/>
        <v>0</v>
      </c>
      <c r="J660" t="str">
        <f t="shared" si="53"/>
        <v>Иванова Анна СергеевнаСидоров Дмитрий Алексеевич</v>
      </c>
      <c r="K660" t="s">
        <v>48</v>
      </c>
      <c r="L660" t="s">
        <v>141</v>
      </c>
      <c r="M660" t="s">
        <v>366</v>
      </c>
      <c r="N660" t="str">
        <f t="shared" si="54"/>
        <v>Кузнецов Дмитрий ЛьвовичЛебедев Иван Юрьевич</v>
      </c>
      <c r="O660" t="s">
        <v>23</v>
      </c>
      <c r="P660" t="s">
        <v>237</v>
      </c>
      <c r="Q660" t="s">
        <v>255</v>
      </c>
    </row>
    <row r="661" spans="4:17" x14ac:dyDescent="0.25">
      <c r="D661" t="s">
        <v>5</v>
      </c>
      <c r="E661" t="s">
        <v>293</v>
      </c>
      <c r="F661" t="str">
        <f t="shared" si="50"/>
        <v>2024-04-17</v>
      </c>
      <c r="G661" t="str">
        <f t="shared" si="51"/>
        <v>2024-04-17</v>
      </c>
      <c r="H661">
        <f t="shared" si="52"/>
        <v>0</v>
      </c>
      <c r="J661" t="str">
        <f t="shared" si="53"/>
        <v>Семенова Ирина ВалерьевнаНиколаева Ирина Владимировна</v>
      </c>
      <c r="K661" t="s">
        <v>46</v>
      </c>
      <c r="L661" t="s">
        <v>66</v>
      </c>
      <c r="M661" t="s">
        <v>366</v>
      </c>
      <c r="N661" t="str">
        <f t="shared" si="54"/>
        <v>Фролов Сергей ВикторовичКозлов Артем Владимирович</v>
      </c>
      <c r="O661" t="s">
        <v>27</v>
      </c>
      <c r="P661" t="s">
        <v>113</v>
      </c>
      <c r="Q661" t="s">
        <v>255</v>
      </c>
    </row>
    <row r="662" spans="4:17" x14ac:dyDescent="0.25">
      <c r="D662" t="s">
        <v>5</v>
      </c>
      <c r="E662" t="s">
        <v>73</v>
      </c>
      <c r="F662" t="str">
        <f t="shared" si="50"/>
        <v>2023-10-02</v>
      </c>
      <c r="G662" t="str">
        <f t="shared" si="51"/>
        <v>2023-10-02</v>
      </c>
      <c r="H662">
        <f t="shared" si="52"/>
        <v>0</v>
      </c>
      <c r="J662" t="str">
        <f t="shared" si="53"/>
        <v>Белов Алексей КонстантиновичВасильев Александр Иванович</v>
      </c>
      <c r="K662" t="s">
        <v>8</v>
      </c>
      <c r="L662" t="s">
        <v>158</v>
      </c>
      <c r="M662" t="s">
        <v>366</v>
      </c>
      <c r="N662" t="str">
        <f t="shared" si="54"/>
        <v>Петров Владимир КирилловичКузнецова София Сергеевна</v>
      </c>
      <c r="O662" t="s">
        <v>36</v>
      </c>
      <c r="P662" t="s">
        <v>86</v>
      </c>
      <c r="Q662" t="s">
        <v>255</v>
      </c>
    </row>
    <row r="663" spans="4:17" x14ac:dyDescent="0.25">
      <c r="D663" t="s">
        <v>5</v>
      </c>
      <c r="E663" t="s">
        <v>141</v>
      </c>
      <c r="F663" t="str">
        <f t="shared" si="50"/>
        <v>2024-07-24</v>
      </c>
      <c r="G663" t="str">
        <f t="shared" si="51"/>
        <v>2024-07-24</v>
      </c>
      <c r="H663">
        <f t="shared" si="52"/>
        <v>0</v>
      </c>
      <c r="J663" t="str">
        <f t="shared" si="53"/>
        <v>Ткаченко Андрей ОлеговичИванова Екатерина Егоровна</v>
      </c>
      <c r="K663" t="s">
        <v>5</v>
      </c>
      <c r="L663" t="s">
        <v>131</v>
      </c>
      <c r="M663" t="s">
        <v>366</v>
      </c>
      <c r="N663" t="str">
        <f t="shared" si="54"/>
        <v>Белов Алексей КонстантиновичКозлов Артур Андреевич</v>
      </c>
      <c r="O663" t="s">
        <v>8</v>
      </c>
      <c r="P663" t="s">
        <v>63</v>
      </c>
      <c r="Q663" t="s">
        <v>255</v>
      </c>
    </row>
    <row r="664" spans="4:17" x14ac:dyDescent="0.25">
      <c r="D664" t="s">
        <v>5</v>
      </c>
      <c r="E664" t="s">
        <v>287</v>
      </c>
      <c r="F664" t="str">
        <f t="shared" si="50"/>
        <v>2024-08-21</v>
      </c>
      <c r="G664" t="str">
        <f t="shared" si="51"/>
        <v>2024-08-21</v>
      </c>
      <c r="H664">
        <f t="shared" si="52"/>
        <v>0</v>
      </c>
      <c r="J664" t="str">
        <f t="shared" si="53"/>
        <v>Новикова Ольга ПетровнаВасильев Георгий Станиславович</v>
      </c>
      <c r="K664" t="s">
        <v>10</v>
      </c>
      <c r="L664" t="s">
        <v>243</v>
      </c>
      <c r="M664" t="s">
        <v>366</v>
      </c>
      <c r="N664" t="str">
        <f t="shared" si="54"/>
        <v>Фролов Сергей ВикторовичВолкова Наталья Александровна</v>
      </c>
      <c r="O664" t="s">
        <v>27</v>
      </c>
      <c r="P664" t="s">
        <v>115</v>
      </c>
      <c r="Q664" t="s">
        <v>255</v>
      </c>
    </row>
    <row r="665" spans="4:17" x14ac:dyDescent="0.25">
      <c r="D665" t="s">
        <v>5</v>
      </c>
      <c r="E665" t="s">
        <v>20</v>
      </c>
      <c r="F665" t="str">
        <f t="shared" si="50"/>
        <v>2024-06-06</v>
      </c>
      <c r="G665" t="str">
        <f t="shared" si="51"/>
        <v>2024-06-06</v>
      </c>
      <c r="H665">
        <f t="shared" si="52"/>
        <v>0</v>
      </c>
      <c r="J665" t="str">
        <f t="shared" si="53"/>
        <v>Новикова Ольга ПетровнаМорозова Ольга Геннадьевна</v>
      </c>
      <c r="K665" t="s">
        <v>10</v>
      </c>
      <c r="L665" t="s">
        <v>56</v>
      </c>
      <c r="M665" t="s">
        <v>366</v>
      </c>
      <c r="N665" t="str">
        <f t="shared" si="54"/>
        <v>Семенова Ирина ВалерьевнаПетров Михаил Юрьевич</v>
      </c>
      <c r="O665" t="s">
        <v>46</v>
      </c>
      <c r="P665" t="s">
        <v>256</v>
      </c>
      <c r="Q665" t="s">
        <v>255</v>
      </c>
    </row>
    <row r="666" spans="4:17" x14ac:dyDescent="0.25">
      <c r="D666" t="s">
        <v>5</v>
      </c>
      <c r="E666" t="s">
        <v>296</v>
      </c>
      <c r="F666" t="str">
        <f t="shared" si="50"/>
        <v>2024-02-21</v>
      </c>
      <c r="G666" t="str">
        <f t="shared" si="51"/>
        <v>2024-05-17</v>
      </c>
      <c r="H666">
        <f t="shared" si="52"/>
        <v>86</v>
      </c>
      <c r="J666" t="str">
        <f t="shared" si="53"/>
        <v>Семенова Ирина ВалерьевнаНиколаев Артур Никитич</v>
      </c>
      <c r="K666" t="s">
        <v>46</v>
      </c>
      <c r="L666" t="s">
        <v>129</v>
      </c>
      <c r="M666" t="s">
        <v>367</v>
      </c>
      <c r="N666" t="str">
        <f t="shared" si="54"/>
        <v>Фролов Сергей ВикторовичНовиков Иван Никитич</v>
      </c>
      <c r="O666" t="s">
        <v>27</v>
      </c>
      <c r="P666" t="s">
        <v>181</v>
      </c>
      <c r="Q666" t="s">
        <v>254</v>
      </c>
    </row>
    <row r="667" spans="4:17" x14ac:dyDescent="0.25">
      <c r="D667" t="s">
        <v>5</v>
      </c>
      <c r="E667" t="s">
        <v>146</v>
      </c>
      <c r="F667" t="str">
        <f t="shared" si="50"/>
        <v>2024-06-27</v>
      </c>
      <c r="G667" t="str">
        <f t="shared" si="51"/>
        <v>2024-07-19</v>
      </c>
      <c r="H667">
        <f t="shared" si="52"/>
        <v>22</v>
      </c>
      <c r="J667" t="str">
        <f t="shared" si="53"/>
        <v>Семенова Ирина ВалерьевнаСтепанов Артем Юрьевич</v>
      </c>
      <c r="K667" t="s">
        <v>46</v>
      </c>
      <c r="L667" t="s">
        <v>328</v>
      </c>
      <c r="M667" t="s">
        <v>367</v>
      </c>
      <c r="N667" t="str">
        <f t="shared" si="54"/>
        <v>Петров Владимир КирилловичПавлов Константин Никитич</v>
      </c>
      <c r="O667" t="s">
        <v>36</v>
      </c>
      <c r="P667" t="s">
        <v>232</v>
      </c>
      <c r="Q667" t="s">
        <v>254</v>
      </c>
    </row>
    <row r="668" spans="4:17" x14ac:dyDescent="0.25">
      <c r="D668" t="s">
        <v>5</v>
      </c>
      <c r="E668" t="s">
        <v>25</v>
      </c>
      <c r="F668" t="str">
        <f t="shared" si="50"/>
        <v>2024-06-05</v>
      </c>
      <c r="G668" t="str">
        <f t="shared" si="51"/>
        <v>2024-06-05</v>
      </c>
      <c r="H668">
        <f t="shared" si="52"/>
        <v>0</v>
      </c>
      <c r="J668" t="str">
        <f t="shared" si="53"/>
        <v>Новикова Ольга ПетровнаВасильев Никита Викторович</v>
      </c>
      <c r="K668" t="s">
        <v>10</v>
      </c>
      <c r="L668" t="s">
        <v>47</v>
      </c>
      <c r="M668" t="s">
        <v>367</v>
      </c>
      <c r="N668" t="str">
        <f t="shared" si="54"/>
        <v>Яковлев Артем ИгоревичСмирнова София Ильинична</v>
      </c>
      <c r="O668" t="s">
        <v>52</v>
      </c>
      <c r="P668" t="s">
        <v>160</v>
      </c>
      <c r="Q668" t="s">
        <v>254</v>
      </c>
    </row>
    <row r="669" spans="4:17" x14ac:dyDescent="0.25">
      <c r="D669" t="s">
        <v>5</v>
      </c>
      <c r="E669" t="s">
        <v>160</v>
      </c>
      <c r="F669" t="str">
        <f t="shared" si="50"/>
        <v>2023-10-31</v>
      </c>
      <c r="G669" t="str">
        <f t="shared" si="51"/>
        <v>2023-10-31</v>
      </c>
      <c r="H669">
        <f t="shared" si="52"/>
        <v>0</v>
      </c>
      <c r="J669" t="str">
        <f t="shared" si="53"/>
        <v>Яковлев Артем ИгоревичФедоров Александр Дмитриевич</v>
      </c>
      <c r="K669" t="s">
        <v>52</v>
      </c>
      <c r="L669" t="s">
        <v>136</v>
      </c>
      <c r="M669" t="s">
        <v>368</v>
      </c>
      <c r="N669" t="str">
        <f t="shared" si="54"/>
        <v>Фролов Сергей ВикторовичПетрова Дарья Егоровна</v>
      </c>
      <c r="O669" t="s">
        <v>27</v>
      </c>
      <c r="P669" t="s">
        <v>24</v>
      </c>
      <c r="Q669" t="s">
        <v>254</v>
      </c>
    </row>
    <row r="670" spans="4:17" x14ac:dyDescent="0.25">
      <c r="D670" t="s">
        <v>5</v>
      </c>
      <c r="E670" t="s">
        <v>206</v>
      </c>
      <c r="F670" t="str">
        <f t="shared" si="50"/>
        <v>2023-12-04</v>
      </c>
      <c r="G670" t="str">
        <f t="shared" si="51"/>
        <v>2024-06-17</v>
      </c>
      <c r="H670">
        <f t="shared" si="52"/>
        <v>196</v>
      </c>
      <c r="J670" t="str">
        <f t="shared" si="53"/>
        <v>Фролов Сергей ВикторовичАлексеева Алиса Ильинична</v>
      </c>
      <c r="K670" t="s">
        <v>27</v>
      </c>
      <c r="L670" t="s">
        <v>64</v>
      </c>
      <c r="M670" t="s">
        <v>368</v>
      </c>
      <c r="N670" t="str">
        <f t="shared" si="54"/>
        <v>Семенова Ирина ВалерьевнаНиколаев Павел Артемович</v>
      </c>
      <c r="O670" t="s">
        <v>46</v>
      </c>
      <c r="P670" t="s">
        <v>235</v>
      </c>
      <c r="Q670" t="s">
        <v>254</v>
      </c>
    </row>
    <row r="671" spans="4:17" x14ac:dyDescent="0.25">
      <c r="D671" t="s">
        <v>5</v>
      </c>
      <c r="E671" t="s">
        <v>328</v>
      </c>
      <c r="F671" t="str">
        <f t="shared" si="50"/>
        <v>2024-03-13</v>
      </c>
      <c r="G671" t="str">
        <f t="shared" si="51"/>
        <v>2024-03-13</v>
      </c>
      <c r="H671">
        <f t="shared" si="52"/>
        <v>0</v>
      </c>
      <c r="J671" t="str">
        <f t="shared" si="53"/>
        <v>Новикова Ольга ПетровнаСмирнов Александр Владимирович</v>
      </c>
      <c r="K671" t="s">
        <v>10</v>
      </c>
      <c r="L671" t="s">
        <v>101</v>
      </c>
      <c r="M671" t="s">
        <v>368</v>
      </c>
      <c r="N671" t="str">
        <f t="shared" si="54"/>
        <v>Семенова Ирина ВалерьевнаОрлов Алексей Юрьевич</v>
      </c>
      <c r="O671" t="s">
        <v>46</v>
      </c>
      <c r="P671" t="s">
        <v>252</v>
      </c>
      <c r="Q671" t="s">
        <v>253</v>
      </c>
    </row>
    <row r="672" spans="4:17" x14ac:dyDescent="0.25">
      <c r="D672" t="s">
        <v>5</v>
      </c>
      <c r="E672" t="s">
        <v>41</v>
      </c>
      <c r="F672" t="str">
        <f t="shared" si="50"/>
        <v>2023-09-11</v>
      </c>
      <c r="G672" t="str">
        <f t="shared" si="51"/>
        <v>2023-09-11</v>
      </c>
      <c r="H672">
        <f t="shared" si="52"/>
        <v>0</v>
      </c>
      <c r="J672" t="str">
        <f t="shared" si="53"/>
        <v>Громова Мария ИльиничнаАлексеев Павел Дмитриевич</v>
      </c>
      <c r="K672" t="s">
        <v>15</v>
      </c>
      <c r="L672" t="s">
        <v>168</v>
      </c>
      <c r="M672" t="s">
        <v>368</v>
      </c>
      <c r="N672" t="str">
        <f t="shared" si="54"/>
        <v>Иванова Анна СергеевнаСмирнов Константин Михайлович</v>
      </c>
      <c r="O672" t="s">
        <v>48</v>
      </c>
      <c r="P672" t="s">
        <v>85</v>
      </c>
      <c r="Q672" t="s">
        <v>251</v>
      </c>
    </row>
    <row r="673" spans="4:17" x14ac:dyDescent="0.25">
      <c r="D673" t="s">
        <v>5</v>
      </c>
      <c r="E673" t="s">
        <v>68</v>
      </c>
      <c r="F673" t="str">
        <f t="shared" si="50"/>
        <v>2023-10-10</v>
      </c>
      <c r="G673" t="str">
        <f t="shared" si="51"/>
        <v>2023-10-10</v>
      </c>
      <c r="H673">
        <f t="shared" si="52"/>
        <v>0</v>
      </c>
      <c r="J673" t="str">
        <f t="shared" si="53"/>
        <v>Фролов Сергей ВикторовичИванов Андрей Михайлович</v>
      </c>
      <c r="K673" t="s">
        <v>27</v>
      </c>
      <c r="L673" t="s">
        <v>229</v>
      </c>
      <c r="M673" t="s">
        <v>369</v>
      </c>
      <c r="N673" t="str">
        <f t="shared" si="54"/>
        <v>Кузнецов Дмитрий ЛьвовичВолкова Татьяна Егоровна</v>
      </c>
      <c r="O673" t="s">
        <v>23</v>
      </c>
      <c r="P673" t="s">
        <v>22</v>
      </c>
      <c r="Q673" t="s">
        <v>251</v>
      </c>
    </row>
    <row r="674" spans="4:17" x14ac:dyDescent="0.25">
      <c r="D674" t="s">
        <v>5</v>
      </c>
      <c r="E674" t="s">
        <v>190</v>
      </c>
      <c r="F674" t="str">
        <f t="shared" si="50"/>
        <v>2024-07-29</v>
      </c>
      <c r="G674" t="str">
        <f t="shared" si="51"/>
        <v>2024-07-29</v>
      </c>
      <c r="H674">
        <f t="shared" si="52"/>
        <v>0</v>
      </c>
      <c r="J674" t="str">
        <f t="shared" si="53"/>
        <v>Громова Мария ИльиничнаАлексеева Виктория Александровна</v>
      </c>
      <c r="K674" t="s">
        <v>15</v>
      </c>
      <c r="L674" t="s">
        <v>195</v>
      </c>
      <c r="M674" t="s">
        <v>370</v>
      </c>
      <c r="N674" t="str">
        <f t="shared" si="54"/>
        <v>Ткаченко Андрей ОлеговичПетров Алексей Артемович</v>
      </c>
      <c r="O674" t="s">
        <v>5</v>
      </c>
      <c r="P674" t="s">
        <v>151</v>
      </c>
      <c r="Q674" t="s">
        <v>251</v>
      </c>
    </row>
    <row r="675" spans="4:17" x14ac:dyDescent="0.25">
      <c r="D675" t="s">
        <v>5</v>
      </c>
      <c r="E675" t="s">
        <v>108</v>
      </c>
      <c r="F675" t="str">
        <f t="shared" si="50"/>
        <v>2023-10-16</v>
      </c>
      <c r="G675" t="str">
        <f t="shared" si="51"/>
        <v>2024-03-18</v>
      </c>
      <c r="H675">
        <f t="shared" si="52"/>
        <v>154</v>
      </c>
      <c r="J675" t="str">
        <f t="shared" si="53"/>
        <v>Белов Алексей КонстантиновичМорозов Дмитрий Кириллович</v>
      </c>
      <c r="K675" t="s">
        <v>8</v>
      </c>
      <c r="L675" t="s">
        <v>32</v>
      </c>
      <c r="M675" t="s">
        <v>370</v>
      </c>
      <c r="N675" t="str">
        <f t="shared" si="54"/>
        <v>Орлов Павел ДенисовичПавлова Светлана Кирилловна</v>
      </c>
      <c r="O675" t="s">
        <v>17</v>
      </c>
      <c r="P675" t="s">
        <v>219</v>
      </c>
      <c r="Q675" t="s">
        <v>251</v>
      </c>
    </row>
    <row r="676" spans="4:17" x14ac:dyDescent="0.25">
      <c r="D676" t="s">
        <v>5</v>
      </c>
      <c r="E676" t="s">
        <v>136</v>
      </c>
      <c r="F676" t="str">
        <f t="shared" si="50"/>
        <v>2024-05-20</v>
      </c>
      <c r="G676" t="str">
        <f t="shared" si="51"/>
        <v>2024-05-20</v>
      </c>
      <c r="H676">
        <f t="shared" si="52"/>
        <v>0</v>
      </c>
      <c r="J676" t="str">
        <f t="shared" si="53"/>
        <v>Петров Владимир КирилловичВолкова Виктория Михайловна</v>
      </c>
      <c r="K676" t="s">
        <v>36</v>
      </c>
      <c r="L676" t="s">
        <v>40</v>
      </c>
      <c r="M676" t="s">
        <v>370</v>
      </c>
      <c r="N676" t="str">
        <f t="shared" si="54"/>
        <v>Ткаченко Андрей ОлеговичОрлова Валерия Юрьевна</v>
      </c>
      <c r="O676" t="s">
        <v>5</v>
      </c>
      <c r="P676" t="s">
        <v>81</v>
      </c>
      <c r="Q676" t="s">
        <v>251</v>
      </c>
    </row>
    <row r="677" spans="4:17" x14ac:dyDescent="0.25">
      <c r="D677" t="s">
        <v>5</v>
      </c>
      <c r="E677" t="s">
        <v>107</v>
      </c>
      <c r="F677" t="str">
        <f t="shared" si="50"/>
        <v>2023-10-02</v>
      </c>
      <c r="G677" t="str">
        <f t="shared" si="51"/>
        <v>2023-10-02</v>
      </c>
      <c r="H677">
        <f t="shared" si="52"/>
        <v>0</v>
      </c>
      <c r="J677" t="str">
        <f t="shared" si="53"/>
        <v>Семенова Ирина ВалерьевнаМорозов Андрей Иванович</v>
      </c>
      <c r="K677" t="s">
        <v>46</v>
      </c>
      <c r="L677" t="s">
        <v>90</v>
      </c>
      <c r="M677" t="s">
        <v>370</v>
      </c>
      <c r="N677" t="str">
        <f t="shared" si="54"/>
        <v>Громова Мария ИльиничнаОрлова Валерия Юрьевна</v>
      </c>
      <c r="O677" t="s">
        <v>15</v>
      </c>
      <c r="P677" t="s">
        <v>81</v>
      </c>
      <c r="Q677" t="s">
        <v>251</v>
      </c>
    </row>
    <row r="678" spans="4:17" x14ac:dyDescent="0.25">
      <c r="D678" t="s">
        <v>27</v>
      </c>
      <c r="E678" t="s">
        <v>322</v>
      </c>
      <c r="F678" t="str">
        <f t="shared" si="50"/>
        <v>2024-03-08</v>
      </c>
      <c r="G678" t="str">
        <f t="shared" si="51"/>
        <v>2024-03-08</v>
      </c>
      <c r="H678">
        <f t="shared" si="52"/>
        <v>0</v>
      </c>
      <c r="J678" t="str">
        <f t="shared" si="53"/>
        <v>Ткаченко Андрей ОлеговичПопов Дмитрий Ильич</v>
      </c>
      <c r="K678" t="s">
        <v>5</v>
      </c>
      <c r="L678" t="s">
        <v>105</v>
      </c>
      <c r="M678" t="s">
        <v>371</v>
      </c>
      <c r="N678" t="str">
        <f t="shared" si="54"/>
        <v>Яковлев Артем ИгоревичСмирнов Александр Владимирович</v>
      </c>
      <c r="O678" t="s">
        <v>52</v>
      </c>
      <c r="P678" t="s">
        <v>101</v>
      </c>
      <c r="Q678" t="s">
        <v>250</v>
      </c>
    </row>
    <row r="679" spans="4:17" x14ac:dyDescent="0.25">
      <c r="D679" t="s">
        <v>27</v>
      </c>
      <c r="E679" t="s">
        <v>89</v>
      </c>
      <c r="F679" t="str">
        <f t="shared" si="50"/>
        <v>2023-12-27</v>
      </c>
      <c r="G679" t="str">
        <f t="shared" si="51"/>
        <v>2023-12-27</v>
      </c>
      <c r="H679">
        <f t="shared" si="52"/>
        <v>0</v>
      </c>
      <c r="J679" t="str">
        <f t="shared" si="53"/>
        <v>Белов Алексей КонстантиновичСтепанова Анна Никитична</v>
      </c>
      <c r="K679" t="s">
        <v>8</v>
      </c>
      <c r="L679" t="s">
        <v>108</v>
      </c>
      <c r="M679" t="s">
        <v>371</v>
      </c>
      <c r="N679" t="str">
        <f t="shared" si="54"/>
        <v>Семенова Ирина ВалерьевнаСтепанова Анна Никитична</v>
      </c>
      <c r="O679" t="s">
        <v>46</v>
      </c>
      <c r="P679" t="s">
        <v>108</v>
      </c>
      <c r="Q679" t="s">
        <v>250</v>
      </c>
    </row>
    <row r="680" spans="4:17" x14ac:dyDescent="0.25">
      <c r="D680" t="s">
        <v>27</v>
      </c>
      <c r="E680" t="s">
        <v>64</v>
      </c>
      <c r="F680" t="str">
        <f t="shared" si="50"/>
        <v>2024-05-01</v>
      </c>
      <c r="G680" t="str">
        <f t="shared" si="51"/>
        <v>2024-05-01</v>
      </c>
      <c r="H680">
        <f t="shared" si="52"/>
        <v>0</v>
      </c>
      <c r="J680" t="str">
        <f t="shared" si="53"/>
        <v>Сидорова Елена ВасильевнаНиколаев Павел Артемович</v>
      </c>
      <c r="K680" t="s">
        <v>12</v>
      </c>
      <c r="L680" t="s">
        <v>235</v>
      </c>
      <c r="M680" t="s">
        <v>371</v>
      </c>
      <c r="N680" t="str">
        <f t="shared" si="54"/>
        <v>Громова Мария ИльиничнаСтепанов Александр Юрьевич</v>
      </c>
      <c r="O680" t="s">
        <v>15</v>
      </c>
      <c r="P680" t="s">
        <v>97</v>
      </c>
      <c r="Q680" t="s">
        <v>247</v>
      </c>
    </row>
    <row r="681" spans="4:17" x14ac:dyDescent="0.25">
      <c r="D681" t="s">
        <v>27</v>
      </c>
      <c r="E681" t="s">
        <v>60</v>
      </c>
      <c r="F681" t="str">
        <f t="shared" si="50"/>
        <v>2023-11-27</v>
      </c>
      <c r="G681" t="str">
        <f t="shared" si="51"/>
        <v>2023-11-27</v>
      </c>
      <c r="H681">
        <f t="shared" si="52"/>
        <v>0</v>
      </c>
      <c r="J681" t="str">
        <f t="shared" si="53"/>
        <v>Семенова Ирина ВалерьевнаНовикова Алиса Юрьевна</v>
      </c>
      <c r="K681" t="s">
        <v>46</v>
      </c>
      <c r="L681" t="s">
        <v>102</v>
      </c>
      <c r="M681" t="s">
        <v>371</v>
      </c>
      <c r="N681" t="str">
        <f t="shared" si="54"/>
        <v>Громова Мария ИльиничнаКузнецов Никита Сергеевич</v>
      </c>
      <c r="O681" t="s">
        <v>15</v>
      </c>
      <c r="P681" t="s">
        <v>248</v>
      </c>
      <c r="Q681" t="s">
        <v>247</v>
      </c>
    </row>
    <row r="682" spans="4:17" x14ac:dyDescent="0.25">
      <c r="D682" t="s">
        <v>27</v>
      </c>
      <c r="E682" t="s">
        <v>158</v>
      </c>
      <c r="F682" t="str">
        <f t="shared" si="50"/>
        <v>2024-02-07</v>
      </c>
      <c r="G682" t="str">
        <f t="shared" si="51"/>
        <v>2024-02-07</v>
      </c>
      <c r="H682">
        <f t="shared" si="52"/>
        <v>0</v>
      </c>
      <c r="J682" t="str">
        <f t="shared" si="53"/>
        <v>Сидорова Елена ВасильевнаПопова Александра Юрьевна</v>
      </c>
      <c r="K682" t="s">
        <v>12</v>
      </c>
      <c r="L682" t="s">
        <v>118</v>
      </c>
      <c r="M682" t="s">
        <v>371</v>
      </c>
      <c r="N682" t="str">
        <f t="shared" si="54"/>
        <v>Петров Владимир КирилловичПетрова Людмила Олеговна</v>
      </c>
      <c r="O682" t="s">
        <v>36</v>
      </c>
      <c r="P682" t="s">
        <v>70</v>
      </c>
      <c r="Q682" t="s">
        <v>247</v>
      </c>
    </row>
    <row r="683" spans="4:17" x14ac:dyDescent="0.25">
      <c r="D683" t="s">
        <v>27</v>
      </c>
      <c r="E683" t="s">
        <v>77</v>
      </c>
      <c r="F683" t="str">
        <f t="shared" si="50"/>
        <v>2024-08-19</v>
      </c>
      <c r="G683" t="str">
        <f t="shared" si="51"/>
        <v>2024-08-19</v>
      </c>
      <c r="H683">
        <f t="shared" si="52"/>
        <v>0</v>
      </c>
      <c r="J683" t="str">
        <f t="shared" si="53"/>
        <v>Петров Владимир КирилловичСмирнова Виктория Дмитриевна</v>
      </c>
      <c r="K683" t="s">
        <v>36</v>
      </c>
      <c r="L683" t="s">
        <v>372</v>
      </c>
      <c r="M683" t="s">
        <v>371</v>
      </c>
      <c r="N683" t="str">
        <f t="shared" si="54"/>
        <v>Орлов Павел ДенисовичПавлов Никита Ильич</v>
      </c>
      <c r="O683" t="s">
        <v>17</v>
      </c>
      <c r="P683" t="s">
        <v>249</v>
      </c>
      <c r="Q683" t="s">
        <v>247</v>
      </c>
    </row>
    <row r="684" spans="4:17" x14ac:dyDescent="0.25">
      <c r="D684" t="s">
        <v>27</v>
      </c>
      <c r="E684" t="s">
        <v>243</v>
      </c>
      <c r="F684" t="str">
        <f t="shared" si="50"/>
        <v>2023-12-27</v>
      </c>
      <c r="G684" t="str">
        <f t="shared" si="51"/>
        <v>2023-12-27</v>
      </c>
      <c r="H684">
        <f t="shared" si="52"/>
        <v>0</v>
      </c>
      <c r="J684" t="str">
        <f t="shared" si="53"/>
        <v>Яковлев Артем ИгоревичСтепанов Алексей Артемович</v>
      </c>
      <c r="K684" t="s">
        <v>52</v>
      </c>
      <c r="L684" t="s">
        <v>206</v>
      </c>
      <c r="M684" t="s">
        <v>371</v>
      </c>
      <c r="N684" t="str">
        <f t="shared" si="54"/>
        <v>Петров Владимир КирилловичСмирнова София Ивановна</v>
      </c>
      <c r="O684" t="s">
        <v>36</v>
      </c>
      <c r="P684" t="s">
        <v>25</v>
      </c>
      <c r="Q684" t="s">
        <v>246</v>
      </c>
    </row>
    <row r="685" spans="4:17" x14ac:dyDescent="0.25">
      <c r="D685" t="s">
        <v>27</v>
      </c>
      <c r="E685" t="s">
        <v>148</v>
      </c>
      <c r="F685" t="str">
        <f t="shared" si="50"/>
        <v>2024-06-14</v>
      </c>
      <c r="G685" t="str">
        <f t="shared" si="51"/>
        <v>2024-06-14</v>
      </c>
      <c r="H685">
        <f t="shared" si="52"/>
        <v>0</v>
      </c>
      <c r="J685" t="str">
        <f t="shared" si="53"/>
        <v>Громова Мария ИльиничнаПетрова Наталья Геннадьевна</v>
      </c>
      <c r="K685" t="s">
        <v>15</v>
      </c>
      <c r="L685" t="s">
        <v>82</v>
      </c>
      <c r="M685" t="s">
        <v>371</v>
      </c>
      <c r="N685" t="str">
        <f t="shared" si="54"/>
        <v>Фролов Сергей ВикторовичНиколаева Ирина Владимировна</v>
      </c>
      <c r="O685" t="s">
        <v>27</v>
      </c>
      <c r="P685" t="s">
        <v>66</v>
      </c>
      <c r="Q685" t="s">
        <v>246</v>
      </c>
    </row>
    <row r="686" spans="4:17" x14ac:dyDescent="0.25">
      <c r="D686" t="s">
        <v>27</v>
      </c>
      <c r="E686" t="s">
        <v>95</v>
      </c>
      <c r="F686" t="str">
        <f t="shared" si="50"/>
        <v>2023-10-23</v>
      </c>
      <c r="G686" t="str">
        <f t="shared" si="51"/>
        <v>2023-10-23</v>
      </c>
      <c r="H686">
        <f t="shared" si="52"/>
        <v>0</v>
      </c>
      <c r="J686" t="str">
        <f t="shared" si="53"/>
        <v>Семенова Ирина ВалерьевнаПопова Александра Юрьевна</v>
      </c>
      <c r="K686" t="s">
        <v>46</v>
      </c>
      <c r="L686" t="s">
        <v>118</v>
      </c>
      <c r="M686" t="s">
        <v>373</v>
      </c>
      <c r="N686" t="str">
        <f t="shared" si="54"/>
        <v>Сидорова Елена ВасильевнаПавлов Павел Павлович</v>
      </c>
      <c r="O686" t="s">
        <v>12</v>
      </c>
      <c r="P686" t="s">
        <v>207</v>
      </c>
      <c r="Q686" t="s">
        <v>246</v>
      </c>
    </row>
    <row r="687" spans="4:17" x14ac:dyDescent="0.25">
      <c r="D687" t="s">
        <v>27</v>
      </c>
      <c r="E687" t="s">
        <v>216</v>
      </c>
      <c r="F687" t="str">
        <f t="shared" si="50"/>
        <v>2024-07-10</v>
      </c>
      <c r="G687" t="str">
        <f t="shared" si="51"/>
        <v>2024-07-10</v>
      </c>
      <c r="H687">
        <f t="shared" si="52"/>
        <v>0</v>
      </c>
      <c r="J687" t="str">
        <f t="shared" si="53"/>
        <v>Кузнецов Дмитрий ЛьвовичКузнецов Сергей Станиславович</v>
      </c>
      <c r="K687" t="s">
        <v>23</v>
      </c>
      <c r="L687" t="s">
        <v>209</v>
      </c>
      <c r="M687" t="s">
        <v>373</v>
      </c>
      <c r="N687" t="str">
        <f t="shared" si="54"/>
        <v>Петров Владимир КирилловичСидоров Артем Викторович</v>
      </c>
      <c r="O687" t="s">
        <v>36</v>
      </c>
      <c r="P687" t="s">
        <v>13</v>
      </c>
      <c r="Q687" t="s">
        <v>246</v>
      </c>
    </row>
    <row r="688" spans="4:17" x14ac:dyDescent="0.25">
      <c r="D688" t="s">
        <v>27</v>
      </c>
      <c r="E688" t="s">
        <v>240</v>
      </c>
      <c r="F688" t="str">
        <f t="shared" si="50"/>
        <v>2024-08-21</v>
      </c>
      <c r="G688" t="str">
        <f t="shared" si="51"/>
        <v>2024-08-21</v>
      </c>
      <c r="H688">
        <f t="shared" si="52"/>
        <v>0</v>
      </c>
      <c r="J688" t="str">
        <f t="shared" si="53"/>
        <v>Кузнецов Дмитрий ЛьвовичМорозов Дмитрий Кириллович</v>
      </c>
      <c r="K688" t="s">
        <v>23</v>
      </c>
      <c r="L688" t="s">
        <v>32</v>
      </c>
      <c r="M688" t="s">
        <v>373</v>
      </c>
      <c r="N688" t="str">
        <f t="shared" si="54"/>
        <v>Петров Владимир КирилловичВасильев Александр Никитич</v>
      </c>
      <c r="O688" t="s">
        <v>36</v>
      </c>
      <c r="P688" t="s">
        <v>161</v>
      </c>
      <c r="Q688" t="s">
        <v>246</v>
      </c>
    </row>
    <row r="689" spans="4:17" x14ac:dyDescent="0.25">
      <c r="D689" t="s">
        <v>27</v>
      </c>
      <c r="E689" t="s">
        <v>75</v>
      </c>
      <c r="F689" t="str">
        <f t="shared" si="50"/>
        <v>2024-03-07</v>
      </c>
      <c r="G689" t="str">
        <f t="shared" si="51"/>
        <v>2024-07-29</v>
      </c>
      <c r="H689">
        <f t="shared" si="52"/>
        <v>144</v>
      </c>
      <c r="J689" t="str">
        <f t="shared" si="53"/>
        <v>Яковлев Артем ИгоревичВолкова Виктория Михайловна</v>
      </c>
      <c r="K689" t="s">
        <v>52</v>
      </c>
      <c r="L689" t="s">
        <v>40</v>
      </c>
      <c r="M689" t="s">
        <v>373</v>
      </c>
      <c r="N689" t="str">
        <f t="shared" si="54"/>
        <v>Кузнецов Дмитрий ЛьвовичФедорова Полина Павловна</v>
      </c>
      <c r="O689" t="s">
        <v>23</v>
      </c>
      <c r="P689" t="s">
        <v>244</v>
      </c>
      <c r="Q689" t="s">
        <v>245</v>
      </c>
    </row>
    <row r="690" spans="4:17" x14ac:dyDescent="0.25">
      <c r="D690" t="s">
        <v>27</v>
      </c>
      <c r="E690" t="s">
        <v>55</v>
      </c>
      <c r="F690" t="str">
        <f t="shared" si="50"/>
        <v>2023-09-14</v>
      </c>
      <c r="G690" t="str">
        <f t="shared" si="51"/>
        <v>2023-09-14</v>
      </c>
      <c r="H690">
        <f t="shared" si="52"/>
        <v>0</v>
      </c>
      <c r="J690" t="str">
        <f t="shared" si="53"/>
        <v>Яковлев Артем ИгоревичКузнецов Никита Сергеевич</v>
      </c>
      <c r="K690" t="s">
        <v>52</v>
      </c>
      <c r="L690" t="s">
        <v>248</v>
      </c>
      <c r="M690" t="s">
        <v>373</v>
      </c>
      <c r="N690" t="str">
        <f t="shared" si="54"/>
        <v>Фролов Сергей ВикторовичОрлова Валерия Юрьевна</v>
      </c>
      <c r="O690" t="s">
        <v>27</v>
      </c>
      <c r="P690" t="s">
        <v>81</v>
      </c>
      <c r="Q690" t="s">
        <v>245</v>
      </c>
    </row>
    <row r="691" spans="4:17" x14ac:dyDescent="0.25">
      <c r="D691" t="s">
        <v>27</v>
      </c>
      <c r="E691" t="s">
        <v>115</v>
      </c>
      <c r="F691" t="str">
        <f t="shared" si="50"/>
        <v>2024-01-08</v>
      </c>
      <c r="G691" t="str">
        <f t="shared" si="51"/>
        <v>2024-08-26</v>
      </c>
      <c r="H691">
        <f t="shared" si="52"/>
        <v>231</v>
      </c>
      <c r="J691" t="str">
        <f t="shared" si="53"/>
        <v>Белов Алексей КонстантиновичНовикова Дарья Викторовна</v>
      </c>
      <c r="K691" t="s">
        <v>8</v>
      </c>
      <c r="L691" t="s">
        <v>138</v>
      </c>
      <c r="M691" t="s">
        <v>373</v>
      </c>
      <c r="N691" t="str">
        <f t="shared" si="54"/>
        <v>Фролов Сергей ВикторовичАлексеева Алиса Александровна</v>
      </c>
      <c r="O691" t="s">
        <v>27</v>
      </c>
      <c r="P691" t="s">
        <v>89</v>
      </c>
      <c r="Q691" t="s">
        <v>242</v>
      </c>
    </row>
    <row r="692" spans="4:17" x14ac:dyDescent="0.25">
      <c r="D692" t="s">
        <v>27</v>
      </c>
      <c r="E692" t="s">
        <v>229</v>
      </c>
      <c r="F692" t="str">
        <f t="shared" si="50"/>
        <v>2024-05-02</v>
      </c>
      <c r="G692" t="str">
        <f t="shared" si="51"/>
        <v>2024-07-04</v>
      </c>
      <c r="H692">
        <f t="shared" si="52"/>
        <v>63</v>
      </c>
      <c r="J692" t="str">
        <f t="shared" si="53"/>
        <v>Яковлев Артем ИгоревичСмирнов Константин Михайлович</v>
      </c>
      <c r="K692" t="s">
        <v>52</v>
      </c>
      <c r="L692" t="s">
        <v>85</v>
      </c>
      <c r="M692" t="s">
        <v>374</v>
      </c>
      <c r="N692" t="str">
        <f t="shared" si="54"/>
        <v>Фролов Сергей ВикторовичВасильев Георгий Станиславович</v>
      </c>
      <c r="O692" t="s">
        <v>27</v>
      </c>
      <c r="P692" t="s">
        <v>243</v>
      </c>
      <c r="Q692" t="s">
        <v>242</v>
      </c>
    </row>
    <row r="693" spans="4:17" x14ac:dyDescent="0.25">
      <c r="D693" t="s">
        <v>27</v>
      </c>
      <c r="E693" t="s">
        <v>131</v>
      </c>
      <c r="F693" t="str">
        <f t="shared" si="50"/>
        <v>2024-01-22</v>
      </c>
      <c r="G693" t="str">
        <f t="shared" si="51"/>
        <v>2024-01-22</v>
      </c>
      <c r="H693">
        <f t="shared" si="52"/>
        <v>0</v>
      </c>
      <c r="J693" t="str">
        <f t="shared" si="53"/>
        <v>Сидорова Елена ВасильевнаСидорова Виктория Ильинична</v>
      </c>
      <c r="K693" t="s">
        <v>12</v>
      </c>
      <c r="L693" t="s">
        <v>270</v>
      </c>
      <c r="M693" t="s">
        <v>374</v>
      </c>
      <c r="N693" t="str">
        <f t="shared" si="54"/>
        <v>Белов Алексей КонстантиновичВасильева Татьяна Геннадьевна</v>
      </c>
      <c r="O693" t="s">
        <v>8</v>
      </c>
      <c r="P693" t="s">
        <v>37</v>
      </c>
      <c r="Q693" t="s">
        <v>242</v>
      </c>
    </row>
    <row r="694" spans="4:17" x14ac:dyDescent="0.25">
      <c r="D694" t="s">
        <v>27</v>
      </c>
      <c r="E694" t="s">
        <v>74</v>
      </c>
      <c r="F694" t="str">
        <f t="shared" si="50"/>
        <v>2023-11-23</v>
      </c>
      <c r="G694" t="str">
        <f t="shared" si="51"/>
        <v>2024-03-25</v>
      </c>
      <c r="H694">
        <f t="shared" si="52"/>
        <v>123</v>
      </c>
      <c r="J694" t="str">
        <f t="shared" si="53"/>
        <v>Орлов Павел ДенисовичИванова Анна Викторовна</v>
      </c>
      <c r="K694" t="s">
        <v>17</v>
      </c>
      <c r="L694" t="s">
        <v>281</v>
      </c>
      <c r="M694" t="s">
        <v>374</v>
      </c>
      <c r="N694" t="str">
        <f t="shared" si="54"/>
        <v>Семенова Ирина ВалерьевнаВолков Никита Кириллович</v>
      </c>
      <c r="O694" t="s">
        <v>46</v>
      </c>
      <c r="P694" t="s">
        <v>240</v>
      </c>
      <c r="Q694" t="s">
        <v>241</v>
      </c>
    </row>
    <row r="695" spans="4:17" x14ac:dyDescent="0.25">
      <c r="D695" t="s">
        <v>27</v>
      </c>
      <c r="E695" t="s">
        <v>113</v>
      </c>
      <c r="F695" t="str">
        <f t="shared" si="50"/>
        <v>2024-01-08</v>
      </c>
      <c r="G695" t="str">
        <f t="shared" si="51"/>
        <v>2024-02-28</v>
      </c>
      <c r="H695">
        <f t="shared" si="52"/>
        <v>51</v>
      </c>
      <c r="J695" t="str">
        <f t="shared" si="53"/>
        <v>Фролов Сергей ВикторовичСеменов Андрей Кириллович</v>
      </c>
      <c r="K695" t="s">
        <v>27</v>
      </c>
      <c r="L695" t="s">
        <v>93</v>
      </c>
      <c r="M695" t="s">
        <v>374</v>
      </c>
      <c r="N695" t="str">
        <f t="shared" si="54"/>
        <v>Орлов Павел ДенисовичВасильева Алиса Дмитриевна</v>
      </c>
      <c r="O695" t="s">
        <v>17</v>
      </c>
      <c r="P695" t="s">
        <v>216</v>
      </c>
      <c r="Q695" t="s">
        <v>241</v>
      </c>
    </row>
    <row r="696" spans="4:17" x14ac:dyDescent="0.25">
      <c r="D696" t="s">
        <v>27</v>
      </c>
      <c r="E696" t="s">
        <v>173</v>
      </c>
      <c r="F696" t="str">
        <f t="shared" si="50"/>
        <v>2024-07-01</v>
      </c>
      <c r="G696" t="str">
        <f t="shared" si="51"/>
        <v>2024-07-01</v>
      </c>
      <c r="H696">
        <f t="shared" si="52"/>
        <v>0</v>
      </c>
      <c r="J696" t="str">
        <f t="shared" si="53"/>
        <v>Орлов Павел ДенисовичМорозова София Артемовна</v>
      </c>
      <c r="K696" t="s">
        <v>17</v>
      </c>
      <c r="L696" t="s">
        <v>140</v>
      </c>
      <c r="M696" t="s">
        <v>374</v>
      </c>
      <c r="N696" t="str">
        <f t="shared" si="54"/>
        <v>Фролов Сергей ВикторовичКозлова Полина Кирилловна</v>
      </c>
      <c r="O696" t="s">
        <v>27</v>
      </c>
      <c r="P696" t="s">
        <v>67</v>
      </c>
      <c r="Q696" t="s">
        <v>241</v>
      </c>
    </row>
    <row r="697" spans="4:17" x14ac:dyDescent="0.25">
      <c r="D697" t="s">
        <v>27</v>
      </c>
      <c r="E697" t="s">
        <v>67</v>
      </c>
      <c r="F697" t="str">
        <f t="shared" si="50"/>
        <v>2023-12-26</v>
      </c>
      <c r="G697" t="str">
        <f t="shared" si="51"/>
        <v>2023-12-26</v>
      </c>
      <c r="H697">
        <f t="shared" si="52"/>
        <v>0</v>
      </c>
      <c r="J697" t="str">
        <f t="shared" si="53"/>
        <v>Семенова Ирина ВалерьевнаОрлов Владимир Геннадьевич</v>
      </c>
      <c r="K697" t="s">
        <v>46</v>
      </c>
      <c r="L697" t="s">
        <v>272</v>
      </c>
      <c r="M697" t="s">
        <v>374</v>
      </c>
      <c r="N697" t="str">
        <f t="shared" si="54"/>
        <v>Фролов Сергей ВикторовичНиколаев Павел Артемович</v>
      </c>
      <c r="O697" t="s">
        <v>27</v>
      </c>
      <c r="P697" t="s">
        <v>235</v>
      </c>
      <c r="Q697" t="s">
        <v>236</v>
      </c>
    </row>
    <row r="698" spans="4:17" x14ac:dyDescent="0.25">
      <c r="D698" t="s">
        <v>27</v>
      </c>
      <c r="E698" t="s">
        <v>248</v>
      </c>
      <c r="F698" t="str">
        <f t="shared" si="50"/>
        <v>2024-08-26</v>
      </c>
      <c r="G698" t="str">
        <f t="shared" si="51"/>
        <v>2024-08-26</v>
      </c>
      <c r="H698">
        <f t="shared" si="52"/>
        <v>0</v>
      </c>
      <c r="J698" t="str">
        <f t="shared" si="53"/>
        <v>Сидорова Елена ВасильевнаСидоров Михаил Артемович</v>
      </c>
      <c r="K698" t="s">
        <v>12</v>
      </c>
      <c r="L698" t="s">
        <v>185</v>
      </c>
      <c r="M698" t="s">
        <v>375</v>
      </c>
      <c r="N698" t="str">
        <f t="shared" si="54"/>
        <v>Кузнецов Дмитрий ЛьвовичЛебедев Иван Юрьевич</v>
      </c>
      <c r="O698" t="s">
        <v>23</v>
      </c>
      <c r="P698" t="s">
        <v>237</v>
      </c>
      <c r="Q698" t="s">
        <v>236</v>
      </c>
    </row>
    <row r="699" spans="4:17" x14ac:dyDescent="0.25">
      <c r="D699" t="s">
        <v>27</v>
      </c>
      <c r="E699" t="s">
        <v>6</v>
      </c>
      <c r="F699" t="str">
        <f t="shared" si="50"/>
        <v>2024-06-17</v>
      </c>
      <c r="G699" t="str">
        <f t="shared" si="51"/>
        <v>2024-06-17</v>
      </c>
      <c r="H699">
        <f t="shared" si="52"/>
        <v>0</v>
      </c>
      <c r="J699" t="str">
        <f t="shared" si="53"/>
        <v>Семенова Ирина ВалерьевнаПопова Светлана Владимировна</v>
      </c>
      <c r="K699" t="s">
        <v>46</v>
      </c>
      <c r="L699" t="s">
        <v>316</v>
      </c>
      <c r="M699" t="s">
        <v>376</v>
      </c>
      <c r="N699" t="str">
        <f t="shared" si="54"/>
        <v>Орлов Павел ДенисовичФедорова Алиса Кирилловна</v>
      </c>
      <c r="O699" t="s">
        <v>17</v>
      </c>
      <c r="P699" t="s">
        <v>193</v>
      </c>
      <c r="Q699" t="s">
        <v>236</v>
      </c>
    </row>
    <row r="700" spans="4:17" x14ac:dyDescent="0.25">
      <c r="D700" t="s">
        <v>27</v>
      </c>
      <c r="E700" t="s">
        <v>238</v>
      </c>
      <c r="F700" t="str">
        <f t="shared" si="50"/>
        <v>2024-04-24</v>
      </c>
      <c r="G700" t="str">
        <f t="shared" si="51"/>
        <v>2024-04-24</v>
      </c>
      <c r="H700">
        <f t="shared" si="52"/>
        <v>0</v>
      </c>
      <c r="J700" t="str">
        <f t="shared" si="53"/>
        <v>Орлов Павел ДенисовичОрлова Александра Викторовна</v>
      </c>
      <c r="K700" t="s">
        <v>17</v>
      </c>
      <c r="L700" t="s">
        <v>34</v>
      </c>
      <c r="M700" t="s">
        <v>376</v>
      </c>
      <c r="N700" t="str">
        <f t="shared" si="54"/>
        <v>Новикова Ольга ПетровнаЛебедева Людмила Юрьевна</v>
      </c>
      <c r="O700" t="s">
        <v>10</v>
      </c>
      <c r="P700" t="s">
        <v>238</v>
      </c>
      <c r="Q700" t="s">
        <v>236</v>
      </c>
    </row>
    <row r="701" spans="4:17" x14ac:dyDescent="0.25">
      <c r="D701" t="s">
        <v>27</v>
      </c>
      <c r="E701" t="s">
        <v>32</v>
      </c>
      <c r="F701" t="str">
        <f t="shared" si="50"/>
        <v>2024-02-06</v>
      </c>
      <c r="G701" t="str">
        <f t="shared" si="51"/>
        <v>2024-02-06</v>
      </c>
      <c r="H701">
        <f t="shared" si="52"/>
        <v>0</v>
      </c>
      <c r="J701" t="str">
        <f t="shared" si="53"/>
        <v>Новикова Ольга ПетровнаПавлова Анна Артемовна</v>
      </c>
      <c r="K701" t="s">
        <v>10</v>
      </c>
      <c r="L701" t="s">
        <v>214</v>
      </c>
      <c r="M701" t="s">
        <v>376</v>
      </c>
      <c r="N701" t="str">
        <f t="shared" si="54"/>
        <v>Иванова Анна СергеевнаОрлов Роман Дмитриевич</v>
      </c>
      <c r="O701" t="s">
        <v>48</v>
      </c>
      <c r="P701" t="s">
        <v>239</v>
      </c>
      <c r="Q701" t="s">
        <v>236</v>
      </c>
    </row>
    <row r="702" spans="4:17" x14ac:dyDescent="0.25">
      <c r="D702" t="s">
        <v>27</v>
      </c>
      <c r="E702" t="s">
        <v>335</v>
      </c>
      <c r="F702" t="str">
        <f t="shared" si="50"/>
        <v>2024-04-24</v>
      </c>
      <c r="G702" t="str">
        <f t="shared" si="51"/>
        <v>2024-04-24</v>
      </c>
      <c r="H702">
        <f t="shared" si="52"/>
        <v>0</v>
      </c>
      <c r="J702" t="str">
        <f t="shared" si="53"/>
        <v>Петров Владимир КирилловичСтепанов Роман Павлович</v>
      </c>
      <c r="K702" t="s">
        <v>36</v>
      </c>
      <c r="L702" t="s">
        <v>190</v>
      </c>
      <c r="M702" t="s">
        <v>377</v>
      </c>
      <c r="N702" t="str">
        <f t="shared" si="54"/>
        <v>Кузнецов Дмитрий ЛьвовичСтепанов Никита Михайлович</v>
      </c>
      <c r="O702" t="s">
        <v>23</v>
      </c>
      <c r="P702" t="s">
        <v>68</v>
      </c>
      <c r="Q702" t="s">
        <v>236</v>
      </c>
    </row>
    <row r="703" spans="4:17" x14ac:dyDescent="0.25">
      <c r="D703" t="s">
        <v>27</v>
      </c>
      <c r="E703" t="s">
        <v>44</v>
      </c>
      <c r="F703" t="str">
        <f t="shared" si="50"/>
        <v>2024-01-11</v>
      </c>
      <c r="G703" t="str">
        <f t="shared" si="51"/>
        <v>2024-01-11</v>
      </c>
      <c r="H703">
        <f t="shared" si="52"/>
        <v>0</v>
      </c>
      <c r="J703" t="str">
        <f t="shared" si="53"/>
        <v>Орлов Павел ДенисовичПетрова София Алексеевна</v>
      </c>
      <c r="K703" t="s">
        <v>17</v>
      </c>
      <c r="L703" t="s">
        <v>59</v>
      </c>
      <c r="M703" t="s">
        <v>377</v>
      </c>
      <c r="N703" t="str">
        <f t="shared" si="54"/>
        <v>Кузнецов Дмитрий ЛьвовичСмирнов Михаил Алексеевич</v>
      </c>
      <c r="O703" t="s">
        <v>23</v>
      </c>
      <c r="P703" t="s">
        <v>28</v>
      </c>
      <c r="Q703" t="s">
        <v>236</v>
      </c>
    </row>
    <row r="704" spans="4:17" x14ac:dyDescent="0.25">
      <c r="D704" t="s">
        <v>27</v>
      </c>
      <c r="E704" t="s">
        <v>144</v>
      </c>
      <c r="F704" t="str">
        <f t="shared" si="50"/>
        <v>2024-03-25</v>
      </c>
      <c r="G704" t="str">
        <f t="shared" si="51"/>
        <v>2024-03-25</v>
      </c>
      <c r="H704">
        <f t="shared" si="52"/>
        <v>0</v>
      </c>
      <c r="J704" t="str">
        <f t="shared" si="53"/>
        <v>Кузнецов Дмитрий ЛьвовичНиколаев Павел Артемович</v>
      </c>
      <c r="K704" t="s">
        <v>23</v>
      </c>
      <c r="L704" t="s">
        <v>235</v>
      </c>
      <c r="M704" t="s">
        <v>377</v>
      </c>
      <c r="N704" t="str">
        <f t="shared" si="54"/>
        <v>Яковлев Артем ИгоревичНовикова Дарья Викторовна</v>
      </c>
      <c r="O704" t="s">
        <v>52</v>
      </c>
      <c r="P704" t="s">
        <v>138</v>
      </c>
      <c r="Q704" t="s">
        <v>236</v>
      </c>
    </row>
    <row r="705" spans="4:17" x14ac:dyDescent="0.25">
      <c r="D705" t="s">
        <v>27</v>
      </c>
      <c r="E705" t="s">
        <v>80</v>
      </c>
      <c r="F705" t="str">
        <f t="shared" si="50"/>
        <v>2023-09-21</v>
      </c>
      <c r="G705" t="str">
        <f t="shared" si="51"/>
        <v>2023-09-21</v>
      </c>
      <c r="H705">
        <f t="shared" si="52"/>
        <v>0</v>
      </c>
      <c r="J705" t="str">
        <f t="shared" si="53"/>
        <v>Орлов Павел ДенисовичПавлов Павел Павлович</v>
      </c>
      <c r="K705" t="s">
        <v>17</v>
      </c>
      <c r="L705" t="s">
        <v>207</v>
      </c>
      <c r="M705" t="s">
        <v>377</v>
      </c>
      <c r="N705" t="str">
        <f t="shared" si="54"/>
        <v>Яковлев Артем ИгоревичВолкова Татьяна Егоровна</v>
      </c>
      <c r="O705" t="s">
        <v>52</v>
      </c>
      <c r="P705" t="s">
        <v>22</v>
      </c>
      <c r="Q705" t="s">
        <v>236</v>
      </c>
    </row>
    <row r="706" spans="4:17" x14ac:dyDescent="0.25">
      <c r="D706" t="s">
        <v>27</v>
      </c>
      <c r="E706" t="s">
        <v>235</v>
      </c>
      <c r="F706" t="str">
        <f t="shared" si="50"/>
        <v>2023-12-25</v>
      </c>
      <c r="G706" t="str">
        <f t="shared" si="51"/>
        <v>2024-06-24</v>
      </c>
      <c r="H706">
        <f t="shared" si="52"/>
        <v>182</v>
      </c>
      <c r="J706" t="str">
        <f t="shared" si="53"/>
        <v>Ткаченко Андрей ОлеговичПопова Екатерина Владимировна</v>
      </c>
      <c r="K706" t="s">
        <v>5</v>
      </c>
      <c r="L706" t="s">
        <v>11</v>
      </c>
      <c r="M706" t="s">
        <v>377</v>
      </c>
      <c r="N706" t="str">
        <f t="shared" si="54"/>
        <v>Сидорова Елена ВасильевнаКозлова Алиса Алексеевна</v>
      </c>
      <c r="O706" t="s">
        <v>12</v>
      </c>
      <c r="P706" t="s">
        <v>156</v>
      </c>
      <c r="Q706" t="s">
        <v>236</v>
      </c>
    </row>
    <row r="707" spans="4:17" x14ac:dyDescent="0.25">
      <c r="D707" t="s">
        <v>27</v>
      </c>
      <c r="E707" t="s">
        <v>66</v>
      </c>
      <c r="F707" t="str">
        <f t="shared" ref="F707:F770" si="55">VLOOKUP(D707&amp;E707,J:M,4,0)</f>
        <v>2023-09-22</v>
      </c>
      <c r="G707" t="str">
        <f t="shared" ref="G707:G770" si="56">VLOOKUP(D707&amp;E707,N:Q,4,0)</f>
        <v>2024-02-09</v>
      </c>
      <c r="H707">
        <f t="shared" ref="H707:H770" si="57">G707-F707</f>
        <v>140</v>
      </c>
      <c r="J707" t="str">
        <f t="shared" ref="J707:J770" si="58">K707&amp;L707</f>
        <v>Новикова Ольга ПетровнаОрлов Владимир Геннадьевич</v>
      </c>
      <c r="K707" t="s">
        <v>10</v>
      </c>
      <c r="L707" t="s">
        <v>272</v>
      </c>
      <c r="M707" t="s">
        <v>377</v>
      </c>
      <c r="N707" t="str">
        <f t="shared" ref="N707:N770" si="59">O707&amp;P707</f>
        <v>Иванова Анна СергеевнаВолкова Валерия Олеговна</v>
      </c>
      <c r="O707" t="s">
        <v>48</v>
      </c>
      <c r="P707" t="s">
        <v>55</v>
      </c>
      <c r="Q707" t="s">
        <v>234</v>
      </c>
    </row>
    <row r="708" spans="4:17" x14ac:dyDescent="0.25">
      <c r="D708" t="s">
        <v>27</v>
      </c>
      <c r="E708" t="s">
        <v>181</v>
      </c>
      <c r="F708" t="str">
        <f t="shared" si="55"/>
        <v>2024-01-05</v>
      </c>
      <c r="G708" t="str">
        <f t="shared" si="56"/>
        <v>2024-01-05</v>
      </c>
      <c r="H708">
        <f t="shared" si="57"/>
        <v>0</v>
      </c>
      <c r="J708" t="str">
        <f t="shared" si="58"/>
        <v>Орлов Павел ДенисовичПетрова Людмила Ильинична</v>
      </c>
      <c r="K708" t="s">
        <v>17</v>
      </c>
      <c r="L708" t="s">
        <v>29</v>
      </c>
      <c r="M708" t="s">
        <v>378</v>
      </c>
      <c r="N708" t="str">
        <f t="shared" si="59"/>
        <v>Кузнецов Дмитрий ЛьвовичПавлов Константин Никитич</v>
      </c>
      <c r="O708" t="s">
        <v>23</v>
      </c>
      <c r="P708" t="s">
        <v>232</v>
      </c>
      <c r="Q708" t="s">
        <v>233</v>
      </c>
    </row>
    <row r="709" spans="4:17" x14ac:dyDescent="0.25">
      <c r="D709" t="s">
        <v>27</v>
      </c>
      <c r="E709" t="s">
        <v>102</v>
      </c>
      <c r="F709" t="str">
        <f t="shared" si="55"/>
        <v>2024-07-01</v>
      </c>
      <c r="G709" t="str">
        <f t="shared" si="56"/>
        <v>2024-07-01</v>
      </c>
      <c r="H709">
        <f t="shared" si="57"/>
        <v>0</v>
      </c>
      <c r="J709" t="str">
        <f t="shared" si="58"/>
        <v>Иванова Анна СергеевнаПопова Ольга Егоровна</v>
      </c>
      <c r="K709" t="s">
        <v>48</v>
      </c>
      <c r="L709" t="s">
        <v>9</v>
      </c>
      <c r="M709" t="s">
        <v>378</v>
      </c>
      <c r="N709" t="str">
        <f t="shared" si="59"/>
        <v>Орлов Павел ДенисовичВасильев Александр Иванович</v>
      </c>
      <c r="O709" t="s">
        <v>17</v>
      </c>
      <c r="P709" t="s">
        <v>158</v>
      </c>
      <c r="Q709" t="s">
        <v>233</v>
      </c>
    </row>
    <row r="710" spans="4:17" x14ac:dyDescent="0.25">
      <c r="D710" t="s">
        <v>27</v>
      </c>
      <c r="E710" t="s">
        <v>138</v>
      </c>
      <c r="F710" t="str">
        <f t="shared" si="55"/>
        <v>2023-10-16</v>
      </c>
      <c r="G710" t="str">
        <f t="shared" si="56"/>
        <v>2024-02-05</v>
      </c>
      <c r="H710">
        <f t="shared" si="57"/>
        <v>112</v>
      </c>
      <c r="J710" t="str">
        <f t="shared" si="58"/>
        <v>Яковлев Артем ИгоревичПетрова Людмила Олеговна</v>
      </c>
      <c r="K710" t="s">
        <v>52</v>
      </c>
      <c r="L710" t="s">
        <v>70</v>
      </c>
      <c r="M710" t="s">
        <v>378</v>
      </c>
      <c r="N710" t="str">
        <f t="shared" si="59"/>
        <v>Новикова Ольга ПетровнаКузнецова София Сергеевна</v>
      </c>
      <c r="O710" t="s">
        <v>10</v>
      </c>
      <c r="P710" t="s">
        <v>86</v>
      </c>
      <c r="Q710" t="s">
        <v>230</v>
      </c>
    </row>
    <row r="711" spans="4:17" x14ac:dyDescent="0.25">
      <c r="D711" t="s">
        <v>27</v>
      </c>
      <c r="E711" t="s">
        <v>312</v>
      </c>
      <c r="F711" t="str">
        <f t="shared" si="55"/>
        <v>2024-02-29</v>
      </c>
      <c r="G711" t="str">
        <f t="shared" si="56"/>
        <v>2024-03-04</v>
      </c>
      <c r="H711">
        <f t="shared" si="57"/>
        <v>4</v>
      </c>
      <c r="J711" t="str">
        <f t="shared" si="58"/>
        <v>Громова Мария ИльиничнаСидорова Вероника Павловна</v>
      </c>
      <c r="K711" t="s">
        <v>15</v>
      </c>
      <c r="L711" t="s">
        <v>163</v>
      </c>
      <c r="M711" t="s">
        <v>379</v>
      </c>
      <c r="N711" t="str">
        <f t="shared" si="59"/>
        <v>Иванова Анна СергеевнаКузнецов Георгий Никитич</v>
      </c>
      <c r="O711" t="s">
        <v>48</v>
      </c>
      <c r="P711" t="s">
        <v>188</v>
      </c>
      <c r="Q711" t="s">
        <v>230</v>
      </c>
    </row>
    <row r="712" spans="4:17" x14ac:dyDescent="0.25">
      <c r="D712" t="s">
        <v>27</v>
      </c>
      <c r="E712" t="s">
        <v>79</v>
      </c>
      <c r="F712" t="str">
        <f t="shared" si="55"/>
        <v>2023-10-30</v>
      </c>
      <c r="G712" t="str">
        <f t="shared" si="56"/>
        <v>2023-10-30</v>
      </c>
      <c r="H712">
        <f t="shared" si="57"/>
        <v>0</v>
      </c>
      <c r="J712" t="str">
        <f t="shared" si="58"/>
        <v>Иванова Анна СергеевнаЛебедева Людмила Юрьевна</v>
      </c>
      <c r="K712" t="s">
        <v>48</v>
      </c>
      <c r="L712" t="s">
        <v>238</v>
      </c>
      <c r="M712" t="s">
        <v>380</v>
      </c>
      <c r="N712" t="str">
        <f t="shared" si="59"/>
        <v>Петров Владимир КирилловичМорозов Илья Викторович</v>
      </c>
      <c r="O712" t="s">
        <v>36</v>
      </c>
      <c r="P712" t="s">
        <v>231</v>
      </c>
      <c r="Q712" t="s">
        <v>230</v>
      </c>
    </row>
    <row r="713" spans="4:17" x14ac:dyDescent="0.25">
      <c r="D713" t="s">
        <v>27</v>
      </c>
      <c r="E713" t="s">
        <v>87</v>
      </c>
      <c r="F713" t="str">
        <f t="shared" si="55"/>
        <v>2023-09-25</v>
      </c>
      <c r="G713" t="str">
        <f t="shared" si="56"/>
        <v>2024-06-14</v>
      </c>
      <c r="H713">
        <f t="shared" si="57"/>
        <v>263</v>
      </c>
      <c r="J713" t="str">
        <f t="shared" si="58"/>
        <v>Сидорова Елена ВасильевнаАлексеева Полина Станиславовна</v>
      </c>
      <c r="K713" t="s">
        <v>12</v>
      </c>
      <c r="L713" t="s">
        <v>180</v>
      </c>
      <c r="M713" t="s">
        <v>380</v>
      </c>
      <c r="N713" t="str">
        <f t="shared" si="59"/>
        <v>Кузнецов Дмитрий ЛьвовичОрлов Алексей Сергеевич</v>
      </c>
      <c r="O713" t="s">
        <v>23</v>
      </c>
      <c r="P713" t="s">
        <v>53</v>
      </c>
      <c r="Q713" t="s">
        <v>230</v>
      </c>
    </row>
    <row r="714" spans="4:17" x14ac:dyDescent="0.25">
      <c r="D714" t="s">
        <v>27</v>
      </c>
      <c r="E714" t="s">
        <v>239</v>
      </c>
      <c r="F714" t="str">
        <f t="shared" si="55"/>
        <v>2024-01-10</v>
      </c>
      <c r="G714" t="str">
        <f t="shared" si="56"/>
        <v>2024-01-10</v>
      </c>
      <c r="H714">
        <f t="shared" si="57"/>
        <v>0</v>
      </c>
      <c r="J714" t="str">
        <f t="shared" si="58"/>
        <v>Иванова Анна СергеевнаОрлова Александра Викторовна</v>
      </c>
      <c r="K714" t="s">
        <v>48</v>
      </c>
      <c r="L714" t="s">
        <v>34</v>
      </c>
      <c r="M714" t="s">
        <v>380</v>
      </c>
      <c r="N714" t="str">
        <f t="shared" si="59"/>
        <v>Орлов Павел ДенисовичИванова Екатерина Егоровна</v>
      </c>
      <c r="O714" t="s">
        <v>17</v>
      </c>
      <c r="P714" t="s">
        <v>131</v>
      </c>
      <c r="Q714" t="s">
        <v>230</v>
      </c>
    </row>
    <row r="715" spans="4:17" x14ac:dyDescent="0.25">
      <c r="D715" t="s">
        <v>27</v>
      </c>
      <c r="E715" t="s">
        <v>81</v>
      </c>
      <c r="F715" t="str">
        <f t="shared" si="55"/>
        <v>2023-09-21</v>
      </c>
      <c r="G715" t="str">
        <f t="shared" si="56"/>
        <v>2024-01-09</v>
      </c>
      <c r="H715">
        <f t="shared" si="57"/>
        <v>110</v>
      </c>
      <c r="J715" t="str">
        <f t="shared" si="58"/>
        <v>Ткаченко Андрей ОлеговичСмирнов Егор Никитич</v>
      </c>
      <c r="K715" t="s">
        <v>5</v>
      </c>
      <c r="L715" t="s">
        <v>296</v>
      </c>
      <c r="M715" t="s">
        <v>380</v>
      </c>
      <c r="N715" t="str">
        <f t="shared" si="59"/>
        <v>Громова Мария ИльиничнаСеменова Вероника Павловна</v>
      </c>
      <c r="O715" t="s">
        <v>15</v>
      </c>
      <c r="P715" t="s">
        <v>61</v>
      </c>
      <c r="Q715" t="s">
        <v>230</v>
      </c>
    </row>
    <row r="716" spans="4:17" x14ac:dyDescent="0.25">
      <c r="D716" t="s">
        <v>27</v>
      </c>
      <c r="E716" t="s">
        <v>103</v>
      </c>
      <c r="F716" t="str">
        <f t="shared" si="55"/>
        <v>2023-09-29</v>
      </c>
      <c r="G716" t="str">
        <f t="shared" si="56"/>
        <v>2023-09-29</v>
      </c>
      <c r="H716">
        <f t="shared" si="57"/>
        <v>0</v>
      </c>
      <c r="J716" t="str">
        <f t="shared" si="58"/>
        <v>Белов Алексей КонстантиновичАлексеева Виктория Александровна</v>
      </c>
      <c r="K716" t="s">
        <v>8</v>
      </c>
      <c r="L716" t="s">
        <v>195</v>
      </c>
      <c r="M716" t="s">
        <v>381</v>
      </c>
      <c r="N716" t="str">
        <f t="shared" si="59"/>
        <v>Ткаченко Андрей ОлеговичМорозов Андрей Иванович</v>
      </c>
      <c r="O716" t="s">
        <v>5</v>
      </c>
      <c r="P716" t="s">
        <v>90</v>
      </c>
      <c r="Q716" t="s">
        <v>226</v>
      </c>
    </row>
    <row r="717" spans="4:17" x14ac:dyDescent="0.25">
      <c r="D717" t="s">
        <v>27</v>
      </c>
      <c r="E717" t="s">
        <v>57</v>
      </c>
      <c r="F717" t="str">
        <f t="shared" si="55"/>
        <v>2023-09-15</v>
      </c>
      <c r="G717" t="str">
        <f t="shared" si="56"/>
        <v>2023-09-15</v>
      </c>
      <c r="H717">
        <f t="shared" si="57"/>
        <v>0</v>
      </c>
      <c r="J717" t="str">
        <f t="shared" si="58"/>
        <v>Петров Владимир КирилловичВасильева Наталья Никитична</v>
      </c>
      <c r="K717" t="s">
        <v>36</v>
      </c>
      <c r="L717" t="s">
        <v>116</v>
      </c>
      <c r="M717" t="s">
        <v>381</v>
      </c>
      <c r="N717" t="str">
        <f t="shared" si="59"/>
        <v>Кузнецов Дмитрий ЛьвовичОрлов Кирилл Владимирович</v>
      </c>
      <c r="O717" t="s">
        <v>23</v>
      </c>
      <c r="P717" t="s">
        <v>79</v>
      </c>
      <c r="Q717" t="s">
        <v>226</v>
      </c>
    </row>
    <row r="718" spans="4:17" x14ac:dyDescent="0.25">
      <c r="D718" t="s">
        <v>27</v>
      </c>
      <c r="E718" t="s">
        <v>151</v>
      </c>
      <c r="F718" t="str">
        <f t="shared" si="55"/>
        <v>2023-10-23</v>
      </c>
      <c r="G718" t="str">
        <f t="shared" si="56"/>
        <v>2024-08-26</v>
      </c>
      <c r="H718">
        <f t="shared" si="57"/>
        <v>308</v>
      </c>
      <c r="J718" t="str">
        <f t="shared" si="58"/>
        <v>Кузнецов Дмитрий ЛьвовичНиколаева Ирина Владимировна</v>
      </c>
      <c r="K718" t="s">
        <v>23</v>
      </c>
      <c r="L718" t="s">
        <v>66</v>
      </c>
      <c r="M718" t="s">
        <v>381</v>
      </c>
      <c r="N718" t="str">
        <f t="shared" si="59"/>
        <v>Кузнецов Дмитрий ЛьвовичИванов Роман Никитич</v>
      </c>
      <c r="O718" t="s">
        <v>23</v>
      </c>
      <c r="P718" t="s">
        <v>227</v>
      </c>
      <c r="Q718" t="s">
        <v>226</v>
      </c>
    </row>
    <row r="719" spans="4:17" x14ac:dyDescent="0.25">
      <c r="D719" t="s">
        <v>27</v>
      </c>
      <c r="E719" t="s">
        <v>171</v>
      </c>
      <c r="F719" t="str">
        <f t="shared" si="55"/>
        <v>2024-06-25</v>
      </c>
      <c r="G719" t="str">
        <f t="shared" si="56"/>
        <v>2024-06-25</v>
      </c>
      <c r="H719">
        <f t="shared" si="57"/>
        <v>0</v>
      </c>
      <c r="J719" t="str">
        <f t="shared" si="58"/>
        <v>Ткаченко Андрей ОлеговичФедоров Александр Дмитриевич</v>
      </c>
      <c r="K719" t="s">
        <v>5</v>
      </c>
      <c r="L719" t="s">
        <v>136</v>
      </c>
      <c r="M719" t="s">
        <v>381</v>
      </c>
      <c r="N719" t="str">
        <f t="shared" si="59"/>
        <v>Белов Алексей КонстантиновичСмирнова София Ивановна</v>
      </c>
      <c r="O719" t="s">
        <v>8</v>
      </c>
      <c r="P719" t="s">
        <v>25</v>
      </c>
      <c r="Q719" t="s">
        <v>226</v>
      </c>
    </row>
    <row r="720" spans="4:17" x14ac:dyDescent="0.25">
      <c r="D720" t="s">
        <v>27</v>
      </c>
      <c r="E720" t="s">
        <v>98</v>
      </c>
      <c r="F720" t="str">
        <f t="shared" si="55"/>
        <v>2024-03-12</v>
      </c>
      <c r="G720" t="str">
        <f t="shared" si="56"/>
        <v>2024-04-08</v>
      </c>
      <c r="H720">
        <f t="shared" si="57"/>
        <v>27</v>
      </c>
      <c r="J720" t="str">
        <f t="shared" si="58"/>
        <v>Ткаченко Андрей ОлеговичСтепанов Алексей Артемович</v>
      </c>
      <c r="K720" t="s">
        <v>5</v>
      </c>
      <c r="L720" t="s">
        <v>206</v>
      </c>
      <c r="M720" t="s">
        <v>381</v>
      </c>
      <c r="N720" t="str">
        <f t="shared" si="59"/>
        <v>Семенова Ирина ВалерьевнаПетров Алексей Артемович</v>
      </c>
      <c r="O720" t="s">
        <v>46</v>
      </c>
      <c r="P720" t="s">
        <v>151</v>
      </c>
      <c r="Q720" t="s">
        <v>226</v>
      </c>
    </row>
    <row r="721" spans="4:17" x14ac:dyDescent="0.25">
      <c r="D721" t="s">
        <v>27</v>
      </c>
      <c r="E721" t="s">
        <v>24</v>
      </c>
      <c r="F721" t="str">
        <f t="shared" si="55"/>
        <v>2024-01-05</v>
      </c>
      <c r="G721" t="str">
        <f t="shared" si="56"/>
        <v>2024-01-05</v>
      </c>
      <c r="H721">
        <f t="shared" si="57"/>
        <v>0</v>
      </c>
      <c r="J721" t="str">
        <f t="shared" si="58"/>
        <v>Кузнецов Дмитрий ЛьвовичНовикова Дарья Викторовна</v>
      </c>
      <c r="K721" t="s">
        <v>23</v>
      </c>
      <c r="L721" t="s">
        <v>138</v>
      </c>
      <c r="M721" t="s">
        <v>382</v>
      </c>
      <c r="N721" t="str">
        <f t="shared" si="59"/>
        <v>Иванова Анна СергеевнаВасильева Наталья Никитична</v>
      </c>
      <c r="O721" t="s">
        <v>48</v>
      </c>
      <c r="P721" t="s">
        <v>116</v>
      </c>
      <c r="Q721" t="s">
        <v>226</v>
      </c>
    </row>
    <row r="722" spans="4:17" x14ac:dyDescent="0.25">
      <c r="D722" t="s">
        <v>27</v>
      </c>
      <c r="E722" t="s">
        <v>59</v>
      </c>
      <c r="F722" t="str">
        <f t="shared" si="55"/>
        <v>2023-09-15</v>
      </c>
      <c r="G722" t="str">
        <f t="shared" si="56"/>
        <v>2023-09-15</v>
      </c>
      <c r="H722">
        <f t="shared" si="57"/>
        <v>0</v>
      </c>
      <c r="J722" t="str">
        <f t="shared" si="58"/>
        <v>Яковлев Артем ИгоревичСтепанов Никита Михайлович</v>
      </c>
      <c r="K722" t="s">
        <v>52</v>
      </c>
      <c r="L722" t="s">
        <v>68</v>
      </c>
      <c r="M722" t="s">
        <v>382</v>
      </c>
      <c r="N722" t="str">
        <f t="shared" si="59"/>
        <v>Сидорова Елена ВасильевнаКузнецов Алексей Михайлович</v>
      </c>
      <c r="O722" t="s">
        <v>12</v>
      </c>
      <c r="P722" t="s">
        <v>228</v>
      </c>
      <c r="Q722" t="s">
        <v>226</v>
      </c>
    </row>
    <row r="723" spans="4:17" x14ac:dyDescent="0.25">
      <c r="D723" t="s">
        <v>27</v>
      </c>
      <c r="E723" t="s">
        <v>271</v>
      </c>
      <c r="F723" t="str">
        <f t="shared" si="55"/>
        <v>2024-01-22</v>
      </c>
      <c r="G723" t="str">
        <f t="shared" si="56"/>
        <v>2024-06-05</v>
      </c>
      <c r="H723">
        <f t="shared" si="57"/>
        <v>135</v>
      </c>
      <c r="J723" t="str">
        <f t="shared" si="58"/>
        <v>Петров Владимир КирилловичПопов Владимир Артемович</v>
      </c>
      <c r="K723" t="s">
        <v>36</v>
      </c>
      <c r="L723" t="s">
        <v>203</v>
      </c>
      <c r="M723" t="s">
        <v>382</v>
      </c>
      <c r="N723" t="str">
        <f t="shared" si="59"/>
        <v>Новикова Ольга ПетровнаИванов Андрей Михайлович</v>
      </c>
      <c r="O723" t="s">
        <v>10</v>
      </c>
      <c r="P723" t="s">
        <v>229</v>
      </c>
      <c r="Q723" t="s">
        <v>226</v>
      </c>
    </row>
    <row r="724" spans="4:17" x14ac:dyDescent="0.25">
      <c r="D724" t="s">
        <v>27</v>
      </c>
      <c r="E724" t="s">
        <v>118</v>
      </c>
      <c r="F724" t="str">
        <f t="shared" si="55"/>
        <v>2023-10-09</v>
      </c>
      <c r="G724" t="str">
        <f t="shared" si="56"/>
        <v>2024-07-15</v>
      </c>
      <c r="H724">
        <f t="shared" si="57"/>
        <v>280</v>
      </c>
      <c r="J724" t="str">
        <f t="shared" si="58"/>
        <v>Петров Владимир КирилловичЛебедев Иван Юрьевич</v>
      </c>
      <c r="K724" t="s">
        <v>36</v>
      </c>
      <c r="L724" t="s">
        <v>237</v>
      </c>
      <c r="M724" t="s">
        <v>383</v>
      </c>
      <c r="N724" t="str">
        <f t="shared" si="59"/>
        <v>Фролов Сергей ВикторовичОрлов Максим Егорович</v>
      </c>
      <c r="O724" t="s">
        <v>27</v>
      </c>
      <c r="P724" t="s">
        <v>87</v>
      </c>
      <c r="Q724" t="s">
        <v>226</v>
      </c>
    </row>
    <row r="725" spans="4:17" x14ac:dyDescent="0.25">
      <c r="D725" t="s">
        <v>27</v>
      </c>
      <c r="E725" t="s">
        <v>93</v>
      </c>
      <c r="F725" t="str">
        <f t="shared" si="55"/>
        <v>2024-05-08</v>
      </c>
      <c r="G725" t="str">
        <f t="shared" si="56"/>
        <v>2024-05-08</v>
      </c>
      <c r="H725">
        <f t="shared" si="57"/>
        <v>0</v>
      </c>
      <c r="J725" t="str">
        <f t="shared" si="58"/>
        <v>Сидорова Елена ВасильевнаСидоров Михаил Артемович</v>
      </c>
      <c r="K725" t="s">
        <v>12</v>
      </c>
      <c r="L725" t="s">
        <v>185</v>
      </c>
      <c r="M725" t="s">
        <v>383</v>
      </c>
      <c r="N725" t="str">
        <f t="shared" si="59"/>
        <v>Ткаченко Андрей ОлеговичЕгоров Георгий Никитич</v>
      </c>
      <c r="O725" t="s">
        <v>5</v>
      </c>
      <c r="P725" t="s">
        <v>39</v>
      </c>
      <c r="Q725" t="s">
        <v>225</v>
      </c>
    </row>
    <row r="726" spans="4:17" x14ac:dyDescent="0.25">
      <c r="D726" t="s">
        <v>27</v>
      </c>
      <c r="E726" t="s">
        <v>293</v>
      </c>
      <c r="F726" t="str">
        <f t="shared" si="55"/>
        <v>2024-03-19</v>
      </c>
      <c r="G726" t="str">
        <f t="shared" si="56"/>
        <v>2024-03-19</v>
      </c>
      <c r="H726">
        <f t="shared" si="57"/>
        <v>0</v>
      </c>
      <c r="J726" t="str">
        <f t="shared" si="58"/>
        <v>Сидорова Елена ВасильевнаКозлов Сергей Ильич</v>
      </c>
      <c r="K726" t="s">
        <v>12</v>
      </c>
      <c r="L726" t="s">
        <v>350</v>
      </c>
      <c r="M726" t="s">
        <v>384</v>
      </c>
      <c r="N726" t="str">
        <f t="shared" si="59"/>
        <v>Новикова Ольга ПетровнаПетрова Елена Сергеевна</v>
      </c>
      <c r="O726" t="s">
        <v>10</v>
      </c>
      <c r="P726" t="s">
        <v>123</v>
      </c>
      <c r="Q726" t="s">
        <v>224</v>
      </c>
    </row>
    <row r="727" spans="4:17" x14ac:dyDescent="0.25">
      <c r="D727" t="s">
        <v>27</v>
      </c>
      <c r="E727" t="s">
        <v>13</v>
      </c>
      <c r="F727" t="str">
        <f t="shared" si="55"/>
        <v>2024-07-24</v>
      </c>
      <c r="G727" t="str">
        <f t="shared" si="56"/>
        <v>2024-07-24</v>
      </c>
      <c r="H727">
        <f t="shared" si="57"/>
        <v>0</v>
      </c>
      <c r="J727" t="str">
        <f t="shared" si="58"/>
        <v>Иванова Анна СергеевнаМорозова Светлана Михайловна</v>
      </c>
      <c r="K727" t="s">
        <v>48</v>
      </c>
      <c r="L727" t="s">
        <v>200</v>
      </c>
      <c r="M727" t="s">
        <v>384</v>
      </c>
      <c r="N727" t="str">
        <f t="shared" si="59"/>
        <v>Кузнецов Дмитрий ЛьвовичВасильев Никита Викторович</v>
      </c>
      <c r="O727" t="s">
        <v>23</v>
      </c>
      <c r="P727" t="s">
        <v>47</v>
      </c>
      <c r="Q727" t="s">
        <v>224</v>
      </c>
    </row>
    <row r="728" spans="4:17" x14ac:dyDescent="0.25">
      <c r="D728" t="s">
        <v>27</v>
      </c>
      <c r="E728" t="s">
        <v>141</v>
      </c>
      <c r="F728" t="str">
        <f t="shared" si="55"/>
        <v>2023-10-16</v>
      </c>
      <c r="G728" t="str">
        <f t="shared" si="56"/>
        <v>2023-10-16</v>
      </c>
      <c r="H728">
        <f t="shared" si="57"/>
        <v>0</v>
      </c>
      <c r="J728" t="str">
        <f t="shared" si="58"/>
        <v>Иванова Анна СергеевнаСеменов Алексей Сергеевич</v>
      </c>
      <c r="K728" t="s">
        <v>48</v>
      </c>
      <c r="L728" t="s">
        <v>280</v>
      </c>
      <c r="M728" t="s">
        <v>384</v>
      </c>
      <c r="N728" t="str">
        <f t="shared" si="59"/>
        <v>Ткаченко Андрей ОлеговичПетрова Полина Дмитриевна</v>
      </c>
      <c r="O728" t="s">
        <v>5</v>
      </c>
      <c r="P728" t="s">
        <v>109</v>
      </c>
      <c r="Q728" t="s">
        <v>224</v>
      </c>
    </row>
    <row r="729" spans="4:17" x14ac:dyDescent="0.25">
      <c r="D729" t="s">
        <v>27</v>
      </c>
      <c r="E729" t="s">
        <v>287</v>
      </c>
      <c r="F729" t="str">
        <f t="shared" si="55"/>
        <v>2024-08-19</v>
      </c>
      <c r="G729" t="str">
        <f t="shared" si="56"/>
        <v>2024-08-19</v>
      </c>
      <c r="H729">
        <f t="shared" si="57"/>
        <v>0</v>
      </c>
      <c r="J729" t="str">
        <f t="shared" si="58"/>
        <v>Иванова Анна СергеевнаНиколаева Вероника Юрьевна</v>
      </c>
      <c r="K729" t="s">
        <v>48</v>
      </c>
      <c r="L729" t="s">
        <v>202</v>
      </c>
      <c r="M729" t="s">
        <v>384</v>
      </c>
      <c r="N729" t="str">
        <f t="shared" si="59"/>
        <v>Петров Владимир КирилловичВасильев Никита Викторович</v>
      </c>
      <c r="O729" t="s">
        <v>36</v>
      </c>
      <c r="P729" t="s">
        <v>47</v>
      </c>
      <c r="Q729" t="s">
        <v>222</v>
      </c>
    </row>
    <row r="730" spans="4:17" x14ac:dyDescent="0.25">
      <c r="D730" t="s">
        <v>27</v>
      </c>
      <c r="E730" t="s">
        <v>296</v>
      </c>
      <c r="F730" t="str">
        <f t="shared" si="55"/>
        <v>2024-07-31</v>
      </c>
      <c r="G730" t="str">
        <f t="shared" si="56"/>
        <v>2024-07-31</v>
      </c>
      <c r="H730">
        <f t="shared" si="57"/>
        <v>0</v>
      </c>
      <c r="J730" t="str">
        <f t="shared" si="58"/>
        <v>Новикова Ольга ПетровнаПетров Максим Александрович</v>
      </c>
      <c r="K730" t="s">
        <v>10</v>
      </c>
      <c r="L730" t="s">
        <v>171</v>
      </c>
      <c r="M730" t="s">
        <v>384</v>
      </c>
      <c r="N730" t="str">
        <f t="shared" si="59"/>
        <v>Петров Владимир КирилловичЛебедева Полина Артемовна</v>
      </c>
      <c r="O730" t="s">
        <v>36</v>
      </c>
      <c r="P730" t="s">
        <v>38</v>
      </c>
      <c r="Q730" t="s">
        <v>222</v>
      </c>
    </row>
    <row r="731" spans="4:17" x14ac:dyDescent="0.25">
      <c r="D731" t="s">
        <v>27</v>
      </c>
      <c r="E731" t="s">
        <v>85</v>
      </c>
      <c r="F731" t="str">
        <f t="shared" si="55"/>
        <v>2023-09-22</v>
      </c>
      <c r="G731" t="str">
        <f t="shared" si="56"/>
        <v>2023-09-22</v>
      </c>
      <c r="H731">
        <f t="shared" si="57"/>
        <v>0</v>
      </c>
      <c r="J731" t="str">
        <f t="shared" si="58"/>
        <v>Новикова Ольга ПетровнаПопова Светлана Владимировна</v>
      </c>
      <c r="K731" t="s">
        <v>10</v>
      </c>
      <c r="L731" t="s">
        <v>316</v>
      </c>
      <c r="M731" t="s">
        <v>385</v>
      </c>
      <c r="N731" t="str">
        <f t="shared" si="59"/>
        <v>Ткаченко Андрей ОлеговичПавлов Артур Романович</v>
      </c>
      <c r="O731" t="s">
        <v>5</v>
      </c>
      <c r="P731" t="s">
        <v>223</v>
      </c>
      <c r="Q731" t="s">
        <v>222</v>
      </c>
    </row>
    <row r="732" spans="4:17" x14ac:dyDescent="0.25">
      <c r="D732" t="s">
        <v>27</v>
      </c>
      <c r="E732" t="s">
        <v>28</v>
      </c>
      <c r="F732" t="str">
        <f t="shared" si="55"/>
        <v>2023-09-06</v>
      </c>
      <c r="G732" t="str">
        <f t="shared" si="56"/>
        <v>2023-09-06</v>
      </c>
      <c r="H732">
        <f t="shared" si="57"/>
        <v>0</v>
      </c>
      <c r="J732" t="str">
        <f t="shared" si="58"/>
        <v>Ткаченко Андрей ОлеговичПетров Сергей Викторович</v>
      </c>
      <c r="K732" t="s">
        <v>5</v>
      </c>
      <c r="L732" t="s">
        <v>98</v>
      </c>
      <c r="M732" t="s">
        <v>385</v>
      </c>
      <c r="N732" t="str">
        <f t="shared" si="59"/>
        <v>Громова Мария ИльиничнаКузнецова София Сергеевна</v>
      </c>
      <c r="O732" t="s">
        <v>15</v>
      </c>
      <c r="P732" t="s">
        <v>86</v>
      </c>
      <c r="Q732" t="s">
        <v>221</v>
      </c>
    </row>
    <row r="733" spans="4:17" x14ac:dyDescent="0.25">
      <c r="D733" t="s">
        <v>27</v>
      </c>
      <c r="E733" t="s">
        <v>68</v>
      </c>
      <c r="F733" t="str">
        <f t="shared" si="55"/>
        <v>2024-01-29</v>
      </c>
      <c r="G733" t="str">
        <f t="shared" si="56"/>
        <v>2024-01-29</v>
      </c>
      <c r="H733">
        <f t="shared" si="57"/>
        <v>0</v>
      </c>
      <c r="J733" t="str">
        <f t="shared" si="58"/>
        <v>Новикова Ольга ПетровнаАлексеева Людмила Никитична</v>
      </c>
      <c r="K733" t="s">
        <v>10</v>
      </c>
      <c r="L733" t="s">
        <v>60</v>
      </c>
      <c r="M733" t="s">
        <v>385</v>
      </c>
      <c r="N733" t="str">
        <f t="shared" si="59"/>
        <v>Орлов Павел ДенисовичПетрова София Алексеевна</v>
      </c>
      <c r="O733" t="s">
        <v>17</v>
      </c>
      <c r="P733" t="s">
        <v>59</v>
      </c>
      <c r="Q733" t="s">
        <v>221</v>
      </c>
    </row>
    <row r="734" spans="4:17" x14ac:dyDescent="0.25">
      <c r="D734" t="s">
        <v>27</v>
      </c>
      <c r="E734" t="s">
        <v>190</v>
      </c>
      <c r="F734" t="str">
        <f t="shared" si="55"/>
        <v>2024-02-05</v>
      </c>
      <c r="G734" t="str">
        <f t="shared" si="56"/>
        <v>2024-02-05</v>
      </c>
      <c r="H734">
        <f t="shared" si="57"/>
        <v>0</v>
      </c>
      <c r="J734" t="str">
        <f t="shared" si="58"/>
        <v>Яковлев Артем ИгоревичИванова Александра Никитична</v>
      </c>
      <c r="K734" t="s">
        <v>52</v>
      </c>
      <c r="L734" t="s">
        <v>264</v>
      </c>
      <c r="M734" t="s">
        <v>385</v>
      </c>
      <c r="N734" t="str">
        <f t="shared" si="59"/>
        <v>Иванова Анна СергеевнаВасильев Артур Дмитриевич</v>
      </c>
      <c r="O734" t="s">
        <v>48</v>
      </c>
      <c r="P734" t="s">
        <v>77</v>
      </c>
      <c r="Q734" t="s">
        <v>221</v>
      </c>
    </row>
    <row r="735" spans="4:17" x14ac:dyDescent="0.25">
      <c r="D735" t="s">
        <v>27</v>
      </c>
      <c r="E735" t="s">
        <v>43</v>
      </c>
      <c r="F735" t="str">
        <f t="shared" si="55"/>
        <v>2023-09-11</v>
      </c>
      <c r="G735" t="str">
        <f t="shared" si="56"/>
        <v>2024-07-08</v>
      </c>
      <c r="H735">
        <f t="shared" si="57"/>
        <v>301</v>
      </c>
      <c r="J735" t="str">
        <f t="shared" si="58"/>
        <v>Орлов Павел ДенисовичИванова Александра Никитична</v>
      </c>
      <c r="K735" t="s">
        <v>17</v>
      </c>
      <c r="L735" t="s">
        <v>264</v>
      </c>
      <c r="M735" t="s">
        <v>385</v>
      </c>
      <c r="N735" t="str">
        <f t="shared" si="59"/>
        <v>Ткаченко Андрей ОлеговичПавлова Светлана Кирилловна</v>
      </c>
      <c r="O735" t="s">
        <v>5</v>
      </c>
      <c r="P735" t="s">
        <v>219</v>
      </c>
      <c r="Q735" t="s">
        <v>220</v>
      </c>
    </row>
    <row r="736" spans="4:17" x14ac:dyDescent="0.25">
      <c r="D736" t="s">
        <v>27</v>
      </c>
      <c r="E736" t="s">
        <v>172</v>
      </c>
      <c r="F736" t="str">
        <f t="shared" si="55"/>
        <v>2024-03-18</v>
      </c>
      <c r="G736" t="str">
        <f t="shared" si="56"/>
        <v>2024-03-18</v>
      </c>
      <c r="H736">
        <f t="shared" si="57"/>
        <v>0</v>
      </c>
      <c r="J736" t="str">
        <f t="shared" si="58"/>
        <v>Новикова Ольга ПетровнаАлексеева Виктория Александровна</v>
      </c>
      <c r="K736" t="s">
        <v>10</v>
      </c>
      <c r="L736" t="s">
        <v>195</v>
      </c>
      <c r="M736" t="s">
        <v>386</v>
      </c>
      <c r="N736" t="str">
        <f t="shared" si="59"/>
        <v>Ткаченко Андрей ОлеговичНиколаев Артур Никитич</v>
      </c>
      <c r="O736" t="s">
        <v>5</v>
      </c>
      <c r="P736" t="s">
        <v>129</v>
      </c>
      <c r="Q736" t="s">
        <v>220</v>
      </c>
    </row>
    <row r="737" spans="4:17" x14ac:dyDescent="0.25">
      <c r="D737" t="s">
        <v>27</v>
      </c>
      <c r="E737" t="s">
        <v>31</v>
      </c>
      <c r="F737" t="str">
        <f t="shared" si="55"/>
        <v>2024-04-04</v>
      </c>
      <c r="G737" t="str">
        <f t="shared" si="56"/>
        <v>2024-04-04</v>
      </c>
      <c r="H737">
        <f t="shared" si="57"/>
        <v>0</v>
      </c>
      <c r="J737" t="str">
        <f t="shared" si="58"/>
        <v>Семенова Ирина ВалерьевнаСеменова Вероника Павловна</v>
      </c>
      <c r="K737" t="s">
        <v>46</v>
      </c>
      <c r="L737" t="s">
        <v>61</v>
      </c>
      <c r="M737" t="s">
        <v>386</v>
      </c>
      <c r="N737" t="str">
        <f t="shared" si="59"/>
        <v>Кузнецов Дмитрий ЛьвовичВасильева Алиса Дмитриевна</v>
      </c>
      <c r="O737" t="s">
        <v>23</v>
      </c>
      <c r="P737" t="s">
        <v>216</v>
      </c>
      <c r="Q737" t="s">
        <v>220</v>
      </c>
    </row>
    <row r="738" spans="4:17" x14ac:dyDescent="0.25">
      <c r="D738" t="s">
        <v>52</v>
      </c>
      <c r="E738" t="s">
        <v>161</v>
      </c>
      <c r="F738" t="str">
        <f t="shared" si="55"/>
        <v>2024-02-19</v>
      </c>
      <c r="G738" t="str">
        <f t="shared" si="56"/>
        <v>2024-02-19</v>
      </c>
      <c r="H738">
        <f t="shared" si="57"/>
        <v>0</v>
      </c>
      <c r="J738" t="str">
        <f t="shared" si="58"/>
        <v>Кузнецов Дмитрий ЛьвовичАлексеева Людмила Никитична</v>
      </c>
      <c r="K738" t="s">
        <v>23</v>
      </c>
      <c r="L738" t="s">
        <v>60</v>
      </c>
      <c r="M738" t="s">
        <v>386</v>
      </c>
      <c r="N738" t="str">
        <f t="shared" si="59"/>
        <v>Громова Мария ИльиничнаОрлова Александра Викторовна</v>
      </c>
      <c r="O738" t="s">
        <v>15</v>
      </c>
      <c r="P738" t="s">
        <v>34</v>
      </c>
      <c r="Q738" t="s">
        <v>220</v>
      </c>
    </row>
    <row r="739" spans="4:17" x14ac:dyDescent="0.25">
      <c r="D739" t="s">
        <v>52</v>
      </c>
      <c r="E739" t="s">
        <v>77</v>
      </c>
      <c r="F739" t="str">
        <f t="shared" si="55"/>
        <v>2023-09-21</v>
      </c>
      <c r="G739" t="str">
        <f t="shared" si="56"/>
        <v>2023-09-21</v>
      </c>
      <c r="H739">
        <f t="shared" si="57"/>
        <v>0</v>
      </c>
      <c r="J739" t="str">
        <f t="shared" si="58"/>
        <v>Семенова Ирина ВалерьевнаКозлов Дмитрий Викторович</v>
      </c>
      <c r="K739" t="s">
        <v>46</v>
      </c>
      <c r="L739" t="s">
        <v>35</v>
      </c>
      <c r="M739" t="s">
        <v>387</v>
      </c>
      <c r="N739" t="str">
        <f t="shared" si="59"/>
        <v>Семенова Ирина ВалерьевнаСтепанов Александр Юрьевич</v>
      </c>
      <c r="O739" t="s">
        <v>46</v>
      </c>
      <c r="P739" t="s">
        <v>97</v>
      </c>
      <c r="Q739" t="s">
        <v>218</v>
      </c>
    </row>
    <row r="740" spans="4:17" x14ac:dyDescent="0.25">
      <c r="D740" t="s">
        <v>52</v>
      </c>
      <c r="E740" t="s">
        <v>95</v>
      </c>
      <c r="F740" t="str">
        <f t="shared" si="55"/>
        <v>2023-10-03</v>
      </c>
      <c r="G740" t="str">
        <f t="shared" si="56"/>
        <v>2023-10-03</v>
      </c>
      <c r="H740">
        <f t="shared" si="57"/>
        <v>0</v>
      </c>
      <c r="J740" t="str">
        <f t="shared" si="58"/>
        <v>Белов Алексей КонстантиновичНиколаев Артур Никитич</v>
      </c>
      <c r="K740" t="s">
        <v>8</v>
      </c>
      <c r="L740" t="s">
        <v>129</v>
      </c>
      <c r="M740" t="s">
        <v>388</v>
      </c>
      <c r="N740" t="str">
        <f t="shared" si="59"/>
        <v>Яковлев Артем ИгоревичСмирнов Александр Владимирович</v>
      </c>
      <c r="O740" t="s">
        <v>52</v>
      </c>
      <c r="P740" t="s">
        <v>101</v>
      </c>
      <c r="Q740" t="s">
        <v>218</v>
      </c>
    </row>
    <row r="741" spans="4:17" x14ac:dyDescent="0.25">
      <c r="D741" t="s">
        <v>52</v>
      </c>
      <c r="E741" t="s">
        <v>116</v>
      </c>
      <c r="F741" t="str">
        <f t="shared" si="55"/>
        <v>2024-07-15</v>
      </c>
      <c r="G741" t="str">
        <f t="shared" si="56"/>
        <v>2024-08-27</v>
      </c>
      <c r="H741">
        <f t="shared" si="57"/>
        <v>43</v>
      </c>
      <c r="J741" t="str">
        <f t="shared" si="58"/>
        <v>Новикова Ольга ПетровнаМорозова София Артемовна</v>
      </c>
      <c r="K741" t="s">
        <v>10</v>
      </c>
      <c r="L741" t="s">
        <v>140</v>
      </c>
      <c r="M741" t="s">
        <v>388</v>
      </c>
      <c r="N741" t="str">
        <f t="shared" si="59"/>
        <v>Семенова Ирина ВалерьевнаВасильева Наталья Никитична</v>
      </c>
      <c r="O741" t="s">
        <v>46</v>
      </c>
      <c r="P741" t="s">
        <v>116</v>
      </c>
      <c r="Q741" t="s">
        <v>217</v>
      </c>
    </row>
    <row r="742" spans="4:17" x14ac:dyDescent="0.25">
      <c r="D742" t="s">
        <v>52</v>
      </c>
      <c r="E742" t="s">
        <v>40</v>
      </c>
      <c r="F742" t="str">
        <f t="shared" si="55"/>
        <v>2024-05-07</v>
      </c>
      <c r="G742" t="str">
        <f t="shared" si="56"/>
        <v>2024-05-07</v>
      </c>
      <c r="H742">
        <f t="shared" si="57"/>
        <v>0</v>
      </c>
      <c r="J742" t="str">
        <f t="shared" si="58"/>
        <v>Кузнецов Дмитрий ЛьвовичАлексеева Виктория Александровна</v>
      </c>
      <c r="K742" t="s">
        <v>23</v>
      </c>
      <c r="L742" t="s">
        <v>195</v>
      </c>
      <c r="M742" t="s">
        <v>388</v>
      </c>
      <c r="N742" t="str">
        <f t="shared" si="59"/>
        <v>Громова Мария ИльиничнаМорозов Сергей Олегович</v>
      </c>
      <c r="O742" t="s">
        <v>15</v>
      </c>
      <c r="P742" t="s">
        <v>150</v>
      </c>
      <c r="Q742" t="s">
        <v>217</v>
      </c>
    </row>
    <row r="743" spans="4:17" x14ac:dyDescent="0.25">
      <c r="D743" t="s">
        <v>52</v>
      </c>
      <c r="E743" t="s">
        <v>115</v>
      </c>
      <c r="F743" t="str">
        <f t="shared" si="55"/>
        <v>2024-03-04</v>
      </c>
      <c r="G743" t="str">
        <f t="shared" si="56"/>
        <v>2024-03-04</v>
      </c>
      <c r="H743">
        <f t="shared" si="57"/>
        <v>0</v>
      </c>
      <c r="J743" t="str">
        <f t="shared" si="58"/>
        <v>Громова Мария ИльиничнаВасильева Татьяна Геннадьевна</v>
      </c>
      <c r="K743" t="s">
        <v>15</v>
      </c>
      <c r="L743" t="s">
        <v>37</v>
      </c>
      <c r="M743" t="s">
        <v>389</v>
      </c>
      <c r="N743" t="str">
        <f t="shared" si="59"/>
        <v>Яковлев Артем ИгоревичПавлова Анна Артемовна</v>
      </c>
      <c r="O743" t="s">
        <v>52</v>
      </c>
      <c r="P743" t="s">
        <v>214</v>
      </c>
      <c r="Q743" t="s">
        <v>215</v>
      </c>
    </row>
    <row r="744" spans="4:17" x14ac:dyDescent="0.25">
      <c r="D744" t="s">
        <v>52</v>
      </c>
      <c r="E744" t="s">
        <v>22</v>
      </c>
      <c r="F744" t="str">
        <f t="shared" si="55"/>
        <v>2023-12-25</v>
      </c>
      <c r="G744" t="str">
        <f t="shared" si="56"/>
        <v>2023-12-25</v>
      </c>
      <c r="H744">
        <f t="shared" si="57"/>
        <v>0</v>
      </c>
      <c r="J744" t="str">
        <f t="shared" si="58"/>
        <v>Белов Алексей КонстантиновичВасильева Наталья Никитична</v>
      </c>
      <c r="K744" t="s">
        <v>8</v>
      </c>
      <c r="L744" t="s">
        <v>116</v>
      </c>
      <c r="M744" t="s">
        <v>389</v>
      </c>
      <c r="N744" t="str">
        <f t="shared" si="59"/>
        <v>Кузнецов Дмитрий ЛьвовичВасильева Алиса Дмитриевна</v>
      </c>
      <c r="O744" t="s">
        <v>23</v>
      </c>
      <c r="P744" t="s">
        <v>216</v>
      </c>
      <c r="Q744" t="s">
        <v>215</v>
      </c>
    </row>
    <row r="745" spans="4:17" x14ac:dyDescent="0.25">
      <c r="D745" t="s">
        <v>52</v>
      </c>
      <c r="E745" t="s">
        <v>264</v>
      </c>
      <c r="F745" t="str">
        <f t="shared" si="55"/>
        <v>2024-05-27</v>
      </c>
      <c r="G745" t="str">
        <f t="shared" si="56"/>
        <v>2024-05-27</v>
      </c>
      <c r="H745">
        <f t="shared" si="57"/>
        <v>0</v>
      </c>
      <c r="J745" t="str">
        <f t="shared" si="58"/>
        <v>Громова Мария ИльиничнаОрлов Александр Романович</v>
      </c>
      <c r="K745" t="s">
        <v>15</v>
      </c>
      <c r="L745" t="s">
        <v>312</v>
      </c>
      <c r="M745" t="s">
        <v>390</v>
      </c>
      <c r="N745" t="str">
        <f t="shared" si="59"/>
        <v>Громова Мария ИльиничнаСидорова Вероника Павловна</v>
      </c>
      <c r="O745" t="s">
        <v>15</v>
      </c>
      <c r="P745" t="s">
        <v>163</v>
      </c>
      <c r="Q745" t="s">
        <v>215</v>
      </c>
    </row>
    <row r="746" spans="4:17" x14ac:dyDescent="0.25">
      <c r="D746" t="s">
        <v>52</v>
      </c>
      <c r="E746" t="s">
        <v>281</v>
      </c>
      <c r="F746" t="str">
        <f t="shared" si="55"/>
        <v>2024-07-09</v>
      </c>
      <c r="G746" t="str">
        <f t="shared" si="56"/>
        <v>2024-07-09</v>
      </c>
      <c r="H746">
        <f t="shared" si="57"/>
        <v>0</v>
      </c>
      <c r="J746" t="str">
        <f t="shared" si="58"/>
        <v>Орлов Павел ДенисовичСмирнов Александр Владимирович</v>
      </c>
      <c r="K746" t="s">
        <v>17</v>
      </c>
      <c r="L746" t="s">
        <v>101</v>
      </c>
      <c r="M746" t="s">
        <v>390</v>
      </c>
      <c r="N746" t="str">
        <f t="shared" si="59"/>
        <v>Ткаченко Андрей ОлеговичНиколаев Егор Станиславович</v>
      </c>
      <c r="O746" t="s">
        <v>5</v>
      </c>
      <c r="P746" t="s">
        <v>175</v>
      </c>
      <c r="Q746" t="s">
        <v>215</v>
      </c>
    </row>
    <row r="747" spans="4:17" x14ac:dyDescent="0.25">
      <c r="D747" t="s">
        <v>52</v>
      </c>
      <c r="E747" t="s">
        <v>113</v>
      </c>
      <c r="F747" t="str">
        <f t="shared" si="55"/>
        <v>2023-10-03</v>
      </c>
      <c r="G747" t="str">
        <f t="shared" si="56"/>
        <v>2024-06-20</v>
      </c>
      <c r="H747">
        <f t="shared" si="57"/>
        <v>261</v>
      </c>
      <c r="J747" t="str">
        <f t="shared" si="58"/>
        <v>Орлов Павел ДенисовичНиколаев Артур Никитич</v>
      </c>
      <c r="K747" t="s">
        <v>17</v>
      </c>
      <c r="L747" t="s">
        <v>129</v>
      </c>
      <c r="M747" t="s">
        <v>391</v>
      </c>
      <c r="N747" t="str">
        <f t="shared" si="59"/>
        <v>Яковлев Артем ИгоревичСмирнов Александр Владимирович</v>
      </c>
      <c r="O747" t="s">
        <v>52</v>
      </c>
      <c r="P747" t="s">
        <v>101</v>
      </c>
      <c r="Q747" t="s">
        <v>213</v>
      </c>
    </row>
    <row r="748" spans="4:17" x14ac:dyDescent="0.25">
      <c r="D748" t="s">
        <v>52</v>
      </c>
      <c r="E748" t="s">
        <v>63</v>
      </c>
      <c r="F748" t="str">
        <f t="shared" si="55"/>
        <v>2023-09-15</v>
      </c>
      <c r="G748" t="str">
        <f t="shared" si="56"/>
        <v>2024-08-30</v>
      </c>
      <c r="H748">
        <f t="shared" si="57"/>
        <v>350</v>
      </c>
      <c r="J748" t="str">
        <f t="shared" si="58"/>
        <v>Кузнецов Дмитрий ЛьвовичОрлов Алексей Юрьевич</v>
      </c>
      <c r="K748" t="s">
        <v>23</v>
      </c>
      <c r="L748" t="s">
        <v>252</v>
      </c>
      <c r="M748" t="s">
        <v>391</v>
      </c>
      <c r="N748" t="str">
        <f t="shared" si="59"/>
        <v>Ткаченко Андрей ОлеговичПавлова Анна Михайловна</v>
      </c>
      <c r="O748" t="s">
        <v>5</v>
      </c>
      <c r="P748" t="s">
        <v>191</v>
      </c>
      <c r="Q748" t="s">
        <v>213</v>
      </c>
    </row>
    <row r="749" spans="4:17" x14ac:dyDescent="0.25">
      <c r="D749" t="s">
        <v>52</v>
      </c>
      <c r="E749" t="s">
        <v>156</v>
      </c>
      <c r="F749" t="str">
        <f t="shared" si="55"/>
        <v>2024-01-09</v>
      </c>
      <c r="G749" t="str">
        <f t="shared" si="56"/>
        <v>2024-01-09</v>
      </c>
      <c r="H749">
        <f t="shared" si="57"/>
        <v>0</v>
      </c>
      <c r="J749" t="str">
        <f t="shared" si="58"/>
        <v>Семенова Ирина ВалерьевнаНиколаев Артур Никитич</v>
      </c>
      <c r="K749" t="s">
        <v>46</v>
      </c>
      <c r="L749" t="s">
        <v>129</v>
      </c>
      <c r="M749" t="s">
        <v>391</v>
      </c>
      <c r="N749" t="str">
        <f t="shared" si="59"/>
        <v>Иванова Анна СергеевнаНовикова Дарья Викторовна</v>
      </c>
      <c r="O749" t="s">
        <v>48</v>
      </c>
      <c r="P749" t="s">
        <v>138</v>
      </c>
      <c r="Q749" t="s">
        <v>213</v>
      </c>
    </row>
    <row r="750" spans="4:17" x14ac:dyDescent="0.25">
      <c r="D750" t="s">
        <v>52</v>
      </c>
      <c r="E750" t="s">
        <v>122</v>
      </c>
      <c r="F750" t="str">
        <f t="shared" si="55"/>
        <v>2024-01-26</v>
      </c>
      <c r="G750" t="str">
        <f t="shared" si="56"/>
        <v>2024-07-08</v>
      </c>
      <c r="H750">
        <f t="shared" si="57"/>
        <v>164</v>
      </c>
      <c r="J750" t="str">
        <f t="shared" si="58"/>
        <v>Петров Владимир КирилловичФедорова Вероника Ивановна</v>
      </c>
      <c r="K750" t="s">
        <v>36</v>
      </c>
      <c r="L750" t="s">
        <v>107</v>
      </c>
      <c r="M750" t="s">
        <v>392</v>
      </c>
      <c r="N750" t="str">
        <f t="shared" si="59"/>
        <v>Орлов Павел ДенисовичАлексеева Екатерина Станиславовна</v>
      </c>
      <c r="O750" t="s">
        <v>17</v>
      </c>
      <c r="P750" t="s">
        <v>126</v>
      </c>
      <c r="Q750" t="s">
        <v>213</v>
      </c>
    </row>
    <row r="751" spans="4:17" x14ac:dyDescent="0.25">
      <c r="D751" t="s">
        <v>52</v>
      </c>
      <c r="E751" t="s">
        <v>188</v>
      </c>
      <c r="F751" t="str">
        <f t="shared" si="55"/>
        <v>2024-01-12</v>
      </c>
      <c r="G751" t="str">
        <f t="shared" si="56"/>
        <v>2024-01-12</v>
      </c>
      <c r="H751">
        <f t="shared" si="57"/>
        <v>0</v>
      </c>
      <c r="J751" t="str">
        <f t="shared" si="58"/>
        <v>Белов Алексей КонстантиновичВасильев Егор Владимирович</v>
      </c>
      <c r="K751" t="s">
        <v>8</v>
      </c>
      <c r="L751" t="s">
        <v>148</v>
      </c>
      <c r="M751" t="s">
        <v>392</v>
      </c>
      <c r="N751" t="str">
        <f t="shared" si="59"/>
        <v>Иванова Анна СергеевнаЛебедев Павел Кириллович</v>
      </c>
      <c r="O751" t="s">
        <v>48</v>
      </c>
      <c r="P751" t="s">
        <v>6</v>
      </c>
      <c r="Q751" t="s">
        <v>211</v>
      </c>
    </row>
    <row r="752" spans="4:17" x14ac:dyDescent="0.25">
      <c r="D752" t="s">
        <v>52</v>
      </c>
      <c r="E752" t="s">
        <v>248</v>
      </c>
      <c r="F752" t="str">
        <f t="shared" si="55"/>
        <v>2024-05-07</v>
      </c>
      <c r="G752" t="str">
        <f t="shared" si="56"/>
        <v>2024-05-07</v>
      </c>
      <c r="H752">
        <f t="shared" si="57"/>
        <v>0</v>
      </c>
      <c r="J752" t="str">
        <f t="shared" si="58"/>
        <v>Орлов Павел ДенисовичВасильев Никита Викторович</v>
      </c>
      <c r="K752" t="s">
        <v>17</v>
      </c>
      <c r="L752" t="s">
        <v>47</v>
      </c>
      <c r="M752" t="s">
        <v>392</v>
      </c>
      <c r="N752" t="str">
        <f t="shared" si="59"/>
        <v>Ткаченко Андрей ОлеговичСтепанов Алексей Артемович</v>
      </c>
      <c r="O752" t="s">
        <v>5</v>
      </c>
      <c r="P752" t="s">
        <v>206</v>
      </c>
      <c r="Q752" t="s">
        <v>211</v>
      </c>
    </row>
    <row r="753" spans="4:17" x14ac:dyDescent="0.25">
      <c r="D753" t="s">
        <v>52</v>
      </c>
      <c r="E753" t="s">
        <v>209</v>
      </c>
      <c r="F753" t="str">
        <f t="shared" si="55"/>
        <v>2024-03-01</v>
      </c>
      <c r="G753" t="str">
        <f t="shared" si="56"/>
        <v>2024-03-01</v>
      </c>
      <c r="H753">
        <f t="shared" si="57"/>
        <v>0</v>
      </c>
      <c r="J753" t="str">
        <f t="shared" si="58"/>
        <v>Ткаченко Андрей ОлеговичСмирнова София Ивановна</v>
      </c>
      <c r="K753" t="s">
        <v>5</v>
      </c>
      <c r="L753" t="s">
        <v>25</v>
      </c>
      <c r="M753" t="s">
        <v>392</v>
      </c>
      <c r="N753" t="str">
        <f t="shared" si="59"/>
        <v>Громова Мария ИльиничнаНовиков Иван Никитич</v>
      </c>
      <c r="O753" t="s">
        <v>15</v>
      </c>
      <c r="P753" t="s">
        <v>181</v>
      </c>
      <c r="Q753" t="s">
        <v>211</v>
      </c>
    </row>
    <row r="754" spans="4:17" x14ac:dyDescent="0.25">
      <c r="D754" t="s">
        <v>52</v>
      </c>
      <c r="E754" t="s">
        <v>86</v>
      </c>
      <c r="F754" t="str">
        <f t="shared" si="55"/>
        <v>2024-03-25</v>
      </c>
      <c r="G754" t="str">
        <f t="shared" si="56"/>
        <v>2024-03-25</v>
      </c>
      <c r="H754">
        <f t="shared" si="57"/>
        <v>0</v>
      </c>
      <c r="J754" t="str">
        <f t="shared" si="58"/>
        <v>Фролов Сергей ВикторовичПопов Михаил Александрович</v>
      </c>
      <c r="K754" t="s">
        <v>27</v>
      </c>
      <c r="L754" t="s">
        <v>271</v>
      </c>
      <c r="M754" t="s">
        <v>392</v>
      </c>
      <c r="N754" t="str">
        <f t="shared" si="59"/>
        <v>Орлов Павел ДенисовичАлексеева Полина Станиславовна</v>
      </c>
      <c r="O754" t="s">
        <v>17</v>
      </c>
      <c r="P754" t="s">
        <v>180</v>
      </c>
      <c r="Q754" t="s">
        <v>211</v>
      </c>
    </row>
    <row r="755" spans="4:17" x14ac:dyDescent="0.25">
      <c r="D755" t="s">
        <v>52</v>
      </c>
      <c r="E755" t="s">
        <v>258</v>
      </c>
      <c r="F755" t="str">
        <f t="shared" si="55"/>
        <v>2024-02-15</v>
      </c>
      <c r="G755" t="str">
        <f t="shared" si="56"/>
        <v>2024-02-15</v>
      </c>
      <c r="H755">
        <f t="shared" si="57"/>
        <v>0</v>
      </c>
      <c r="J755" t="str">
        <f t="shared" si="58"/>
        <v>Сидорова Елена ВасильевнаАлексеева Людмила Никитична</v>
      </c>
      <c r="K755" t="s">
        <v>12</v>
      </c>
      <c r="L755" t="s">
        <v>60</v>
      </c>
      <c r="M755" t="s">
        <v>392</v>
      </c>
      <c r="N755" t="str">
        <f t="shared" si="59"/>
        <v>Семенова Ирина ВалерьевнаМорозова Ольга Геннадьевна</v>
      </c>
      <c r="O755" t="s">
        <v>46</v>
      </c>
      <c r="P755" t="s">
        <v>56</v>
      </c>
      <c r="Q755" t="s">
        <v>211</v>
      </c>
    </row>
    <row r="756" spans="4:17" x14ac:dyDescent="0.25">
      <c r="D756" t="s">
        <v>52</v>
      </c>
      <c r="E756" t="s">
        <v>62</v>
      </c>
      <c r="F756" t="str">
        <f t="shared" si="55"/>
        <v>2023-09-15</v>
      </c>
      <c r="G756" t="str">
        <f t="shared" si="56"/>
        <v>2023-09-15</v>
      </c>
      <c r="H756">
        <f t="shared" si="57"/>
        <v>0</v>
      </c>
      <c r="J756" t="str">
        <f t="shared" si="58"/>
        <v>Кузнецов Дмитрий ЛьвовичПопова Екатерина Владимировна</v>
      </c>
      <c r="K756" t="s">
        <v>23</v>
      </c>
      <c r="L756" t="s">
        <v>11</v>
      </c>
      <c r="M756" t="s">
        <v>393</v>
      </c>
      <c r="N756" t="str">
        <f t="shared" si="59"/>
        <v>Иванова Анна СергеевнаПетров Сергей Викторович</v>
      </c>
      <c r="O756" t="s">
        <v>48</v>
      </c>
      <c r="P756" t="s">
        <v>98</v>
      </c>
      <c r="Q756" t="s">
        <v>211</v>
      </c>
    </row>
    <row r="757" spans="4:17" x14ac:dyDescent="0.25">
      <c r="D757" t="s">
        <v>52</v>
      </c>
      <c r="E757" t="s">
        <v>364</v>
      </c>
      <c r="F757" t="str">
        <f t="shared" si="55"/>
        <v>2024-06-07</v>
      </c>
      <c r="G757" t="str">
        <f t="shared" si="56"/>
        <v>2024-06-07</v>
      </c>
      <c r="H757">
        <f t="shared" si="57"/>
        <v>0</v>
      </c>
      <c r="J757" t="str">
        <f t="shared" si="58"/>
        <v>Ткаченко Андрей ОлеговичСмирнов Дмитрий Александрович</v>
      </c>
      <c r="K757" t="s">
        <v>5</v>
      </c>
      <c r="L757" t="s">
        <v>20</v>
      </c>
      <c r="M757" t="s">
        <v>393</v>
      </c>
      <c r="N757" t="str">
        <f t="shared" si="59"/>
        <v>Петров Владимир КирилловичСтепанова Анна Никитична</v>
      </c>
      <c r="O757" t="s">
        <v>36</v>
      </c>
      <c r="P757" t="s">
        <v>108</v>
      </c>
      <c r="Q757" t="s">
        <v>211</v>
      </c>
    </row>
    <row r="758" spans="4:17" x14ac:dyDescent="0.25">
      <c r="D758" t="s">
        <v>52</v>
      </c>
      <c r="E758" t="s">
        <v>187</v>
      </c>
      <c r="F758" t="str">
        <f t="shared" si="55"/>
        <v>2024-03-18</v>
      </c>
      <c r="G758" t="str">
        <f t="shared" si="56"/>
        <v>2024-03-18</v>
      </c>
      <c r="H758">
        <f t="shared" si="57"/>
        <v>0</v>
      </c>
      <c r="J758" t="str">
        <f t="shared" si="58"/>
        <v>Яковлев Артем ИгоревичСидоров Дмитрий Алексеевич</v>
      </c>
      <c r="K758" t="s">
        <v>52</v>
      </c>
      <c r="L758" t="s">
        <v>141</v>
      </c>
      <c r="M758" t="s">
        <v>394</v>
      </c>
      <c r="N758" t="str">
        <f t="shared" si="59"/>
        <v>Белов Алексей КонстантиновичСеменова Вероника Павловна</v>
      </c>
      <c r="O758" t="s">
        <v>8</v>
      </c>
      <c r="P758" t="s">
        <v>61</v>
      </c>
      <c r="Q758" t="s">
        <v>211</v>
      </c>
    </row>
    <row r="759" spans="4:17" x14ac:dyDescent="0.25">
      <c r="D759" t="s">
        <v>52</v>
      </c>
      <c r="E759" t="s">
        <v>133</v>
      </c>
      <c r="F759" t="str">
        <f t="shared" si="55"/>
        <v>2023-10-27</v>
      </c>
      <c r="G759" t="str">
        <f t="shared" si="56"/>
        <v>2023-10-27</v>
      </c>
      <c r="H759">
        <f t="shared" si="57"/>
        <v>0</v>
      </c>
      <c r="J759" t="str">
        <f t="shared" si="58"/>
        <v>Фролов Сергей ВикторовичНиколаев Павел Артемович</v>
      </c>
      <c r="K759" t="s">
        <v>27</v>
      </c>
      <c r="L759" t="s">
        <v>235</v>
      </c>
      <c r="M759" t="s">
        <v>394</v>
      </c>
      <c r="N759" t="str">
        <f t="shared" si="59"/>
        <v>Иванова Анна СергеевнаКозлов Артур Андреевич</v>
      </c>
      <c r="O759" t="s">
        <v>48</v>
      </c>
      <c r="P759" t="s">
        <v>63</v>
      </c>
      <c r="Q759" t="s">
        <v>211</v>
      </c>
    </row>
    <row r="760" spans="4:17" x14ac:dyDescent="0.25">
      <c r="D760" t="s">
        <v>52</v>
      </c>
      <c r="E760" t="s">
        <v>235</v>
      </c>
      <c r="F760" t="str">
        <f t="shared" si="55"/>
        <v>2024-06-14</v>
      </c>
      <c r="G760" t="str">
        <f t="shared" si="56"/>
        <v>2024-06-14</v>
      </c>
      <c r="H760">
        <f t="shared" si="57"/>
        <v>0</v>
      </c>
      <c r="J760" t="str">
        <f t="shared" si="58"/>
        <v>Белов Алексей КонстантиновичОрлов Кирилл Владимирович</v>
      </c>
      <c r="K760" t="s">
        <v>8</v>
      </c>
      <c r="L760" t="s">
        <v>79</v>
      </c>
      <c r="M760" t="s">
        <v>394</v>
      </c>
      <c r="N760" t="str">
        <f t="shared" si="59"/>
        <v>Кузнецов Дмитрий ЛьвовичСидоров Егор Кириллович</v>
      </c>
      <c r="O760" t="s">
        <v>23</v>
      </c>
      <c r="P760" t="s">
        <v>212</v>
      </c>
      <c r="Q760" t="s">
        <v>211</v>
      </c>
    </row>
    <row r="761" spans="4:17" x14ac:dyDescent="0.25">
      <c r="D761" t="s">
        <v>52</v>
      </c>
      <c r="E761" t="s">
        <v>202</v>
      </c>
      <c r="F761" t="str">
        <f t="shared" si="55"/>
        <v>2024-01-29</v>
      </c>
      <c r="G761" t="str">
        <f t="shared" si="56"/>
        <v>2024-01-29</v>
      </c>
      <c r="H761">
        <f t="shared" si="57"/>
        <v>0</v>
      </c>
      <c r="J761" t="str">
        <f t="shared" si="58"/>
        <v>Яковлев Артем ИгоревичЛебедева Ирина Романовна</v>
      </c>
      <c r="K761" t="s">
        <v>52</v>
      </c>
      <c r="L761" t="s">
        <v>364</v>
      </c>
      <c r="M761" t="s">
        <v>394</v>
      </c>
      <c r="N761" t="str">
        <f t="shared" si="59"/>
        <v>Сидорова Елена ВасильевнаОрлов Кирилл Владимирович</v>
      </c>
      <c r="O761" t="s">
        <v>12</v>
      </c>
      <c r="P761" t="s">
        <v>79</v>
      </c>
      <c r="Q761" t="s">
        <v>211</v>
      </c>
    </row>
    <row r="762" spans="4:17" x14ac:dyDescent="0.25">
      <c r="D762" t="s">
        <v>52</v>
      </c>
      <c r="E762" t="s">
        <v>66</v>
      </c>
      <c r="F762" t="str">
        <f t="shared" si="55"/>
        <v>2023-10-16</v>
      </c>
      <c r="G762" t="str">
        <f t="shared" si="56"/>
        <v>2023-11-20</v>
      </c>
      <c r="H762">
        <f t="shared" si="57"/>
        <v>35</v>
      </c>
      <c r="J762" t="str">
        <f t="shared" si="58"/>
        <v>Новикова Ольга ПетровнаПетрова Елена Сергеевна</v>
      </c>
      <c r="K762" t="s">
        <v>10</v>
      </c>
      <c r="L762" t="s">
        <v>123</v>
      </c>
      <c r="M762" t="s">
        <v>394</v>
      </c>
      <c r="N762" t="str">
        <f t="shared" si="59"/>
        <v>Орлов Павел ДенисовичПавлова Екатерина Павловна</v>
      </c>
      <c r="O762" t="s">
        <v>17</v>
      </c>
      <c r="P762" t="s">
        <v>57</v>
      </c>
      <c r="Q762" t="s">
        <v>211</v>
      </c>
    </row>
    <row r="763" spans="4:17" x14ac:dyDescent="0.25">
      <c r="D763" t="s">
        <v>52</v>
      </c>
      <c r="E763" t="s">
        <v>330</v>
      </c>
      <c r="F763" t="str">
        <f t="shared" si="55"/>
        <v>2024-03-14</v>
      </c>
      <c r="G763" t="str">
        <f t="shared" si="56"/>
        <v>2024-03-14</v>
      </c>
      <c r="H763">
        <f t="shared" si="57"/>
        <v>0</v>
      </c>
      <c r="J763" t="str">
        <f t="shared" si="58"/>
        <v>Новикова Ольга ПетровнаМорозова Александра Дмитриевна</v>
      </c>
      <c r="K763" t="s">
        <v>10</v>
      </c>
      <c r="L763" t="s">
        <v>69</v>
      </c>
      <c r="M763" t="s">
        <v>395</v>
      </c>
      <c r="N763" t="str">
        <f t="shared" si="59"/>
        <v>Орлов Павел ДенисовичПопов Дмитрий Ильич</v>
      </c>
      <c r="O763" t="s">
        <v>17</v>
      </c>
      <c r="P763" t="s">
        <v>105</v>
      </c>
      <c r="Q763" t="s">
        <v>211</v>
      </c>
    </row>
    <row r="764" spans="4:17" x14ac:dyDescent="0.25">
      <c r="D764" t="s">
        <v>52</v>
      </c>
      <c r="E764" t="s">
        <v>138</v>
      </c>
      <c r="F764" t="str">
        <f t="shared" si="55"/>
        <v>2023-12-25</v>
      </c>
      <c r="G764" t="str">
        <f t="shared" si="56"/>
        <v>2023-12-25</v>
      </c>
      <c r="H764">
        <f t="shared" si="57"/>
        <v>0</v>
      </c>
      <c r="J764" t="str">
        <f t="shared" si="58"/>
        <v>Семенова Ирина ВалерьевнаНиколаев Павел Артемович</v>
      </c>
      <c r="K764" t="s">
        <v>46</v>
      </c>
      <c r="L764" t="s">
        <v>235</v>
      </c>
      <c r="M764" t="s">
        <v>395</v>
      </c>
      <c r="N764" t="str">
        <f t="shared" si="59"/>
        <v>Орлов Павел ДенисовичКузнецов Сергей Станиславович</v>
      </c>
      <c r="O764" t="s">
        <v>17</v>
      </c>
      <c r="P764" t="s">
        <v>209</v>
      </c>
      <c r="Q764" t="s">
        <v>210</v>
      </c>
    </row>
    <row r="765" spans="4:17" x14ac:dyDescent="0.25">
      <c r="D765" t="s">
        <v>52</v>
      </c>
      <c r="E765" t="s">
        <v>53</v>
      </c>
      <c r="F765" t="str">
        <f t="shared" si="55"/>
        <v>2023-09-14</v>
      </c>
      <c r="G765" t="str">
        <f t="shared" si="56"/>
        <v>2023-09-14</v>
      </c>
      <c r="H765">
        <f t="shared" si="57"/>
        <v>0</v>
      </c>
      <c r="J765" t="str">
        <f t="shared" si="58"/>
        <v>Сидорова Елена ВасильевнаПетров Михаил Юрьевич</v>
      </c>
      <c r="K765" t="s">
        <v>12</v>
      </c>
      <c r="L765" t="s">
        <v>256</v>
      </c>
      <c r="M765" t="s">
        <v>395</v>
      </c>
      <c r="N765" t="str">
        <f t="shared" si="59"/>
        <v>Новикова Ольга ПетровнаПавлов Павел Павлович</v>
      </c>
      <c r="O765" t="s">
        <v>10</v>
      </c>
      <c r="P765" t="s">
        <v>207</v>
      </c>
      <c r="Q765" t="s">
        <v>208</v>
      </c>
    </row>
    <row r="766" spans="4:17" x14ac:dyDescent="0.25">
      <c r="D766" t="s">
        <v>52</v>
      </c>
      <c r="E766" t="s">
        <v>214</v>
      </c>
      <c r="F766" t="str">
        <f t="shared" si="55"/>
        <v>2023-12-06</v>
      </c>
      <c r="G766" t="str">
        <f t="shared" si="56"/>
        <v>2023-12-06</v>
      </c>
      <c r="H766">
        <f t="shared" si="57"/>
        <v>0</v>
      </c>
      <c r="J766" t="str">
        <f t="shared" si="58"/>
        <v>Семенова Ирина ВалерьевнаВасильев Артур Дмитриевич</v>
      </c>
      <c r="K766" t="s">
        <v>46</v>
      </c>
      <c r="L766" t="s">
        <v>77</v>
      </c>
      <c r="M766" t="s">
        <v>395</v>
      </c>
      <c r="N766" t="str">
        <f t="shared" si="59"/>
        <v>Кузнецов Дмитрий ЛьвовичСтепанов Никита Михайлович</v>
      </c>
      <c r="O766" t="s">
        <v>23</v>
      </c>
      <c r="P766" t="s">
        <v>68</v>
      </c>
      <c r="Q766" t="s">
        <v>205</v>
      </c>
    </row>
    <row r="767" spans="4:17" x14ac:dyDescent="0.25">
      <c r="D767" t="s">
        <v>52</v>
      </c>
      <c r="E767" t="s">
        <v>191</v>
      </c>
      <c r="F767" t="str">
        <f t="shared" si="55"/>
        <v>2024-01-10</v>
      </c>
      <c r="G767" t="str">
        <f t="shared" si="56"/>
        <v>2024-01-10</v>
      </c>
      <c r="H767">
        <f t="shared" si="57"/>
        <v>0</v>
      </c>
      <c r="J767" t="str">
        <f t="shared" si="58"/>
        <v>Иванова Анна СергеевнаПавлов Роман Александрович</v>
      </c>
      <c r="K767" t="s">
        <v>48</v>
      </c>
      <c r="L767" t="s">
        <v>134</v>
      </c>
      <c r="M767" t="s">
        <v>395</v>
      </c>
      <c r="N767" t="str">
        <f t="shared" si="59"/>
        <v>Новикова Ольга ПетровнаМорозова Ольга Геннадьевна</v>
      </c>
      <c r="O767" t="s">
        <v>10</v>
      </c>
      <c r="P767" t="s">
        <v>56</v>
      </c>
      <c r="Q767" t="s">
        <v>205</v>
      </c>
    </row>
    <row r="768" spans="4:17" x14ac:dyDescent="0.25">
      <c r="D768" t="s">
        <v>52</v>
      </c>
      <c r="E768" t="s">
        <v>112</v>
      </c>
      <c r="F768" t="str">
        <f t="shared" si="55"/>
        <v>2024-06-26</v>
      </c>
      <c r="G768" t="str">
        <f t="shared" si="56"/>
        <v>2024-06-26</v>
      </c>
      <c r="H768">
        <f t="shared" si="57"/>
        <v>0</v>
      </c>
      <c r="J768" t="str">
        <f t="shared" si="58"/>
        <v>Петров Владимир КирилловичНиколаев Роман Геннадьевич</v>
      </c>
      <c r="K768" t="s">
        <v>36</v>
      </c>
      <c r="L768" t="s">
        <v>139</v>
      </c>
      <c r="M768" t="s">
        <v>395</v>
      </c>
      <c r="N768" t="str">
        <f t="shared" si="59"/>
        <v>Белов Алексей КонстантиновичСтепанов Алексей Артемович</v>
      </c>
      <c r="O768" t="s">
        <v>8</v>
      </c>
      <c r="P768" t="s">
        <v>206</v>
      </c>
      <c r="Q768" t="s">
        <v>205</v>
      </c>
    </row>
    <row r="769" spans="4:17" x14ac:dyDescent="0.25">
      <c r="D769" t="s">
        <v>52</v>
      </c>
      <c r="E769" t="s">
        <v>45</v>
      </c>
      <c r="F769" t="str">
        <f t="shared" si="55"/>
        <v>2023-10-30</v>
      </c>
      <c r="G769" t="str">
        <f t="shared" si="56"/>
        <v>2024-02-27</v>
      </c>
      <c r="H769">
        <f t="shared" si="57"/>
        <v>120</v>
      </c>
      <c r="J769" t="str">
        <f t="shared" si="58"/>
        <v>Сидорова Елена ВасильевнаВасильев Александр Никитич</v>
      </c>
      <c r="K769" t="s">
        <v>12</v>
      </c>
      <c r="L769" t="s">
        <v>161</v>
      </c>
      <c r="M769" t="s">
        <v>395</v>
      </c>
      <c r="N769" t="str">
        <f t="shared" si="59"/>
        <v>Орлов Павел ДенисовичВолкова Виктория Михайловна</v>
      </c>
      <c r="O769" t="s">
        <v>17</v>
      </c>
      <c r="P769" t="s">
        <v>40</v>
      </c>
      <c r="Q769" t="s">
        <v>205</v>
      </c>
    </row>
    <row r="770" spans="4:17" x14ac:dyDescent="0.25">
      <c r="D770" t="s">
        <v>52</v>
      </c>
      <c r="E770" t="s">
        <v>171</v>
      </c>
      <c r="F770" t="str">
        <f t="shared" si="55"/>
        <v>2023-11-23</v>
      </c>
      <c r="G770" t="str">
        <f t="shared" si="56"/>
        <v>2023-11-23</v>
      </c>
      <c r="H770">
        <f t="shared" si="57"/>
        <v>0</v>
      </c>
      <c r="J770" t="str">
        <f t="shared" si="58"/>
        <v>Новикова Ольга ПетровнаСтепанова Анна Никитична</v>
      </c>
      <c r="K770" t="s">
        <v>10</v>
      </c>
      <c r="L770" t="s">
        <v>108</v>
      </c>
      <c r="M770" t="s">
        <v>396</v>
      </c>
      <c r="N770" t="str">
        <f t="shared" si="59"/>
        <v>Громова Мария ИльиничнаПопов Владимир Артемович</v>
      </c>
      <c r="O770" t="s">
        <v>15</v>
      </c>
      <c r="P770" t="s">
        <v>203</v>
      </c>
      <c r="Q770" t="s">
        <v>204</v>
      </c>
    </row>
    <row r="771" spans="4:17" x14ac:dyDescent="0.25">
      <c r="D771" t="s">
        <v>52</v>
      </c>
      <c r="E771" t="s">
        <v>24</v>
      </c>
      <c r="F771" t="str">
        <f t="shared" ref="F771:F800" si="60">VLOOKUP(D771&amp;E771,J:M,4,0)</f>
        <v>2023-10-31</v>
      </c>
      <c r="G771" t="str">
        <f t="shared" ref="G771:G800" si="61">VLOOKUP(D771&amp;E771,N:Q,4,0)</f>
        <v>2023-10-31</v>
      </c>
      <c r="H771">
        <f t="shared" ref="H771:H800" si="62">G771-F771</f>
        <v>0</v>
      </c>
      <c r="J771" t="str">
        <f t="shared" ref="J771:J834" si="63">K771&amp;L771</f>
        <v>Яковлев Артем ИгоревичПетрова Юлия Геннадьевна</v>
      </c>
      <c r="K771" t="s">
        <v>52</v>
      </c>
      <c r="L771" t="s">
        <v>275</v>
      </c>
      <c r="M771" t="s">
        <v>397</v>
      </c>
      <c r="N771" t="str">
        <f t="shared" ref="N771:N834" si="64">O771&amp;P771</f>
        <v>Сидорова Елена ВасильевнаАлексеева Ксения Андреевна</v>
      </c>
      <c r="O771" t="s">
        <v>12</v>
      </c>
      <c r="P771" t="s">
        <v>184</v>
      </c>
      <c r="Q771" t="s">
        <v>201</v>
      </c>
    </row>
    <row r="772" spans="4:17" x14ac:dyDescent="0.25">
      <c r="D772" t="s">
        <v>52</v>
      </c>
      <c r="E772" t="s">
        <v>198</v>
      </c>
      <c r="F772" t="str">
        <f t="shared" si="60"/>
        <v>2024-03-21</v>
      </c>
      <c r="G772" t="str">
        <f t="shared" si="61"/>
        <v>2024-03-21</v>
      </c>
      <c r="H772">
        <f t="shared" si="62"/>
        <v>0</v>
      </c>
      <c r="J772" t="str">
        <f t="shared" si="63"/>
        <v>Петров Владимир КирилловичКозлова Алиса Алексеевна</v>
      </c>
      <c r="K772" t="s">
        <v>36</v>
      </c>
      <c r="L772" t="s">
        <v>156</v>
      </c>
      <c r="M772" t="s">
        <v>397</v>
      </c>
      <c r="N772" t="str">
        <f t="shared" si="64"/>
        <v>Семенова Ирина ВалерьевнаСеменов Андрей Кириллович</v>
      </c>
      <c r="O772" t="s">
        <v>46</v>
      </c>
      <c r="P772" t="s">
        <v>93</v>
      </c>
      <c r="Q772" t="s">
        <v>201</v>
      </c>
    </row>
    <row r="773" spans="4:17" x14ac:dyDescent="0.25">
      <c r="D773" t="s">
        <v>52</v>
      </c>
      <c r="E773" t="s">
        <v>29</v>
      </c>
      <c r="F773" t="str">
        <f t="shared" si="60"/>
        <v>2023-09-26</v>
      </c>
      <c r="G773" t="str">
        <f t="shared" si="61"/>
        <v>2023-09-26</v>
      </c>
      <c r="H773">
        <f t="shared" si="62"/>
        <v>0</v>
      </c>
      <c r="J773" t="str">
        <f t="shared" si="63"/>
        <v>Орлов Павел ДенисовичОрлов Александр Романович</v>
      </c>
      <c r="K773" t="s">
        <v>17</v>
      </c>
      <c r="L773" t="s">
        <v>312</v>
      </c>
      <c r="M773" t="s">
        <v>397</v>
      </c>
      <c r="N773" t="str">
        <f t="shared" si="64"/>
        <v>Фролов Сергей ВикторовичАлексеева Людмила Никитична</v>
      </c>
      <c r="O773" t="s">
        <v>27</v>
      </c>
      <c r="P773" t="s">
        <v>60</v>
      </c>
      <c r="Q773" t="s">
        <v>201</v>
      </c>
    </row>
    <row r="774" spans="4:17" x14ac:dyDescent="0.25">
      <c r="D774" t="s">
        <v>52</v>
      </c>
      <c r="E774" t="s">
        <v>70</v>
      </c>
      <c r="F774" t="str">
        <f t="shared" si="60"/>
        <v>2024-05-15</v>
      </c>
      <c r="G774" t="str">
        <f t="shared" si="61"/>
        <v>2024-07-31</v>
      </c>
      <c r="H774">
        <f t="shared" si="62"/>
        <v>77</v>
      </c>
      <c r="J774" t="str">
        <f t="shared" si="63"/>
        <v>Сидорова Елена ВасильевнаИванова Александра Никитична</v>
      </c>
      <c r="K774" t="s">
        <v>12</v>
      </c>
      <c r="L774" t="s">
        <v>264</v>
      </c>
      <c r="M774" t="s">
        <v>398</v>
      </c>
      <c r="N774" t="str">
        <f t="shared" si="64"/>
        <v>Новикова Ольга ПетровнаЕгоров Георгий Никитич</v>
      </c>
      <c r="O774" t="s">
        <v>10</v>
      </c>
      <c r="P774" t="s">
        <v>39</v>
      </c>
      <c r="Q774" t="s">
        <v>201</v>
      </c>
    </row>
    <row r="775" spans="4:17" x14ac:dyDescent="0.25">
      <c r="D775" t="s">
        <v>52</v>
      </c>
      <c r="E775" t="s">
        <v>82</v>
      </c>
      <c r="F775" t="str">
        <f t="shared" si="60"/>
        <v>2024-03-11</v>
      </c>
      <c r="G775" t="str">
        <f t="shared" si="61"/>
        <v>2024-03-11</v>
      </c>
      <c r="H775">
        <f t="shared" si="62"/>
        <v>0</v>
      </c>
      <c r="J775" t="str">
        <f t="shared" si="63"/>
        <v>Яковлев Артем ИгоревичНиколаев Павел Артемович</v>
      </c>
      <c r="K775" t="s">
        <v>52</v>
      </c>
      <c r="L775" t="s">
        <v>235</v>
      </c>
      <c r="M775" t="s">
        <v>398</v>
      </c>
      <c r="N775" t="str">
        <f t="shared" si="64"/>
        <v>Белов Алексей КонстантиновичАлексеева Людмила Никитична</v>
      </c>
      <c r="O775" t="s">
        <v>8</v>
      </c>
      <c r="P775" t="s">
        <v>60</v>
      </c>
      <c r="Q775" t="s">
        <v>201</v>
      </c>
    </row>
    <row r="776" spans="4:17" x14ac:dyDescent="0.25">
      <c r="D776" t="s">
        <v>52</v>
      </c>
      <c r="E776" t="s">
        <v>59</v>
      </c>
      <c r="F776" t="str">
        <f t="shared" si="60"/>
        <v>2024-06-19</v>
      </c>
      <c r="G776" t="str">
        <f t="shared" si="61"/>
        <v>2024-08-26</v>
      </c>
      <c r="H776">
        <f t="shared" si="62"/>
        <v>68</v>
      </c>
      <c r="J776" t="str">
        <f t="shared" si="63"/>
        <v>Иванова Анна СергеевнаПетрова Дарья Егоровна</v>
      </c>
      <c r="K776" t="s">
        <v>48</v>
      </c>
      <c r="L776" t="s">
        <v>24</v>
      </c>
      <c r="M776" t="s">
        <v>398</v>
      </c>
      <c r="N776" t="str">
        <f t="shared" si="64"/>
        <v>Иванова Анна СергеевнаПетрова Дарья Кирилловна</v>
      </c>
      <c r="O776" t="s">
        <v>48</v>
      </c>
      <c r="P776" t="s">
        <v>198</v>
      </c>
      <c r="Q776" t="s">
        <v>201</v>
      </c>
    </row>
    <row r="777" spans="4:17" x14ac:dyDescent="0.25">
      <c r="D777" t="s">
        <v>52</v>
      </c>
      <c r="E777" t="s">
        <v>275</v>
      </c>
      <c r="F777" t="str">
        <f t="shared" si="60"/>
        <v>2024-06-12</v>
      </c>
      <c r="G777" t="str">
        <f t="shared" si="61"/>
        <v>2024-06-12</v>
      </c>
      <c r="H777">
        <f t="shared" si="62"/>
        <v>0</v>
      </c>
      <c r="J777" t="str">
        <f t="shared" si="63"/>
        <v>Фролов Сергей ВикторовичВасильев Егор Владимирович</v>
      </c>
      <c r="K777" t="s">
        <v>27</v>
      </c>
      <c r="L777" t="s">
        <v>148</v>
      </c>
      <c r="M777" t="s">
        <v>398</v>
      </c>
      <c r="N777" t="str">
        <f t="shared" si="64"/>
        <v>Петров Владимир КирилловичПавлова Екатерина Павловна</v>
      </c>
      <c r="O777" t="s">
        <v>36</v>
      </c>
      <c r="P777" t="s">
        <v>57</v>
      </c>
      <c r="Q777" t="s">
        <v>201</v>
      </c>
    </row>
    <row r="778" spans="4:17" x14ac:dyDescent="0.25">
      <c r="D778" t="s">
        <v>52</v>
      </c>
      <c r="E778" t="s">
        <v>105</v>
      </c>
      <c r="F778" t="str">
        <f t="shared" si="60"/>
        <v>2024-07-15</v>
      </c>
      <c r="G778" t="str">
        <f t="shared" si="61"/>
        <v>2024-07-15</v>
      </c>
      <c r="H778">
        <f t="shared" si="62"/>
        <v>0</v>
      </c>
      <c r="J778" t="str">
        <f t="shared" si="63"/>
        <v>Фролов Сергей ВикторовичОрлов Максим Егорович</v>
      </c>
      <c r="K778" t="s">
        <v>27</v>
      </c>
      <c r="L778" t="s">
        <v>87</v>
      </c>
      <c r="M778" t="s">
        <v>398</v>
      </c>
      <c r="N778" t="str">
        <f t="shared" si="64"/>
        <v>Сидорова Елена ВасильевнаНиколаева Вероника Юрьевна</v>
      </c>
      <c r="O778" t="s">
        <v>12</v>
      </c>
      <c r="P778" t="s">
        <v>202</v>
      </c>
      <c r="Q778" t="s">
        <v>201</v>
      </c>
    </row>
    <row r="779" spans="4:17" x14ac:dyDescent="0.25">
      <c r="D779" t="s">
        <v>52</v>
      </c>
      <c r="E779" t="s">
        <v>316</v>
      </c>
      <c r="F779" t="str">
        <f t="shared" si="60"/>
        <v>2024-08-22</v>
      </c>
      <c r="G779" t="str">
        <f t="shared" si="61"/>
        <v>2024-08-22</v>
      </c>
      <c r="H779">
        <f t="shared" si="62"/>
        <v>0</v>
      </c>
      <c r="J779" t="str">
        <f t="shared" si="63"/>
        <v>Новикова Ольга ПетровнаПавлова Анна Михайловна</v>
      </c>
      <c r="K779" t="s">
        <v>10</v>
      </c>
      <c r="L779" t="s">
        <v>191</v>
      </c>
      <c r="M779" t="s">
        <v>398</v>
      </c>
      <c r="N779" t="str">
        <f t="shared" si="64"/>
        <v>Кузнецов Дмитрий ЛьвовичПетрова Дарья Кирилловна</v>
      </c>
      <c r="O779" t="s">
        <v>23</v>
      </c>
      <c r="P779" t="s">
        <v>198</v>
      </c>
      <c r="Q779" t="s">
        <v>199</v>
      </c>
    </row>
    <row r="780" spans="4:17" x14ac:dyDescent="0.25">
      <c r="D780" t="s">
        <v>52</v>
      </c>
      <c r="E780" t="s">
        <v>300</v>
      </c>
      <c r="F780" t="str">
        <f t="shared" si="60"/>
        <v>2024-02-16</v>
      </c>
      <c r="G780" t="str">
        <f t="shared" si="61"/>
        <v>2024-02-16</v>
      </c>
      <c r="H780">
        <f t="shared" si="62"/>
        <v>0</v>
      </c>
      <c r="J780" t="str">
        <f t="shared" si="63"/>
        <v>Орлов Павел ДенисовичЛебедев Роман Станиславович</v>
      </c>
      <c r="K780" t="s">
        <v>17</v>
      </c>
      <c r="L780" t="s">
        <v>62</v>
      </c>
      <c r="M780" t="s">
        <v>399</v>
      </c>
      <c r="N780" t="str">
        <f t="shared" si="64"/>
        <v>Семенова Ирина ВалерьевнаАлексеева Людмила Никитична</v>
      </c>
      <c r="O780" t="s">
        <v>46</v>
      </c>
      <c r="P780" t="s">
        <v>60</v>
      </c>
      <c r="Q780" t="s">
        <v>199</v>
      </c>
    </row>
    <row r="781" spans="4:17" x14ac:dyDescent="0.25">
      <c r="D781" t="s">
        <v>52</v>
      </c>
      <c r="E781" t="s">
        <v>73</v>
      </c>
      <c r="F781" t="str">
        <f t="shared" si="60"/>
        <v>2024-04-15</v>
      </c>
      <c r="G781" t="str">
        <f t="shared" si="61"/>
        <v>2024-07-23</v>
      </c>
      <c r="H781">
        <f t="shared" si="62"/>
        <v>99</v>
      </c>
      <c r="J781" t="str">
        <f t="shared" si="63"/>
        <v>Сидорова Елена ВасильевнаВолкова Наталья Александровна</v>
      </c>
      <c r="K781" t="s">
        <v>12</v>
      </c>
      <c r="L781" t="s">
        <v>115</v>
      </c>
      <c r="M781" t="s">
        <v>399</v>
      </c>
      <c r="N781" t="str">
        <f t="shared" si="64"/>
        <v>Белов Алексей КонстантиновичМорозова Светлана Михайловна</v>
      </c>
      <c r="O781" t="s">
        <v>8</v>
      </c>
      <c r="P781" t="s">
        <v>200</v>
      </c>
      <c r="Q781" t="s">
        <v>199</v>
      </c>
    </row>
    <row r="782" spans="4:17" x14ac:dyDescent="0.25">
      <c r="D782" t="s">
        <v>52</v>
      </c>
      <c r="E782" t="s">
        <v>141</v>
      </c>
      <c r="F782" t="str">
        <f t="shared" si="60"/>
        <v>2024-06-07</v>
      </c>
      <c r="G782" t="str">
        <f t="shared" si="61"/>
        <v>2024-06-07</v>
      </c>
      <c r="H782">
        <f t="shared" si="62"/>
        <v>0</v>
      </c>
      <c r="J782" t="str">
        <f t="shared" si="63"/>
        <v>Орлов Павел ДенисовичФедоров Александр Дмитриевич</v>
      </c>
      <c r="K782" t="s">
        <v>17</v>
      </c>
      <c r="L782" t="s">
        <v>136</v>
      </c>
      <c r="M782" t="s">
        <v>399</v>
      </c>
      <c r="N782" t="str">
        <f t="shared" si="64"/>
        <v>Новикова Ольга ПетровнаАлексеева Виктория Александровна</v>
      </c>
      <c r="O782" t="s">
        <v>10</v>
      </c>
      <c r="P782" t="s">
        <v>195</v>
      </c>
      <c r="Q782" t="s">
        <v>196</v>
      </c>
    </row>
    <row r="783" spans="4:17" x14ac:dyDescent="0.25">
      <c r="D783" t="s">
        <v>52</v>
      </c>
      <c r="E783" t="s">
        <v>185</v>
      </c>
      <c r="F783" t="str">
        <f t="shared" si="60"/>
        <v>2023-11-16</v>
      </c>
      <c r="G783" t="str">
        <f t="shared" si="61"/>
        <v>2023-11-16</v>
      </c>
      <c r="H783">
        <f t="shared" si="62"/>
        <v>0</v>
      </c>
      <c r="J783" t="str">
        <f t="shared" si="63"/>
        <v>Кузнецов Дмитрий ЛьвовичВасильев Кирилл Михайлович</v>
      </c>
      <c r="K783" t="s">
        <v>23</v>
      </c>
      <c r="L783" t="s">
        <v>95</v>
      </c>
      <c r="M783" t="s">
        <v>399</v>
      </c>
      <c r="N783" t="str">
        <f t="shared" si="64"/>
        <v>Яковлев Артем ИгоревичПетров Максим Александрович</v>
      </c>
      <c r="O783" t="s">
        <v>52</v>
      </c>
      <c r="P783" t="s">
        <v>171</v>
      </c>
      <c r="Q783" t="s">
        <v>196</v>
      </c>
    </row>
    <row r="784" spans="4:17" x14ac:dyDescent="0.25">
      <c r="D784" t="s">
        <v>52</v>
      </c>
      <c r="E784" t="s">
        <v>287</v>
      </c>
      <c r="F784" t="str">
        <f t="shared" si="60"/>
        <v>2024-02-12</v>
      </c>
      <c r="G784" t="str">
        <f t="shared" si="61"/>
        <v>2024-02-12</v>
      </c>
      <c r="H784">
        <f t="shared" si="62"/>
        <v>0</v>
      </c>
      <c r="J784" t="str">
        <f t="shared" si="63"/>
        <v>Новикова Ольга ПетровнаПетров Михаил Юрьевич</v>
      </c>
      <c r="K784" t="s">
        <v>10</v>
      </c>
      <c r="L784" t="s">
        <v>256</v>
      </c>
      <c r="M784" t="s">
        <v>399</v>
      </c>
      <c r="N784" t="str">
        <f t="shared" si="64"/>
        <v>Фролов Сергей ВикторовичИванова Ксения Романовна</v>
      </c>
      <c r="O784" t="s">
        <v>27</v>
      </c>
      <c r="P784" t="s">
        <v>74</v>
      </c>
      <c r="Q784" t="s">
        <v>196</v>
      </c>
    </row>
    <row r="785" spans="4:17" x14ac:dyDescent="0.25">
      <c r="D785" t="s">
        <v>52</v>
      </c>
      <c r="E785" t="s">
        <v>163</v>
      </c>
      <c r="F785" t="str">
        <f t="shared" si="60"/>
        <v>2024-02-06</v>
      </c>
      <c r="G785" t="str">
        <f t="shared" si="61"/>
        <v>2024-02-06</v>
      </c>
      <c r="H785">
        <f t="shared" si="62"/>
        <v>0</v>
      </c>
      <c r="J785" t="str">
        <f t="shared" si="63"/>
        <v>Сидорова Елена ВасильевнаПавлов Павел Павлович</v>
      </c>
      <c r="K785" t="s">
        <v>12</v>
      </c>
      <c r="L785" t="s">
        <v>207</v>
      </c>
      <c r="M785" t="s">
        <v>399</v>
      </c>
      <c r="N785" t="str">
        <f t="shared" si="64"/>
        <v>Орлов Павел ДенисовичЕгоров Никита Геннадьевич</v>
      </c>
      <c r="O785" t="s">
        <v>17</v>
      </c>
      <c r="P785" t="s">
        <v>130</v>
      </c>
      <c r="Q785" t="s">
        <v>196</v>
      </c>
    </row>
    <row r="786" spans="4:17" x14ac:dyDescent="0.25">
      <c r="D786" t="s">
        <v>52</v>
      </c>
      <c r="E786" t="s">
        <v>101</v>
      </c>
      <c r="F786" t="str">
        <f t="shared" si="60"/>
        <v>2023-12-05</v>
      </c>
      <c r="G786" t="str">
        <f t="shared" si="61"/>
        <v>2024-01-02</v>
      </c>
      <c r="H786">
        <f t="shared" si="62"/>
        <v>28</v>
      </c>
      <c r="J786" t="str">
        <f t="shared" si="63"/>
        <v>Ткаченко Андрей ОлеговичИванов Андрей Михайлович</v>
      </c>
      <c r="K786" t="s">
        <v>5</v>
      </c>
      <c r="L786" t="s">
        <v>229</v>
      </c>
      <c r="M786" t="s">
        <v>399</v>
      </c>
      <c r="N786" t="str">
        <f t="shared" si="64"/>
        <v>Сидорова Елена ВасильевнаНовиков Сергей Никитич</v>
      </c>
      <c r="O786" t="s">
        <v>12</v>
      </c>
      <c r="P786" t="s">
        <v>197</v>
      </c>
      <c r="Q786" t="s">
        <v>196</v>
      </c>
    </row>
    <row r="787" spans="4:17" x14ac:dyDescent="0.25">
      <c r="D787" t="s">
        <v>52</v>
      </c>
      <c r="E787" t="s">
        <v>146</v>
      </c>
      <c r="F787" t="str">
        <f t="shared" si="60"/>
        <v>2024-02-19</v>
      </c>
      <c r="G787" t="str">
        <f t="shared" si="61"/>
        <v>2024-02-19</v>
      </c>
      <c r="H787">
        <f t="shared" si="62"/>
        <v>0</v>
      </c>
      <c r="J787" t="str">
        <f t="shared" si="63"/>
        <v>Белов Алексей КонстантиновичИванов Владимир Романович</v>
      </c>
      <c r="K787" t="s">
        <v>8</v>
      </c>
      <c r="L787" t="s">
        <v>170</v>
      </c>
      <c r="M787" t="s">
        <v>399</v>
      </c>
      <c r="N787" t="str">
        <f t="shared" si="64"/>
        <v>Громова Мария ИльиничнаАлексеева Полина Станиславовна</v>
      </c>
      <c r="O787" t="s">
        <v>15</v>
      </c>
      <c r="P787" t="s">
        <v>180</v>
      </c>
      <c r="Q787" t="s">
        <v>194</v>
      </c>
    </row>
    <row r="788" spans="4:17" x14ac:dyDescent="0.25">
      <c r="D788" t="s">
        <v>52</v>
      </c>
      <c r="E788" t="s">
        <v>85</v>
      </c>
      <c r="F788" t="str">
        <f t="shared" si="60"/>
        <v>2024-05-08</v>
      </c>
      <c r="G788" t="str">
        <f t="shared" si="61"/>
        <v>2024-05-08</v>
      </c>
      <c r="H788">
        <f t="shared" si="62"/>
        <v>0</v>
      </c>
      <c r="J788" t="str">
        <f t="shared" si="63"/>
        <v>Ткаченко Андрей ОлеговичСтепанов Алексей Артемович</v>
      </c>
      <c r="K788" t="s">
        <v>5</v>
      </c>
      <c r="L788" t="s">
        <v>206</v>
      </c>
      <c r="M788" t="s">
        <v>399</v>
      </c>
      <c r="N788" t="str">
        <f t="shared" si="64"/>
        <v>Петров Владимир КирилловичСтепанов Никита Михайлович</v>
      </c>
      <c r="O788" t="s">
        <v>36</v>
      </c>
      <c r="P788" t="s">
        <v>68</v>
      </c>
      <c r="Q788" t="s">
        <v>192</v>
      </c>
    </row>
    <row r="789" spans="4:17" x14ac:dyDescent="0.25">
      <c r="D789" t="s">
        <v>52</v>
      </c>
      <c r="E789" t="s">
        <v>28</v>
      </c>
      <c r="F789" t="str">
        <f t="shared" si="60"/>
        <v>2024-03-11</v>
      </c>
      <c r="G789" t="str">
        <f t="shared" si="61"/>
        <v>2024-03-11</v>
      </c>
      <c r="H789">
        <f t="shared" si="62"/>
        <v>0</v>
      </c>
      <c r="J789" t="str">
        <f t="shared" si="63"/>
        <v>Фролов Сергей ВикторовичЛебедев Павел Кириллович</v>
      </c>
      <c r="K789" t="s">
        <v>27</v>
      </c>
      <c r="L789" t="s">
        <v>6</v>
      </c>
      <c r="M789" t="s">
        <v>399</v>
      </c>
      <c r="N789" t="str">
        <f t="shared" si="64"/>
        <v>Орлов Павел ДенисовичФедорова Алиса Кирилловна</v>
      </c>
      <c r="O789" t="s">
        <v>17</v>
      </c>
      <c r="P789" t="s">
        <v>193</v>
      </c>
      <c r="Q789" t="s">
        <v>192</v>
      </c>
    </row>
    <row r="790" spans="4:17" x14ac:dyDescent="0.25">
      <c r="D790" t="s">
        <v>52</v>
      </c>
      <c r="E790" t="s">
        <v>290</v>
      </c>
      <c r="F790" t="str">
        <f t="shared" si="60"/>
        <v>2024-02-07</v>
      </c>
      <c r="G790" t="str">
        <f t="shared" si="61"/>
        <v>2024-02-07</v>
      </c>
      <c r="H790">
        <f t="shared" si="62"/>
        <v>0</v>
      </c>
      <c r="J790" t="str">
        <f t="shared" si="63"/>
        <v>Громова Мария ИльиничнаОрлова Анна Дмитриевна</v>
      </c>
      <c r="K790" t="s">
        <v>15</v>
      </c>
      <c r="L790" t="s">
        <v>165</v>
      </c>
      <c r="M790" t="s">
        <v>399</v>
      </c>
      <c r="N790" t="str">
        <f t="shared" si="64"/>
        <v>Новикова Ольга ПетровнаВасильев Кирилл Михайлович</v>
      </c>
      <c r="O790" t="s">
        <v>10</v>
      </c>
      <c r="P790" t="s">
        <v>95</v>
      </c>
      <c r="Q790" t="s">
        <v>192</v>
      </c>
    </row>
    <row r="791" spans="4:17" x14ac:dyDescent="0.25">
      <c r="D791" t="s">
        <v>52</v>
      </c>
      <c r="E791" t="s">
        <v>160</v>
      </c>
      <c r="F791" t="str">
        <f t="shared" si="60"/>
        <v>2024-01-05</v>
      </c>
      <c r="G791" t="str">
        <f t="shared" si="61"/>
        <v>2024-01-05</v>
      </c>
      <c r="H791">
        <f t="shared" si="62"/>
        <v>0</v>
      </c>
      <c r="J791" t="str">
        <f t="shared" si="63"/>
        <v>Белов Алексей КонстантиновичСеменов Никита Михайлович</v>
      </c>
      <c r="K791" t="s">
        <v>8</v>
      </c>
      <c r="L791" t="s">
        <v>300</v>
      </c>
      <c r="M791" t="s">
        <v>399</v>
      </c>
      <c r="N791" t="str">
        <f t="shared" si="64"/>
        <v>Яковлев Артем ИгоревичСтепанов Дмитрий Владимирович</v>
      </c>
      <c r="O791" t="s">
        <v>52</v>
      </c>
      <c r="P791" t="s">
        <v>41</v>
      </c>
      <c r="Q791" t="s">
        <v>189</v>
      </c>
    </row>
    <row r="792" spans="4:17" x14ac:dyDescent="0.25">
      <c r="D792" t="s">
        <v>52</v>
      </c>
      <c r="E792" t="s">
        <v>206</v>
      </c>
      <c r="F792" t="str">
        <f t="shared" si="60"/>
        <v>2024-05-06</v>
      </c>
      <c r="G792" t="str">
        <f t="shared" si="61"/>
        <v>2024-05-06</v>
      </c>
      <c r="H792">
        <f t="shared" si="62"/>
        <v>0</v>
      </c>
      <c r="J792" t="str">
        <f t="shared" si="63"/>
        <v>Новикова Ольга ПетровнаИванова Анна Викторовна</v>
      </c>
      <c r="K792" t="s">
        <v>10</v>
      </c>
      <c r="L792" t="s">
        <v>281</v>
      </c>
      <c r="M792" t="s">
        <v>400</v>
      </c>
      <c r="N792" t="str">
        <f t="shared" si="64"/>
        <v>Семенова Ирина ВалерьевнаСтепанов Роман Павлович</v>
      </c>
      <c r="O792" t="s">
        <v>46</v>
      </c>
      <c r="P792" t="s">
        <v>190</v>
      </c>
      <c r="Q792" t="s">
        <v>189</v>
      </c>
    </row>
    <row r="793" spans="4:17" x14ac:dyDescent="0.25">
      <c r="D793" t="s">
        <v>52</v>
      </c>
      <c r="E793" t="s">
        <v>41</v>
      </c>
      <c r="F793" t="str">
        <f t="shared" si="60"/>
        <v>2023-11-20</v>
      </c>
      <c r="G793" t="str">
        <f t="shared" si="61"/>
        <v>2023-11-20</v>
      </c>
      <c r="H793">
        <f t="shared" si="62"/>
        <v>0</v>
      </c>
      <c r="J793" t="str">
        <f t="shared" si="63"/>
        <v>Яковлев Артем ИгоревичПетрова София Алексеевна</v>
      </c>
      <c r="K793" t="s">
        <v>52</v>
      </c>
      <c r="L793" t="s">
        <v>59</v>
      </c>
      <c r="M793" t="s">
        <v>401</v>
      </c>
      <c r="N793" t="str">
        <f t="shared" si="64"/>
        <v>Орлов Павел ДенисовичВасильева Татьяна Геннадьевна</v>
      </c>
      <c r="O793" t="s">
        <v>17</v>
      </c>
      <c r="P793" t="s">
        <v>37</v>
      </c>
      <c r="Q793" t="s">
        <v>189</v>
      </c>
    </row>
    <row r="794" spans="4:17" x14ac:dyDescent="0.25">
      <c r="D794" t="s">
        <v>52</v>
      </c>
      <c r="E794" t="s">
        <v>68</v>
      </c>
      <c r="F794" t="str">
        <f t="shared" si="60"/>
        <v>2024-05-21</v>
      </c>
      <c r="G794" t="str">
        <f t="shared" si="61"/>
        <v>2024-05-21</v>
      </c>
      <c r="H794">
        <f t="shared" si="62"/>
        <v>0</v>
      </c>
      <c r="J794" t="str">
        <f t="shared" si="63"/>
        <v>Семенова Ирина ВалерьевнаНиколаева Ирина Владимировна</v>
      </c>
      <c r="K794" t="s">
        <v>46</v>
      </c>
      <c r="L794" t="s">
        <v>66</v>
      </c>
      <c r="M794" t="s">
        <v>402</v>
      </c>
      <c r="N794" t="str">
        <f t="shared" si="64"/>
        <v>Кузнецов Дмитрий ЛьвовичВолкова Наталья Александровна</v>
      </c>
      <c r="O794" t="s">
        <v>23</v>
      </c>
      <c r="P794" t="s">
        <v>115</v>
      </c>
      <c r="Q794" t="s">
        <v>189</v>
      </c>
    </row>
    <row r="795" spans="4:17" x14ac:dyDescent="0.25">
      <c r="D795" t="s">
        <v>52</v>
      </c>
      <c r="E795" t="s">
        <v>108</v>
      </c>
      <c r="F795" t="str">
        <f t="shared" si="60"/>
        <v>2024-02-19</v>
      </c>
      <c r="G795" t="str">
        <f t="shared" si="61"/>
        <v>2024-02-19</v>
      </c>
      <c r="H795">
        <f t="shared" si="62"/>
        <v>0</v>
      </c>
      <c r="J795" t="str">
        <f t="shared" si="63"/>
        <v>Яковлев Артем ИгоревичКозлов Артем Владимирович</v>
      </c>
      <c r="K795" t="s">
        <v>52</v>
      </c>
      <c r="L795" t="s">
        <v>113</v>
      </c>
      <c r="M795" t="s">
        <v>402</v>
      </c>
      <c r="N795" t="str">
        <f t="shared" si="64"/>
        <v>Ткаченко Андрей ОлеговичНовикова Дарья Викторовна</v>
      </c>
      <c r="O795" t="s">
        <v>5</v>
      </c>
      <c r="P795" t="s">
        <v>138</v>
      </c>
      <c r="Q795" t="s">
        <v>189</v>
      </c>
    </row>
    <row r="796" spans="4:17" x14ac:dyDescent="0.25">
      <c r="D796" t="s">
        <v>52</v>
      </c>
      <c r="E796" t="s">
        <v>172</v>
      </c>
      <c r="F796" t="str">
        <f t="shared" si="60"/>
        <v>2024-02-07</v>
      </c>
      <c r="G796" t="str">
        <f t="shared" si="61"/>
        <v>2024-02-07</v>
      </c>
      <c r="H796">
        <f t="shared" si="62"/>
        <v>0</v>
      </c>
      <c r="J796" t="str">
        <f t="shared" si="63"/>
        <v>Ткаченко Андрей ОлеговичИванова Екатерина Егоровна</v>
      </c>
      <c r="K796" t="s">
        <v>5</v>
      </c>
      <c r="L796" t="s">
        <v>131</v>
      </c>
      <c r="M796" t="s">
        <v>403</v>
      </c>
      <c r="N796" t="str">
        <f t="shared" si="64"/>
        <v>Белов Алексей КонстантиновичПавлова Анна Михайловна</v>
      </c>
      <c r="O796" t="s">
        <v>8</v>
      </c>
      <c r="P796" t="s">
        <v>191</v>
      </c>
      <c r="Q796" t="s">
        <v>189</v>
      </c>
    </row>
    <row r="797" spans="4:17" x14ac:dyDescent="0.25">
      <c r="D797" t="s">
        <v>52</v>
      </c>
      <c r="E797" t="s">
        <v>136</v>
      </c>
      <c r="F797" t="str">
        <f t="shared" si="60"/>
        <v>2024-05-01</v>
      </c>
      <c r="G797" t="str">
        <f t="shared" si="61"/>
        <v>2024-05-01</v>
      </c>
      <c r="H797">
        <f t="shared" si="62"/>
        <v>0</v>
      </c>
      <c r="J797" t="str">
        <f t="shared" si="63"/>
        <v>Кузнецов Дмитрий ЛьвовичСмирнова София Ивановна</v>
      </c>
      <c r="K797" t="s">
        <v>23</v>
      </c>
      <c r="L797" t="s">
        <v>25</v>
      </c>
      <c r="M797" t="s">
        <v>403</v>
      </c>
      <c r="N797" t="str">
        <f t="shared" si="64"/>
        <v>Петров Владимир КирилловичФедорова Вероника Ивановна</v>
      </c>
      <c r="O797" t="s">
        <v>36</v>
      </c>
      <c r="P797" t="s">
        <v>107</v>
      </c>
      <c r="Q797" t="s">
        <v>189</v>
      </c>
    </row>
    <row r="798" spans="4:17" x14ac:dyDescent="0.25">
      <c r="D798" t="s">
        <v>52</v>
      </c>
      <c r="E798" t="s">
        <v>193</v>
      </c>
      <c r="F798" t="str">
        <f t="shared" si="60"/>
        <v>2024-06-26</v>
      </c>
      <c r="G798" t="str">
        <f t="shared" si="61"/>
        <v>2024-06-26</v>
      </c>
      <c r="H798">
        <f t="shared" si="62"/>
        <v>0</v>
      </c>
      <c r="J798" t="str">
        <f t="shared" si="63"/>
        <v>Семенова Ирина ВалерьевнаВасильев Никита Викторович</v>
      </c>
      <c r="K798" t="s">
        <v>46</v>
      </c>
      <c r="L798" t="s">
        <v>47</v>
      </c>
      <c r="M798" t="s">
        <v>404</v>
      </c>
      <c r="N798" t="str">
        <f t="shared" si="64"/>
        <v>Яковлев Артем ИгоревичНиколаева Ирина Владимировна</v>
      </c>
      <c r="O798" t="s">
        <v>52</v>
      </c>
      <c r="P798" t="s">
        <v>66</v>
      </c>
      <c r="Q798" t="s">
        <v>189</v>
      </c>
    </row>
    <row r="799" spans="4:17" x14ac:dyDescent="0.25">
      <c r="D799" t="s">
        <v>52</v>
      </c>
      <c r="E799" t="s">
        <v>107</v>
      </c>
      <c r="F799" t="str">
        <f t="shared" si="60"/>
        <v>2024-07-15</v>
      </c>
      <c r="G799" t="str">
        <f t="shared" si="61"/>
        <v>2024-07-15</v>
      </c>
      <c r="H799">
        <f t="shared" si="62"/>
        <v>0</v>
      </c>
      <c r="J799" t="str">
        <f t="shared" si="63"/>
        <v>Фролов Сергей ВикторовичНиколаев Павел Артемович</v>
      </c>
      <c r="K799" t="s">
        <v>27</v>
      </c>
      <c r="L799" t="s">
        <v>235</v>
      </c>
      <c r="M799" t="s">
        <v>404</v>
      </c>
      <c r="N799" t="str">
        <f t="shared" si="64"/>
        <v>Кузнецов Дмитрий ЛьвовичНовикова Елена Михайловна</v>
      </c>
      <c r="O799" t="s">
        <v>23</v>
      </c>
      <c r="P799" t="s">
        <v>121</v>
      </c>
      <c r="Q799" t="s">
        <v>189</v>
      </c>
    </row>
    <row r="800" spans="4:17" x14ac:dyDescent="0.25">
      <c r="D800" t="s">
        <v>52</v>
      </c>
      <c r="E800" t="s">
        <v>292</v>
      </c>
      <c r="F800" t="str">
        <f t="shared" si="60"/>
        <v>2024-08-05</v>
      </c>
      <c r="G800" t="str">
        <f t="shared" si="61"/>
        <v>2024-08-05</v>
      </c>
      <c r="H800">
        <f t="shared" si="62"/>
        <v>0</v>
      </c>
      <c r="J800" t="str">
        <f t="shared" si="63"/>
        <v>Петров Владимир КирилловичСтепанова Анна Никитична</v>
      </c>
      <c r="K800" t="s">
        <v>36</v>
      </c>
      <c r="L800" t="s">
        <v>108</v>
      </c>
      <c r="M800" t="s">
        <v>404</v>
      </c>
      <c r="N800" t="str">
        <f t="shared" si="64"/>
        <v>Громова Мария ИльиничнаКузнецов Георгий Никитич</v>
      </c>
      <c r="O800" t="s">
        <v>15</v>
      </c>
      <c r="P800" t="s">
        <v>188</v>
      </c>
      <c r="Q800" t="s">
        <v>189</v>
      </c>
    </row>
    <row r="801" spans="10:17" x14ac:dyDescent="0.25">
      <c r="J801" t="str">
        <f t="shared" si="63"/>
        <v>Семенова Ирина ВалерьевнаНовикова Дарья Викторовна</v>
      </c>
      <c r="K801" t="s">
        <v>46</v>
      </c>
      <c r="L801" t="s">
        <v>138</v>
      </c>
      <c r="M801" t="s">
        <v>404</v>
      </c>
      <c r="N801" t="str">
        <f t="shared" si="64"/>
        <v>Кузнецов Дмитрий ЛьвовичНовикова Дарья Викторовна</v>
      </c>
      <c r="O801" t="s">
        <v>23</v>
      </c>
      <c r="P801" t="s">
        <v>138</v>
      </c>
      <c r="Q801" t="s">
        <v>189</v>
      </c>
    </row>
    <row r="802" spans="10:17" x14ac:dyDescent="0.25">
      <c r="J802" t="str">
        <f t="shared" si="63"/>
        <v>Ткаченко Андрей ОлеговичАлексеева Виктория Александровна</v>
      </c>
      <c r="K802" t="s">
        <v>5</v>
      </c>
      <c r="L802" t="s">
        <v>195</v>
      </c>
      <c r="M802" t="s">
        <v>404</v>
      </c>
      <c r="N802" t="str">
        <f t="shared" si="64"/>
        <v>Иванова Анна СергеевнаЕгоров Никита Геннадьевич</v>
      </c>
      <c r="O802" t="s">
        <v>48</v>
      </c>
      <c r="P802" t="s">
        <v>130</v>
      </c>
      <c r="Q802" t="s">
        <v>186</v>
      </c>
    </row>
    <row r="803" spans="10:17" x14ac:dyDescent="0.25">
      <c r="J803" t="str">
        <f t="shared" si="63"/>
        <v>Петров Владимир КирилловичИванов Владимир Романович</v>
      </c>
      <c r="K803" t="s">
        <v>36</v>
      </c>
      <c r="L803" t="s">
        <v>170</v>
      </c>
      <c r="M803" t="s">
        <v>404</v>
      </c>
      <c r="N803" t="str">
        <f t="shared" si="64"/>
        <v>Семенова Ирина ВалерьевнаМорозов Андрей Александрович</v>
      </c>
      <c r="O803" t="s">
        <v>46</v>
      </c>
      <c r="P803" t="s">
        <v>187</v>
      </c>
      <c r="Q803" t="s">
        <v>186</v>
      </c>
    </row>
    <row r="804" spans="10:17" x14ac:dyDescent="0.25">
      <c r="J804" t="str">
        <f t="shared" si="63"/>
        <v>Новикова Ольга ПетровнаЛебедев Павел Кириллович</v>
      </c>
      <c r="K804" t="s">
        <v>10</v>
      </c>
      <c r="L804" t="s">
        <v>6</v>
      </c>
      <c r="M804" t="s">
        <v>404</v>
      </c>
      <c r="N804" t="str">
        <f t="shared" si="64"/>
        <v>Кузнецов Дмитрий ЛьвовичКузнецов Георгий Никитич</v>
      </c>
      <c r="O804" t="s">
        <v>23</v>
      </c>
      <c r="P804" t="s">
        <v>188</v>
      </c>
      <c r="Q804" t="s">
        <v>186</v>
      </c>
    </row>
    <row r="805" spans="10:17" x14ac:dyDescent="0.25">
      <c r="J805" t="str">
        <f t="shared" si="63"/>
        <v>Фролов Сергей ВикторовичПетров Максим Александрович</v>
      </c>
      <c r="K805" t="s">
        <v>27</v>
      </c>
      <c r="L805" t="s">
        <v>171</v>
      </c>
      <c r="M805" t="s">
        <v>405</v>
      </c>
      <c r="N805" t="str">
        <f t="shared" si="64"/>
        <v>Петров Владимир КирилловичВолкова Валерия Олеговна</v>
      </c>
      <c r="O805" t="s">
        <v>36</v>
      </c>
      <c r="P805" t="s">
        <v>55</v>
      </c>
      <c r="Q805" t="s">
        <v>183</v>
      </c>
    </row>
    <row r="806" spans="10:17" x14ac:dyDescent="0.25">
      <c r="J806" t="str">
        <f t="shared" si="63"/>
        <v>Яковлев Артем ИгоревичФедорова Алиса Кирилловна</v>
      </c>
      <c r="K806" t="s">
        <v>52</v>
      </c>
      <c r="L806" t="s">
        <v>193</v>
      </c>
      <c r="M806" t="s">
        <v>406</v>
      </c>
      <c r="N806" t="str">
        <f t="shared" si="64"/>
        <v>Кузнецов Дмитрий ЛьвовичАлексеева Ксения Андреевна</v>
      </c>
      <c r="O806" t="s">
        <v>23</v>
      </c>
      <c r="P806" t="s">
        <v>184</v>
      </c>
      <c r="Q806" t="s">
        <v>183</v>
      </c>
    </row>
    <row r="807" spans="10:17" x14ac:dyDescent="0.25">
      <c r="J807" t="str">
        <f t="shared" si="63"/>
        <v>Кузнецов Дмитрий ЛьвовичМорозов Константин Романович</v>
      </c>
      <c r="K807" t="s">
        <v>23</v>
      </c>
      <c r="L807" t="s">
        <v>91</v>
      </c>
      <c r="M807" t="s">
        <v>406</v>
      </c>
      <c r="N807" t="str">
        <f t="shared" si="64"/>
        <v>Семенова Ирина ВалерьевнаПавлов Матвей Дмитриевич</v>
      </c>
      <c r="O807" t="s">
        <v>46</v>
      </c>
      <c r="P807" t="s">
        <v>103</v>
      </c>
      <c r="Q807" t="s">
        <v>183</v>
      </c>
    </row>
    <row r="808" spans="10:17" x14ac:dyDescent="0.25">
      <c r="J808" t="str">
        <f t="shared" si="63"/>
        <v>Яковлев Артем ИгоревичПавлова Ольга Юрьевна</v>
      </c>
      <c r="K808" t="s">
        <v>52</v>
      </c>
      <c r="L808" t="s">
        <v>112</v>
      </c>
      <c r="M808" t="s">
        <v>406</v>
      </c>
      <c r="N808" t="str">
        <f t="shared" si="64"/>
        <v>Яковлев Артем ИгоревичСидоров Михаил Артемович</v>
      </c>
      <c r="O808" t="s">
        <v>52</v>
      </c>
      <c r="P808" t="s">
        <v>185</v>
      </c>
      <c r="Q808" t="s">
        <v>183</v>
      </c>
    </row>
    <row r="809" spans="10:17" x14ac:dyDescent="0.25">
      <c r="J809" t="str">
        <f t="shared" si="63"/>
        <v>Семенова Ирина ВалерьевнаКозлов Алексей Иванович</v>
      </c>
      <c r="K809" t="s">
        <v>46</v>
      </c>
      <c r="L809" t="s">
        <v>149</v>
      </c>
      <c r="M809" t="s">
        <v>407</v>
      </c>
      <c r="N809" t="str">
        <f t="shared" si="64"/>
        <v>Иванова Анна СергеевнаИванова Ксения Романовна</v>
      </c>
      <c r="O809" t="s">
        <v>48</v>
      </c>
      <c r="P809" t="s">
        <v>74</v>
      </c>
      <c r="Q809" t="s">
        <v>183</v>
      </c>
    </row>
    <row r="810" spans="10:17" x14ac:dyDescent="0.25">
      <c r="J810" t="str">
        <f t="shared" si="63"/>
        <v>Семенова Ирина ВалерьевнаКузнецов Никита Сергеевич</v>
      </c>
      <c r="K810" t="s">
        <v>46</v>
      </c>
      <c r="L810" t="s">
        <v>248</v>
      </c>
      <c r="M810" t="s">
        <v>407</v>
      </c>
      <c r="N810" t="str">
        <f t="shared" si="64"/>
        <v>Семенова Ирина ВалерьевнаПавлов Роман Александрович</v>
      </c>
      <c r="O810" t="s">
        <v>46</v>
      </c>
      <c r="P810" t="s">
        <v>134</v>
      </c>
      <c r="Q810" t="s">
        <v>182</v>
      </c>
    </row>
    <row r="811" spans="10:17" x14ac:dyDescent="0.25">
      <c r="J811" t="str">
        <f t="shared" si="63"/>
        <v>Ткаченко Андрей ОлеговичСмирнов Кирилл Сергеевич</v>
      </c>
      <c r="K811" t="s">
        <v>5</v>
      </c>
      <c r="L811" t="s">
        <v>146</v>
      </c>
      <c r="M811" t="s">
        <v>407</v>
      </c>
      <c r="N811" t="str">
        <f t="shared" si="64"/>
        <v>Белов Алексей КонстантиновичСмирнов Дмитрий Александрович</v>
      </c>
      <c r="O811" t="s">
        <v>8</v>
      </c>
      <c r="P811" t="s">
        <v>20</v>
      </c>
      <c r="Q811" t="s">
        <v>179</v>
      </c>
    </row>
    <row r="812" spans="10:17" x14ac:dyDescent="0.25">
      <c r="J812" t="str">
        <f t="shared" si="63"/>
        <v>Громова Мария ИльиничнаФедорова Вероника Ивановна</v>
      </c>
      <c r="K812" t="s">
        <v>15</v>
      </c>
      <c r="L812" t="s">
        <v>107</v>
      </c>
      <c r="M812" t="s">
        <v>408</v>
      </c>
      <c r="N812" t="str">
        <f t="shared" si="64"/>
        <v>Кузнецов Дмитрий ЛьвовичСмирнов Кирилл Сергеевич</v>
      </c>
      <c r="O812" t="s">
        <v>23</v>
      </c>
      <c r="P812" t="s">
        <v>146</v>
      </c>
      <c r="Q812" t="s">
        <v>179</v>
      </c>
    </row>
    <row r="813" spans="10:17" x14ac:dyDescent="0.25">
      <c r="J813" t="str">
        <f t="shared" si="63"/>
        <v>Ткаченко Андрей ОлеговичАлексеев Матвей Кириллович</v>
      </c>
      <c r="K813" t="s">
        <v>5</v>
      </c>
      <c r="L813" t="s">
        <v>92</v>
      </c>
      <c r="M813" t="s">
        <v>408</v>
      </c>
      <c r="N813" t="str">
        <f t="shared" si="64"/>
        <v>Громова Мария ИльиничнаАлексеева Полина Станиславовна</v>
      </c>
      <c r="O813" t="s">
        <v>15</v>
      </c>
      <c r="P813" t="s">
        <v>180</v>
      </c>
      <c r="Q813" t="s">
        <v>179</v>
      </c>
    </row>
    <row r="814" spans="10:17" x14ac:dyDescent="0.25">
      <c r="J814" t="str">
        <f t="shared" si="63"/>
        <v>Петров Владимир КирилловичНовиков Иван Никитич</v>
      </c>
      <c r="K814" t="s">
        <v>36</v>
      </c>
      <c r="L814" t="s">
        <v>181</v>
      </c>
      <c r="M814" t="s">
        <v>408</v>
      </c>
      <c r="N814" t="str">
        <f t="shared" si="64"/>
        <v>Громова Мария ИльиничнаНовиков Иван Никитич</v>
      </c>
      <c r="O814" t="s">
        <v>15</v>
      </c>
      <c r="P814" t="s">
        <v>181</v>
      </c>
      <c r="Q814" t="s">
        <v>179</v>
      </c>
    </row>
    <row r="815" spans="10:17" x14ac:dyDescent="0.25">
      <c r="J815" t="str">
        <f t="shared" si="63"/>
        <v>Иванова Анна СергеевнаАлексеева Алиса Ильинична</v>
      </c>
      <c r="K815" t="s">
        <v>48</v>
      </c>
      <c r="L815" t="s">
        <v>64</v>
      </c>
      <c r="M815" t="s">
        <v>409</v>
      </c>
      <c r="N815" t="str">
        <f t="shared" si="64"/>
        <v>Семенова Ирина ВалерьевнаПетров Максим Александрович</v>
      </c>
      <c r="O815" t="s">
        <v>46</v>
      </c>
      <c r="P815" t="s">
        <v>171</v>
      </c>
      <c r="Q815" t="s">
        <v>179</v>
      </c>
    </row>
    <row r="816" spans="10:17" x14ac:dyDescent="0.25">
      <c r="J816" t="str">
        <f t="shared" si="63"/>
        <v>Семенова Ирина ВалерьевнаВасильева Алиса Дмитриевна</v>
      </c>
      <c r="K816" t="s">
        <v>46</v>
      </c>
      <c r="L816" t="s">
        <v>216</v>
      </c>
      <c r="M816" t="s">
        <v>409</v>
      </c>
      <c r="N816" t="str">
        <f t="shared" si="64"/>
        <v>Громова Мария ИльиничнаКозлов Артур Андреевич</v>
      </c>
      <c r="O816" t="s">
        <v>15</v>
      </c>
      <c r="P816" t="s">
        <v>63</v>
      </c>
      <c r="Q816" t="s">
        <v>179</v>
      </c>
    </row>
    <row r="817" spans="10:17" x14ac:dyDescent="0.25">
      <c r="J817" t="str">
        <f t="shared" si="63"/>
        <v>Сидорова Елена ВасильевнаАлексеева Виктория Александровна</v>
      </c>
      <c r="K817" t="s">
        <v>12</v>
      </c>
      <c r="L817" t="s">
        <v>195</v>
      </c>
      <c r="M817" t="s">
        <v>409</v>
      </c>
      <c r="N817" t="str">
        <f t="shared" si="64"/>
        <v>Кузнецов Дмитрий ЛьвовичОрлов Максим Егорович</v>
      </c>
      <c r="O817" t="s">
        <v>23</v>
      </c>
      <c r="P817" t="s">
        <v>87</v>
      </c>
      <c r="Q817" t="s">
        <v>178</v>
      </c>
    </row>
    <row r="818" spans="10:17" x14ac:dyDescent="0.25">
      <c r="J818" t="str">
        <f t="shared" si="63"/>
        <v>Фролов Сергей ВикторовичНовикова Алиса Юрьевна</v>
      </c>
      <c r="K818" t="s">
        <v>27</v>
      </c>
      <c r="L818" t="s">
        <v>102</v>
      </c>
      <c r="M818" t="s">
        <v>409</v>
      </c>
      <c r="N818" t="str">
        <f t="shared" si="64"/>
        <v>Белов Алексей КонстантиновичСеменова Виктория Владимировна</v>
      </c>
      <c r="O818" t="s">
        <v>8</v>
      </c>
      <c r="P818" t="s">
        <v>73</v>
      </c>
      <c r="Q818" t="s">
        <v>178</v>
      </c>
    </row>
    <row r="819" spans="10:17" x14ac:dyDescent="0.25">
      <c r="J819" t="str">
        <f t="shared" si="63"/>
        <v>Орлов Павел ДенисовичАлексеева Ксения Андреевна</v>
      </c>
      <c r="K819" t="s">
        <v>17</v>
      </c>
      <c r="L819" t="s">
        <v>184</v>
      </c>
      <c r="M819" t="s">
        <v>409</v>
      </c>
      <c r="N819" t="str">
        <f t="shared" si="64"/>
        <v>Кузнецов Дмитрий ЛьвовичПетрова Людмила Ильинична</v>
      </c>
      <c r="O819" t="s">
        <v>23</v>
      </c>
      <c r="P819" t="s">
        <v>29</v>
      </c>
      <c r="Q819" t="s">
        <v>177</v>
      </c>
    </row>
    <row r="820" spans="10:17" x14ac:dyDescent="0.25">
      <c r="J820" t="str">
        <f t="shared" si="63"/>
        <v>Орлов Павел ДенисовичВолкова Валерия Олеговна</v>
      </c>
      <c r="K820" t="s">
        <v>17</v>
      </c>
      <c r="L820" t="s">
        <v>55</v>
      </c>
      <c r="M820" t="s">
        <v>409</v>
      </c>
      <c r="N820" t="str">
        <f t="shared" si="64"/>
        <v>Иванова Анна СергеевнаНиколаев Егор Станиславович</v>
      </c>
      <c r="O820" t="s">
        <v>48</v>
      </c>
      <c r="P820" t="s">
        <v>175</v>
      </c>
      <c r="Q820" t="s">
        <v>176</v>
      </c>
    </row>
    <row r="821" spans="10:17" x14ac:dyDescent="0.25">
      <c r="J821" t="str">
        <f t="shared" si="63"/>
        <v>Фролов Сергей ВикторовичКозлова Ксения Владимировна</v>
      </c>
      <c r="K821" t="s">
        <v>27</v>
      </c>
      <c r="L821" t="s">
        <v>173</v>
      </c>
      <c r="M821" t="s">
        <v>409</v>
      </c>
      <c r="N821" t="str">
        <f t="shared" si="64"/>
        <v>Петров Владимир КирилловичКузнецова Валерия Романовна</v>
      </c>
      <c r="O821" t="s">
        <v>36</v>
      </c>
      <c r="P821" t="s">
        <v>71</v>
      </c>
      <c r="Q821" t="s">
        <v>176</v>
      </c>
    </row>
    <row r="822" spans="10:17" x14ac:dyDescent="0.25">
      <c r="J822" t="str">
        <f t="shared" si="63"/>
        <v>Семенова Ирина ВалерьевнаНовикова Алиса Юрьевна</v>
      </c>
      <c r="K822" t="s">
        <v>46</v>
      </c>
      <c r="L822" t="s">
        <v>102</v>
      </c>
      <c r="M822" t="s">
        <v>409</v>
      </c>
      <c r="N822" t="str">
        <f t="shared" si="64"/>
        <v>Кузнецов Дмитрий ЛьвовичНовикова Елена Михайловна</v>
      </c>
      <c r="O822" t="s">
        <v>23</v>
      </c>
      <c r="P822" t="s">
        <v>121</v>
      </c>
      <c r="Q822" t="s">
        <v>174</v>
      </c>
    </row>
    <row r="823" spans="10:17" x14ac:dyDescent="0.25">
      <c r="J823" t="str">
        <f t="shared" si="63"/>
        <v>Громова Мария ИльиничнаВолков Алексей Артемович</v>
      </c>
      <c r="K823" t="s">
        <v>15</v>
      </c>
      <c r="L823" t="s">
        <v>111</v>
      </c>
      <c r="M823" t="s">
        <v>410</v>
      </c>
      <c r="N823" t="str">
        <f t="shared" si="64"/>
        <v>Белов Алексей КонстантиновичФедоров Александр Дмитриевич</v>
      </c>
      <c r="O823" t="s">
        <v>8</v>
      </c>
      <c r="P823" t="s">
        <v>136</v>
      </c>
      <c r="Q823" t="s">
        <v>174</v>
      </c>
    </row>
    <row r="824" spans="10:17" x14ac:dyDescent="0.25">
      <c r="J824" t="str">
        <f t="shared" si="63"/>
        <v>Новикова Ольга ПетровнаПетров Михаил Юрьевич</v>
      </c>
      <c r="K824" t="s">
        <v>10</v>
      </c>
      <c r="L824" t="s">
        <v>256</v>
      </c>
      <c r="M824" t="s">
        <v>411</v>
      </c>
      <c r="N824" t="str">
        <f t="shared" si="64"/>
        <v>Орлов Павел ДенисовичОрлов Алексей Сергеевич</v>
      </c>
      <c r="O824" t="s">
        <v>17</v>
      </c>
      <c r="P824" t="s">
        <v>53</v>
      </c>
      <c r="Q824" t="s">
        <v>174</v>
      </c>
    </row>
    <row r="825" spans="10:17" x14ac:dyDescent="0.25">
      <c r="J825" t="str">
        <f t="shared" si="63"/>
        <v>Иванова Анна СергеевнаФедоров Дмитрий Викторович</v>
      </c>
      <c r="K825" t="s">
        <v>48</v>
      </c>
      <c r="L825" t="s">
        <v>157</v>
      </c>
      <c r="M825" t="s">
        <v>411</v>
      </c>
      <c r="N825" t="str">
        <f t="shared" si="64"/>
        <v>Белов Алексей КонстантиновичВолков Роман Иванович</v>
      </c>
      <c r="O825" t="s">
        <v>8</v>
      </c>
      <c r="P825" t="s">
        <v>75</v>
      </c>
      <c r="Q825" t="s">
        <v>169</v>
      </c>
    </row>
    <row r="826" spans="10:17" x14ac:dyDescent="0.25">
      <c r="J826" t="str">
        <f t="shared" si="63"/>
        <v>Громова Мария ИльиничнаВасильев Егор Владимирович</v>
      </c>
      <c r="K826" t="s">
        <v>15</v>
      </c>
      <c r="L826" t="s">
        <v>148</v>
      </c>
      <c r="M826" t="s">
        <v>411</v>
      </c>
      <c r="N826" t="str">
        <f t="shared" si="64"/>
        <v>Кузнецов Дмитрий ЛьвовичИванов Владимир Романович</v>
      </c>
      <c r="O826" t="s">
        <v>23</v>
      </c>
      <c r="P826" t="s">
        <v>170</v>
      </c>
      <c r="Q826" t="s">
        <v>169</v>
      </c>
    </row>
    <row r="827" spans="10:17" x14ac:dyDescent="0.25">
      <c r="J827" t="str">
        <f t="shared" si="63"/>
        <v>Белов Алексей КонстантиновичФедоров Дмитрий Викторович</v>
      </c>
      <c r="K827" t="s">
        <v>8</v>
      </c>
      <c r="L827" t="s">
        <v>157</v>
      </c>
      <c r="M827" t="s">
        <v>411</v>
      </c>
      <c r="N827" t="str">
        <f t="shared" si="64"/>
        <v>Иванова Анна СергеевнаОрлов Максим Егорович</v>
      </c>
      <c r="O827" t="s">
        <v>48</v>
      </c>
      <c r="P827" t="s">
        <v>87</v>
      </c>
      <c r="Q827" t="s">
        <v>169</v>
      </c>
    </row>
    <row r="828" spans="10:17" x14ac:dyDescent="0.25">
      <c r="J828" t="str">
        <f t="shared" si="63"/>
        <v>Фролов Сергей ВикторовичИванов Андрей Михайлович</v>
      </c>
      <c r="K828" t="s">
        <v>27</v>
      </c>
      <c r="L828" t="s">
        <v>229</v>
      </c>
      <c r="M828" t="s">
        <v>412</v>
      </c>
      <c r="N828" t="str">
        <f t="shared" si="64"/>
        <v>Семенова Ирина ВалерьевнаПетров Максим Александрович</v>
      </c>
      <c r="O828" t="s">
        <v>46</v>
      </c>
      <c r="P828" t="s">
        <v>171</v>
      </c>
      <c r="Q828" t="s">
        <v>169</v>
      </c>
    </row>
    <row r="829" spans="10:17" x14ac:dyDescent="0.25">
      <c r="J829" t="str">
        <f t="shared" si="63"/>
        <v>Семенова Ирина ВалерьевнаВасильев Георгий Станиславович</v>
      </c>
      <c r="K829" t="s">
        <v>46</v>
      </c>
      <c r="L829" t="s">
        <v>243</v>
      </c>
      <c r="M829" t="s">
        <v>412</v>
      </c>
      <c r="N829" t="str">
        <f t="shared" si="64"/>
        <v>Кузнецов Дмитрий ЛьвовичСтепанова Екатерина Михайловна</v>
      </c>
      <c r="O829" t="s">
        <v>23</v>
      </c>
      <c r="P829" t="s">
        <v>172</v>
      </c>
      <c r="Q829" t="s">
        <v>169</v>
      </c>
    </row>
    <row r="830" spans="10:17" x14ac:dyDescent="0.25">
      <c r="J830" t="str">
        <f t="shared" si="63"/>
        <v>Громова Мария ИльиничнаНиколаев Артур Никитич</v>
      </c>
      <c r="K830" t="s">
        <v>15</v>
      </c>
      <c r="L830" t="s">
        <v>129</v>
      </c>
      <c r="M830" t="s">
        <v>412</v>
      </c>
      <c r="N830" t="str">
        <f t="shared" si="64"/>
        <v>Семенова Ирина ВалерьевнаСмирнов Дмитрий Александрович</v>
      </c>
      <c r="O830" t="s">
        <v>46</v>
      </c>
      <c r="P830" t="s">
        <v>20</v>
      </c>
      <c r="Q830" t="s">
        <v>169</v>
      </c>
    </row>
    <row r="831" spans="10:17" x14ac:dyDescent="0.25">
      <c r="J831" t="str">
        <f t="shared" si="63"/>
        <v>Громова Мария ИльиничнаНиколаева Ирина Владимировна</v>
      </c>
      <c r="K831" t="s">
        <v>15</v>
      </c>
      <c r="L831" t="s">
        <v>66</v>
      </c>
      <c r="M831" t="s">
        <v>413</v>
      </c>
      <c r="N831" t="str">
        <f t="shared" si="64"/>
        <v>Петров Владимир КирилловичКозлов Артур Андреевич</v>
      </c>
      <c r="O831" t="s">
        <v>36</v>
      </c>
      <c r="P831" t="s">
        <v>63</v>
      </c>
      <c r="Q831" t="s">
        <v>169</v>
      </c>
    </row>
    <row r="832" spans="10:17" x14ac:dyDescent="0.25">
      <c r="J832" t="str">
        <f t="shared" si="63"/>
        <v>Кузнецов Дмитрий ЛьвовичАлексеева Виктория Александровна</v>
      </c>
      <c r="K832" t="s">
        <v>23</v>
      </c>
      <c r="L832" t="s">
        <v>195</v>
      </c>
      <c r="M832" t="s">
        <v>413</v>
      </c>
      <c r="N832" t="str">
        <f t="shared" si="64"/>
        <v>Ткаченко Андрей ОлеговичКозлова Ксения Владимировна</v>
      </c>
      <c r="O832" t="s">
        <v>5</v>
      </c>
      <c r="P832" t="s">
        <v>173</v>
      </c>
      <c r="Q832" t="s">
        <v>169</v>
      </c>
    </row>
    <row r="833" spans="10:17" x14ac:dyDescent="0.25">
      <c r="J833" t="str">
        <f t="shared" si="63"/>
        <v>Сидорова Елена ВасильевнаСеменова Вероника Павловна</v>
      </c>
      <c r="K833" t="s">
        <v>12</v>
      </c>
      <c r="L833" t="s">
        <v>61</v>
      </c>
      <c r="M833" t="s">
        <v>413</v>
      </c>
      <c r="N833" t="str">
        <f t="shared" si="64"/>
        <v>Новикова Ольга ПетровнаКозлова Полина Викторовна</v>
      </c>
      <c r="O833" t="s">
        <v>10</v>
      </c>
      <c r="P833" t="s">
        <v>166</v>
      </c>
      <c r="Q833" t="s">
        <v>167</v>
      </c>
    </row>
    <row r="834" spans="10:17" x14ac:dyDescent="0.25">
      <c r="J834" t="str">
        <f t="shared" si="63"/>
        <v>Ткаченко Андрей ОлеговичМорозов Никита Иванович</v>
      </c>
      <c r="K834" t="s">
        <v>5</v>
      </c>
      <c r="L834" t="s">
        <v>335</v>
      </c>
      <c r="M834" t="s">
        <v>413</v>
      </c>
      <c r="N834" t="str">
        <f t="shared" si="64"/>
        <v>Петров Владимир КирилловичАлексеев Павел Дмитриевич</v>
      </c>
      <c r="O834" t="s">
        <v>36</v>
      </c>
      <c r="P834" t="s">
        <v>168</v>
      </c>
      <c r="Q834" t="s">
        <v>167</v>
      </c>
    </row>
    <row r="835" spans="10:17" x14ac:dyDescent="0.25">
      <c r="J835" t="str">
        <f t="shared" ref="J835:J898" si="65">K835&amp;L835</f>
        <v>Орлов Павел ДенисовичПавлова Ольга Юрьевна</v>
      </c>
      <c r="K835" t="s">
        <v>17</v>
      </c>
      <c r="L835" t="s">
        <v>112</v>
      </c>
      <c r="M835" t="s">
        <v>413</v>
      </c>
      <c r="N835" t="str">
        <f t="shared" ref="N835:N898" si="66">O835&amp;P835</f>
        <v>Петров Владимир КирилловичПавлов Роман Александрович</v>
      </c>
      <c r="O835" t="s">
        <v>36</v>
      </c>
      <c r="P835" t="s">
        <v>134</v>
      </c>
      <c r="Q835" t="s">
        <v>167</v>
      </c>
    </row>
    <row r="836" spans="10:17" x14ac:dyDescent="0.25">
      <c r="J836" t="str">
        <f t="shared" si="65"/>
        <v>Яковлев Артем ИгоревичКозлова Ирина Павловна</v>
      </c>
      <c r="K836" t="s">
        <v>52</v>
      </c>
      <c r="L836" t="s">
        <v>122</v>
      </c>
      <c r="M836" t="s">
        <v>413</v>
      </c>
      <c r="N836" t="str">
        <f t="shared" si="66"/>
        <v>Белов Алексей КонстантиновичСеменова Виктория Владимировна</v>
      </c>
      <c r="O836" t="s">
        <v>8</v>
      </c>
      <c r="P836" t="s">
        <v>73</v>
      </c>
      <c r="Q836" t="s">
        <v>164</v>
      </c>
    </row>
    <row r="837" spans="10:17" x14ac:dyDescent="0.25">
      <c r="J837" t="str">
        <f t="shared" si="65"/>
        <v>Новикова Ольга ПетровнаАлексеева Алиса Ильинична</v>
      </c>
      <c r="K837" t="s">
        <v>10</v>
      </c>
      <c r="L837" t="s">
        <v>64</v>
      </c>
      <c r="M837" t="s">
        <v>413</v>
      </c>
      <c r="N837" t="str">
        <f t="shared" si="66"/>
        <v>Семенова Ирина ВалерьевнаОрлова Анна Дмитриевна</v>
      </c>
      <c r="O837" t="s">
        <v>46</v>
      </c>
      <c r="P837" t="s">
        <v>165</v>
      </c>
      <c r="Q837" t="s">
        <v>164</v>
      </c>
    </row>
    <row r="838" spans="10:17" x14ac:dyDescent="0.25">
      <c r="J838" t="str">
        <f t="shared" si="65"/>
        <v>Семенова Ирина ВалерьевнаМорозов Сергей Олегович</v>
      </c>
      <c r="K838" t="s">
        <v>46</v>
      </c>
      <c r="L838" t="s">
        <v>150</v>
      </c>
      <c r="M838" t="s">
        <v>413</v>
      </c>
      <c r="N838" t="str">
        <f t="shared" si="66"/>
        <v>Петров Владимир КирилловичВасильев Александр Никитич</v>
      </c>
      <c r="O838" t="s">
        <v>36</v>
      </c>
      <c r="P838" t="s">
        <v>161</v>
      </c>
      <c r="Q838" t="s">
        <v>162</v>
      </c>
    </row>
    <row r="839" spans="10:17" x14ac:dyDescent="0.25">
      <c r="J839" t="str">
        <f t="shared" si="65"/>
        <v>Фролов Сергей ВикторовичСтепанова Виктория Алексеевна</v>
      </c>
      <c r="K839" t="s">
        <v>27</v>
      </c>
      <c r="L839" t="s">
        <v>43</v>
      </c>
      <c r="M839" t="s">
        <v>413</v>
      </c>
      <c r="N839" t="str">
        <f t="shared" si="66"/>
        <v>Семенова Ирина ВалерьевнаСидорова Вероника Павловна</v>
      </c>
      <c r="O839" t="s">
        <v>46</v>
      </c>
      <c r="P839" t="s">
        <v>163</v>
      </c>
      <c r="Q839" t="s">
        <v>162</v>
      </c>
    </row>
    <row r="840" spans="10:17" x14ac:dyDescent="0.25">
      <c r="J840" t="str">
        <f t="shared" si="65"/>
        <v>Орлов Павел ДенисовичСидорова Виктория Ильинична</v>
      </c>
      <c r="K840" t="s">
        <v>17</v>
      </c>
      <c r="L840" t="s">
        <v>270</v>
      </c>
      <c r="M840" t="s">
        <v>413</v>
      </c>
      <c r="N840" t="str">
        <f t="shared" si="66"/>
        <v>Орлов Павел ДенисовичСтепанова Анна Никитична</v>
      </c>
      <c r="O840" t="s">
        <v>17</v>
      </c>
      <c r="P840" t="s">
        <v>108</v>
      </c>
      <c r="Q840" t="s">
        <v>162</v>
      </c>
    </row>
    <row r="841" spans="10:17" x14ac:dyDescent="0.25">
      <c r="J841" t="str">
        <f t="shared" si="65"/>
        <v>Громова Мария ИльиничнаПопова Александра Юрьевна</v>
      </c>
      <c r="K841" t="s">
        <v>15</v>
      </c>
      <c r="L841" t="s">
        <v>118</v>
      </c>
      <c r="M841" t="s">
        <v>413</v>
      </c>
      <c r="N841" t="str">
        <f t="shared" si="66"/>
        <v>Яковлев Артем ИгоревичПетрова Дарья Егоровна</v>
      </c>
      <c r="O841" t="s">
        <v>52</v>
      </c>
      <c r="P841" t="s">
        <v>24</v>
      </c>
      <c r="Q841" t="s">
        <v>159</v>
      </c>
    </row>
    <row r="842" spans="10:17" x14ac:dyDescent="0.25">
      <c r="J842" t="str">
        <f t="shared" si="65"/>
        <v>Сидорова Елена ВасильевнаСидоров Павел Андреевич</v>
      </c>
      <c r="K842" t="s">
        <v>12</v>
      </c>
      <c r="L842" t="s">
        <v>287</v>
      </c>
      <c r="M842" t="s">
        <v>413</v>
      </c>
      <c r="N842" t="str">
        <f t="shared" si="66"/>
        <v>Кузнецов Дмитрий ЛьвовичВолкова Наталья Александровна</v>
      </c>
      <c r="O842" t="s">
        <v>23</v>
      </c>
      <c r="P842" t="s">
        <v>115</v>
      </c>
      <c r="Q842" t="s">
        <v>159</v>
      </c>
    </row>
    <row r="843" spans="10:17" x14ac:dyDescent="0.25">
      <c r="J843" t="str">
        <f t="shared" si="65"/>
        <v>Кузнецов Дмитрий ЛьвовичКозлова Полина Кирилловна</v>
      </c>
      <c r="K843" t="s">
        <v>23</v>
      </c>
      <c r="L843" t="s">
        <v>67</v>
      </c>
      <c r="M843" t="s">
        <v>413</v>
      </c>
      <c r="N843" t="str">
        <f t="shared" si="66"/>
        <v>Ткаченко Андрей ОлеговичСмирнова София Ильинична</v>
      </c>
      <c r="O843" t="s">
        <v>5</v>
      </c>
      <c r="P843" t="s">
        <v>160</v>
      </c>
      <c r="Q843" t="s">
        <v>159</v>
      </c>
    </row>
    <row r="844" spans="10:17" x14ac:dyDescent="0.25">
      <c r="J844" t="str">
        <f t="shared" si="65"/>
        <v>Белов Алексей КонстантиновичСмирнов Егор Никитич</v>
      </c>
      <c r="K844" t="s">
        <v>8</v>
      </c>
      <c r="L844" t="s">
        <v>296</v>
      </c>
      <c r="M844" t="s">
        <v>413</v>
      </c>
      <c r="N844" t="str">
        <f t="shared" si="66"/>
        <v>Петров Владимир КирилловичАлексеева Алиса Ильинична</v>
      </c>
      <c r="O844" t="s">
        <v>36</v>
      </c>
      <c r="P844" t="s">
        <v>64</v>
      </c>
      <c r="Q844" t="s">
        <v>155</v>
      </c>
    </row>
    <row r="845" spans="10:17" x14ac:dyDescent="0.25">
      <c r="J845" t="str">
        <f t="shared" si="65"/>
        <v>Яковлев Артем ИгоревичИванова Анна Викторовна</v>
      </c>
      <c r="K845" t="s">
        <v>52</v>
      </c>
      <c r="L845" t="s">
        <v>281</v>
      </c>
      <c r="M845" t="s">
        <v>414</v>
      </c>
      <c r="N845" t="str">
        <f t="shared" si="66"/>
        <v>Семенова Ирина ВалерьевнаКозлова Алиса Алексеевна</v>
      </c>
      <c r="O845" t="s">
        <v>46</v>
      </c>
      <c r="P845" t="s">
        <v>156</v>
      </c>
      <c r="Q845" t="s">
        <v>155</v>
      </c>
    </row>
    <row r="846" spans="10:17" x14ac:dyDescent="0.25">
      <c r="J846" t="str">
        <f t="shared" si="65"/>
        <v>Ткаченко Андрей ОлеговичКузнецов Никита Сергеевич</v>
      </c>
      <c r="K846" t="s">
        <v>5</v>
      </c>
      <c r="L846" t="s">
        <v>248</v>
      </c>
      <c r="M846" t="s">
        <v>414</v>
      </c>
      <c r="N846" t="str">
        <f t="shared" si="66"/>
        <v>Яковлев Артем ИгоревичПетров Кирилл Владимирович</v>
      </c>
      <c r="O846" t="s">
        <v>52</v>
      </c>
      <c r="P846" t="s">
        <v>45</v>
      </c>
      <c r="Q846" t="s">
        <v>155</v>
      </c>
    </row>
    <row r="847" spans="10:17" x14ac:dyDescent="0.25">
      <c r="J847" t="str">
        <f t="shared" si="65"/>
        <v>Фролов Сергей ВикторовичВолков Роман Иванович</v>
      </c>
      <c r="K847" t="s">
        <v>27</v>
      </c>
      <c r="L847" t="s">
        <v>75</v>
      </c>
      <c r="M847" t="s">
        <v>414</v>
      </c>
      <c r="N847" t="str">
        <f t="shared" si="66"/>
        <v>Сидорова Елена ВасильевнаПетрова Людмила Ильинична</v>
      </c>
      <c r="O847" t="s">
        <v>12</v>
      </c>
      <c r="P847" t="s">
        <v>29</v>
      </c>
      <c r="Q847" t="s">
        <v>155</v>
      </c>
    </row>
    <row r="848" spans="10:17" x14ac:dyDescent="0.25">
      <c r="J848" t="str">
        <f t="shared" si="65"/>
        <v>Кузнецов Дмитрий ЛьвовичИванова Екатерина Егоровна</v>
      </c>
      <c r="K848" t="s">
        <v>23</v>
      </c>
      <c r="L848" t="s">
        <v>131</v>
      </c>
      <c r="M848" t="s">
        <v>414</v>
      </c>
      <c r="N848" t="str">
        <f t="shared" si="66"/>
        <v>Сидорова Елена ВасильевнаПетрова Полина Дмитриевна</v>
      </c>
      <c r="O848" t="s">
        <v>12</v>
      </c>
      <c r="P848" t="s">
        <v>109</v>
      </c>
      <c r="Q848" t="s">
        <v>155</v>
      </c>
    </row>
    <row r="849" spans="10:17" x14ac:dyDescent="0.25">
      <c r="J849" t="str">
        <f t="shared" si="65"/>
        <v>Новикова Ольга ПетровнаВолков Константин Алексеевич</v>
      </c>
      <c r="K849" t="s">
        <v>10</v>
      </c>
      <c r="L849" t="s">
        <v>84</v>
      </c>
      <c r="M849" t="s">
        <v>414</v>
      </c>
      <c r="N849" t="str">
        <f t="shared" si="66"/>
        <v>Семенова Ирина ВалерьевнаФедоров Дмитрий Викторович</v>
      </c>
      <c r="O849" t="s">
        <v>46</v>
      </c>
      <c r="P849" t="s">
        <v>157</v>
      </c>
      <c r="Q849" t="s">
        <v>155</v>
      </c>
    </row>
    <row r="850" spans="10:17" x14ac:dyDescent="0.25">
      <c r="J850" t="str">
        <f t="shared" si="65"/>
        <v>Фролов Сергей ВикторовичВасильева Алиса Дмитриевна</v>
      </c>
      <c r="K850" t="s">
        <v>27</v>
      </c>
      <c r="L850" t="s">
        <v>216</v>
      </c>
      <c r="M850" t="s">
        <v>415</v>
      </c>
      <c r="N850" t="str">
        <f t="shared" si="66"/>
        <v>Петров Владимир КирилловичВасильев Александр Иванович</v>
      </c>
      <c r="O850" t="s">
        <v>36</v>
      </c>
      <c r="P850" t="s">
        <v>158</v>
      </c>
      <c r="Q850" t="s">
        <v>155</v>
      </c>
    </row>
    <row r="851" spans="10:17" x14ac:dyDescent="0.25">
      <c r="J851" t="str">
        <f t="shared" si="65"/>
        <v>Петров Владимир КирилловичКозлова Ирина Павловна</v>
      </c>
      <c r="K851" t="s">
        <v>36</v>
      </c>
      <c r="L851" t="s">
        <v>122</v>
      </c>
      <c r="M851" t="s">
        <v>415</v>
      </c>
      <c r="N851" t="str">
        <f t="shared" si="66"/>
        <v>Фролов Сергей ВикторовичОрлов Кирилл Владимирович</v>
      </c>
      <c r="O851" t="s">
        <v>27</v>
      </c>
      <c r="P851" t="s">
        <v>79</v>
      </c>
      <c r="Q851" t="s">
        <v>155</v>
      </c>
    </row>
    <row r="852" spans="10:17" x14ac:dyDescent="0.25">
      <c r="J852" t="str">
        <f t="shared" si="65"/>
        <v>Кузнецов Дмитрий ЛьвовичНовиков Павел Никитич</v>
      </c>
      <c r="K852" t="s">
        <v>23</v>
      </c>
      <c r="L852" t="s">
        <v>153</v>
      </c>
      <c r="M852" t="s">
        <v>415</v>
      </c>
      <c r="N852" t="str">
        <f t="shared" si="66"/>
        <v>Орлов Павел ДенисовичСидоров Дмитрий Алексеевич</v>
      </c>
      <c r="O852" t="s">
        <v>17</v>
      </c>
      <c r="P852" t="s">
        <v>141</v>
      </c>
      <c r="Q852" t="s">
        <v>154</v>
      </c>
    </row>
    <row r="853" spans="10:17" x14ac:dyDescent="0.25">
      <c r="J853" t="str">
        <f t="shared" si="65"/>
        <v>Семенова Ирина ВалерьевнаКузнецова София Сергеевна</v>
      </c>
      <c r="K853" t="s">
        <v>46</v>
      </c>
      <c r="L853" t="s">
        <v>86</v>
      </c>
      <c r="M853" t="s">
        <v>416</v>
      </c>
      <c r="N853" t="str">
        <f t="shared" si="66"/>
        <v>Яковлев Артем ИгоревичМорозова Наталья Геннадьевна</v>
      </c>
      <c r="O853" t="s">
        <v>52</v>
      </c>
      <c r="P853" t="s">
        <v>133</v>
      </c>
      <c r="Q853" t="s">
        <v>154</v>
      </c>
    </row>
    <row r="854" spans="10:17" x14ac:dyDescent="0.25">
      <c r="J854" t="str">
        <f t="shared" si="65"/>
        <v>Новикова Ольга ПетровнаАлексеева Ксения Андреевна</v>
      </c>
      <c r="K854" t="s">
        <v>10</v>
      </c>
      <c r="L854" t="s">
        <v>184</v>
      </c>
      <c r="M854" t="s">
        <v>416</v>
      </c>
      <c r="N854" t="str">
        <f t="shared" si="66"/>
        <v>Белов Алексей КонстантиновичВасильев Никита Викторович</v>
      </c>
      <c r="O854" t="s">
        <v>8</v>
      </c>
      <c r="P854" t="s">
        <v>47</v>
      </c>
      <c r="Q854" t="s">
        <v>152</v>
      </c>
    </row>
    <row r="855" spans="10:17" x14ac:dyDescent="0.25">
      <c r="J855" t="str">
        <f t="shared" si="65"/>
        <v>Яковлев Артем ИгоревичВасильева Наталья Никитична</v>
      </c>
      <c r="K855" t="s">
        <v>52</v>
      </c>
      <c r="L855" t="s">
        <v>116</v>
      </c>
      <c r="M855" t="s">
        <v>416</v>
      </c>
      <c r="N855" t="str">
        <f t="shared" si="66"/>
        <v>Петров Владимир КирилловичПопова Екатерина Владимировна</v>
      </c>
      <c r="O855" t="s">
        <v>36</v>
      </c>
      <c r="P855" t="s">
        <v>11</v>
      </c>
      <c r="Q855" t="s">
        <v>152</v>
      </c>
    </row>
    <row r="856" spans="10:17" x14ac:dyDescent="0.25">
      <c r="J856" t="str">
        <f t="shared" si="65"/>
        <v>Фролов Сергей ВикторовичПопова Александра Юрьевна</v>
      </c>
      <c r="K856" t="s">
        <v>27</v>
      </c>
      <c r="L856" t="s">
        <v>118</v>
      </c>
      <c r="M856" t="s">
        <v>416</v>
      </c>
      <c r="N856" t="str">
        <f t="shared" si="66"/>
        <v>Петров Владимир КирилловичНовиков Павел Никитич</v>
      </c>
      <c r="O856" t="s">
        <v>36</v>
      </c>
      <c r="P856" t="s">
        <v>153</v>
      </c>
      <c r="Q856" t="s">
        <v>152</v>
      </c>
    </row>
    <row r="857" spans="10:17" x14ac:dyDescent="0.25">
      <c r="J857" t="str">
        <f t="shared" si="65"/>
        <v>Кузнецов Дмитрий ЛьвовичАлексеева Ксения Андреевна</v>
      </c>
      <c r="K857" t="s">
        <v>23</v>
      </c>
      <c r="L857" t="s">
        <v>184</v>
      </c>
      <c r="M857" t="s">
        <v>416</v>
      </c>
      <c r="N857" t="str">
        <f t="shared" si="66"/>
        <v>Яковлев Артем ИгоревичКозлов Артем Владимирович</v>
      </c>
      <c r="O857" t="s">
        <v>52</v>
      </c>
      <c r="P857" t="s">
        <v>113</v>
      </c>
      <c r="Q857" t="s">
        <v>147</v>
      </c>
    </row>
    <row r="858" spans="10:17" x14ac:dyDescent="0.25">
      <c r="J858" t="str">
        <f t="shared" si="65"/>
        <v>Громова Мария ИльиничнаЛебедев Алексей Павлович</v>
      </c>
      <c r="K858" t="s">
        <v>15</v>
      </c>
      <c r="L858" t="s">
        <v>325</v>
      </c>
      <c r="M858" t="s">
        <v>416</v>
      </c>
      <c r="N858" t="str">
        <f t="shared" si="66"/>
        <v>Фролов Сергей ВикторовичВасильев Кирилл Михайлович</v>
      </c>
      <c r="O858" t="s">
        <v>27</v>
      </c>
      <c r="P858" t="s">
        <v>95</v>
      </c>
      <c r="Q858" t="s">
        <v>147</v>
      </c>
    </row>
    <row r="859" spans="10:17" x14ac:dyDescent="0.25">
      <c r="J859" t="str">
        <f t="shared" si="65"/>
        <v>Громова Мария ИльиничнаИванова Ксения Романовна</v>
      </c>
      <c r="K859" t="s">
        <v>15</v>
      </c>
      <c r="L859" t="s">
        <v>74</v>
      </c>
      <c r="M859" t="s">
        <v>416</v>
      </c>
      <c r="N859" t="str">
        <f t="shared" si="66"/>
        <v>Сидорова Елена ВасильевнаВасильев Егор Владимирович</v>
      </c>
      <c r="O859" t="s">
        <v>12</v>
      </c>
      <c r="P859" t="s">
        <v>148</v>
      </c>
      <c r="Q859" t="s">
        <v>147</v>
      </c>
    </row>
    <row r="860" spans="10:17" x14ac:dyDescent="0.25">
      <c r="J860" t="str">
        <f t="shared" si="65"/>
        <v>Яковлев Артем ИгоревичПопов Дмитрий Ильич</v>
      </c>
      <c r="K860" t="s">
        <v>52</v>
      </c>
      <c r="L860" t="s">
        <v>105</v>
      </c>
      <c r="M860" t="s">
        <v>416</v>
      </c>
      <c r="N860" t="str">
        <f t="shared" si="66"/>
        <v>Иванова Анна СергеевнаКозлов Алексей Иванович</v>
      </c>
      <c r="O860" t="s">
        <v>48</v>
      </c>
      <c r="P860" t="s">
        <v>149</v>
      </c>
      <c r="Q860" t="s">
        <v>147</v>
      </c>
    </row>
    <row r="861" spans="10:17" x14ac:dyDescent="0.25">
      <c r="J861" t="str">
        <f t="shared" si="65"/>
        <v>Орлов Павел ДенисовичВолкова Виктория Михайловна</v>
      </c>
      <c r="K861" t="s">
        <v>17</v>
      </c>
      <c r="L861" t="s">
        <v>40</v>
      </c>
      <c r="M861" t="s">
        <v>416</v>
      </c>
      <c r="N861" t="str">
        <f t="shared" si="66"/>
        <v>Иванова Анна СергеевнаМорозов Сергей Олегович</v>
      </c>
      <c r="O861" t="s">
        <v>48</v>
      </c>
      <c r="P861" t="s">
        <v>150</v>
      </c>
      <c r="Q861" t="s">
        <v>147</v>
      </c>
    </row>
    <row r="862" spans="10:17" x14ac:dyDescent="0.25">
      <c r="J862" t="str">
        <f t="shared" si="65"/>
        <v>Яковлев Артем ИгоревичФедорова Вероника Ивановна</v>
      </c>
      <c r="K862" t="s">
        <v>52</v>
      </c>
      <c r="L862" t="s">
        <v>107</v>
      </c>
      <c r="M862" t="s">
        <v>416</v>
      </c>
      <c r="N862" t="str">
        <f t="shared" si="66"/>
        <v>Фролов Сергей ВикторовичПетров Алексей Артемович</v>
      </c>
      <c r="O862" t="s">
        <v>27</v>
      </c>
      <c r="P862" t="s">
        <v>151</v>
      </c>
      <c r="Q862" t="s">
        <v>147</v>
      </c>
    </row>
    <row r="863" spans="10:17" x14ac:dyDescent="0.25">
      <c r="J863" t="str">
        <f t="shared" si="65"/>
        <v>Орлов Павел ДенисовичВолкова София Андреевна</v>
      </c>
      <c r="K863" t="s">
        <v>17</v>
      </c>
      <c r="L863" t="s">
        <v>417</v>
      </c>
      <c r="M863" t="s">
        <v>416</v>
      </c>
      <c r="N863" t="str">
        <f t="shared" si="66"/>
        <v>Сидорова Елена ВасильевнаКузнецова София Сергеевна</v>
      </c>
      <c r="O863" t="s">
        <v>12</v>
      </c>
      <c r="P863" t="s">
        <v>86</v>
      </c>
      <c r="Q863" t="s">
        <v>147</v>
      </c>
    </row>
    <row r="864" spans="10:17" x14ac:dyDescent="0.25">
      <c r="J864" t="str">
        <f t="shared" si="65"/>
        <v>Кузнецов Дмитрий ЛьвовичНиколаев Артур Никитич</v>
      </c>
      <c r="K864" t="s">
        <v>23</v>
      </c>
      <c r="L864" t="s">
        <v>129</v>
      </c>
      <c r="M864" t="s">
        <v>418</v>
      </c>
      <c r="N864" t="str">
        <f t="shared" si="66"/>
        <v>Громова Мария ИльиничнаМорозова Наталья Никитична</v>
      </c>
      <c r="O864" t="s">
        <v>15</v>
      </c>
      <c r="P864" t="s">
        <v>144</v>
      </c>
      <c r="Q864" t="s">
        <v>145</v>
      </c>
    </row>
    <row r="865" spans="10:17" x14ac:dyDescent="0.25">
      <c r="J865" t="str">
        <f t="shared" si="65"/>
        <v>Иванова Анна СергеевнаНиколаев Павел Артемович</v>
      </c>
      <c r="K865" t="s">
        <v>48</v>
      </c>
      <c r="L865" t="s">
        <v>235</v>
      </c>
      <c r="M865" t="s">
        <v>418</v>
      </c>
      <c r="N865" t="str">
        <f t="shared" si="66"/>
        <v>Орлов Павел ДенисовичСмирнов Кирилл Сергеевич</v>
      </c>
      <c r="O865" t="s">
        <v>17</v>
      </c>
      <c r="P865" t="s">
        <v>146</v>
      </c>
      <c r="Q865" t="s">
        <v>145</v>
      </c>
    </row>
    <row r="866" spans="10:17" x14ac:dyDescent="0.25">
      <c r="J866" t="str">
        <f t="shared" si="65"/>
        <v>Семенова Ирина ВалерьевнаИванова Екатерина Егоровна</v>
      </c>
      <c r="K866" t="s">
        <v>46</v>
      </c>
      <c r="L866" t="s">
        <v>131</v>
      </c>
      <c r="M866" t="s">
        <v>418</v>
      </c>
      <c r="N866" t="str">
        <f t="shared" si="66"/>
        <v>Орлов Павел ДенисовичИванова Екатерина Егоровна</v>
      </c>
      <c r="O866" t="s">
        <v>17</v>
      </c>
      <c r="P866" t="s">
        <v>131</v>
      </c>
      <c r="Q866" t="s">
        <v>145</v>
      </c>
    </row>
    <row r="867" spans="10:17" x14ac:dyDescent="0.25">
      <c r="J867" t="str">
        <f t="shared" si="65"/>
        <v>Громова Мария ИльиничнаСеменова Виктория Владимировна</v>
      </c>
      <c r="K867" t="s">
        <v>15</v>
      </c>
      <c r="L867" t="s">
        <v>73</v>
      </c>
      <c r="M867" t="s">
        <v>418</v>
      </c>
      <c r="N867" t="str">
        <f t="shared" si="66"/>
        <v>Семенова Ирина ВалерьевнаПетрова Людмила Олеговна</v>
      </c>
      <c r="O867" t="s">
        <v>46</v>
      </c>
      <c r="P867" t="s">
        <v>70</v>
      </c>
      <c r="Q867" t="s">
        <v>143</v>
      </c>
    </row>
    <row r="868" spans="10:17" x14ac:dyDescent="0.25">
      <c r="J868" t="str">
        <f t="shared" si="65"/>
        <v>Семенова Ирина ВалерьевнаПопов Владимир Артемович</v>
      </c>
      <c r="K868" t="s">
        <v>46</v>
      </c>
      <c r="L868" t="s">
        <v>203</v>
      </c>
      <c r="M868" t="s">
        <v>418</v>
      </c>
      <c r="N868" t="str">
        <f t="shared" si="66"/>
        <v>Семенова Ирина ВалерьевнаАлексеева Алиса Александровна</v>
      </c>
      <c r="O868" t="s">
        <v>46</v>
      </c>
      <c r="P868" t="s">
        <v>89</v>
      </c>
      <c r="Q868" t="s">
        <v>142</v>
      </c>
    </row>
    <row r="869" spans="10:17" x14ac:dyDescent="0.25">
      <c r="J869" t="str">
        <f t="shared" si="65"/>
        <v>Семенова Ирина ВалерьевнаАлексеева Екатерина Станиславовна</v>
      </c>
      <c r="K869" t="s">
        <v>46</v>
      </c>
      <c r="L869" t="s">
        <v>126</v>
      </c>
      <c r="M869" t="s">
        <v>418</v>
      </c>
      <c r="N869" t="str">
        <f t="shared" si="66"/>
        <v>Орлов Павел ДенисовичВолков Константин Алексеевич</v>
      </c>
      <c r="O869" t="s">
        <v>17</v>
      </c>
      <c r="P869" t="s">
        <v>84</v>
      </c>
      <c r="Q869" t="s">
        <v>142</v>
      </c>
    </row>
    <row r="870" spans="10:17" x14ac:dyDescent="0.25">
      <c r="J870" t="str">
        <f t="shared" si="65"/>
        <v>Петров Владимир КирилловичАлексеева Ксения Андреевна</v>
      </c>
      <c r="K870" t="s">
        <v>36</v>
      </c>
      <c r="L870" t="s">
        <v>184</v>
      </c>
      <c r="M870" t="s">
        <v>418</v>
      </c>
      <c r="N870" t="str">
        <f t="shared" si="66"/>
        <v>Семенова Ирина ВалерьевнаСидорова Полина Александровна</v>
      </c>
      <c r="O870" t="s">
        <v>46</v>
      </c>
      <c r="P870" t="s">
        <v>18</v>
      </c>
      <c r="Q870" t="s">
        <v>137</v>
      </c>
    </row>
    <row r="871" spans="10:17" x14ac:dyDescent="0.25">
      <c r="J871" t="str">
        <f t="shared" si="65"/>
        <v>Петров Владимир КирилловичНовиков Иван Никитич</v>
      </c>
      <c r="K871" t="s">
        <v>36</v>
      </c>
      <c r="L871" t="s">
        <v>181</v>
      </c>
      <c r="M871" t="s">
        <v>419</v>
      </c>
      <c r="N871" t="str">
        <f t="shared" si="66"/>
        <v>Фролов Сергей ВикторовичНовикова Дарья Викторовна</v>
      </c>
      <c r="O871" t="s">
        <v>27</v>
      </c>
      <c r="P871" t="s">
        <v>138</v>
      </c>
      <c r="Q871" t="s">
        <v>137</v>
      </c>
    </row>
    <row r="872" spans="10:17" x14ac:dyDescent="0.25">
      <c r="J872" t="str">
        <f t="shared" si="65"/>
        <v>Ткаченко Андрей ОлеговичНовиков Сергей Никитич</v>
      </c>
      <c r="K872" t="s">
        <v>5</v>
      </c>
      <c r="L872" t="s">
        <v>197</v>
      </c>
      <c r="M872" t="s">
        <v>420</v>
      </c>
      <c r="N872" t="str">
        <f t="shared" si="66"/>
        <v>Петров Владимир КирилловичНиколаев Роман Геннадьевич</v>
      </c>
      <c r="O872" t="s">
        <v>36</v>
      </c>
      <c r="P872" t="s">
        <v>139</v>
      </c>
      <c r="Q872" t="s">
        <v>137</v>
      </c>
    </row>
    <row r="873" spans="10:17" x14ac:dyDescent="0.25">
      <c r="J873" t="str">
        <f t="shared" si="65"/>
        <v>Кузнецов Дмитрий ЛьвовичПопова Светлана Владимировна</v>
      </c>
      <c r="K873" t="s">
        <v>23</v>
      </c>
      <c r="L873" t="s">
        <v>316</v>
      </c>
      <c r="M873" t="s">
        <v>420</v>
      </c>
      <c r="N873" t="str">
        <f t="shared" si="66"/>
        <v>Громова Мария ИльиничнаПетрова Людмила Олеговна</v>
      </c>
      <c r="O873" t="s">
        <v>15</v>
      </c>
      <c r="P873" t="s">
        <v>70</v>
      </c>
      <c r="Q873" t="s">
        <v>137</v>
      </c>
    </row>
    <row r="874" spans="10:17" x14ac:dyDescent="0.25">
      <c r="J874" t="str">
        <f t="shared" si="65"/>
        <v>Петров Владимир КирилловичВасильев Александр Никитич</v>
      </c>
      <c r="K874" t="s">
        <v>36</v>
      </c>
      <c r="L874" t="s">
        <v>161</v>
      </c>
      <c r="M874" t="s">
        <v>421</v>
      </c>
      <c r="N874" t="str">
        <f t="shared" si="66"/>
        <v>Ткаченко Андрей ОлеговичСтепанова Анна Никитична</v>
      </c>
      <c r="O874" t="s">
        <v>5</v>
      </c>
      <c r="P874" t="s">
        <v>108</v>
      </c>
      <c r="Q874" t="s">
        <v>137</v>
      </c>
    </row>
    <row r="875" spans="10:17" x14ac:dyDescent="0.25">
      <c r="J875" t="str">
        <f t="shared" si="65"/>
        <v>Кузнецов Дмитрий ЛьвовичПавлова Екатерина Павловна</v>
      </c>
      <c r="K875" t="s">
        <v>23</v>
      </c>
      <c r="L875" t="s">
        <v>57</v>
      </c>
      <c r="M875" t="s">
        <v>421</v>
      </c>
      <c r="N875" t="str">
        <f t="shared" si="66"/>
        <v>Белов Алексей КонстантиновичВасильев Кирилл Михайлович</v>
      </c>
      <c r="O875" t="s">
        <v>8</v>
      </c>
      <c r="P875" t="s">
        <v>95</v>
      </c>
      <c r="Q875" t="s">
        <v>137</v>
      </c>
    </row>
    <row r="876" spans="10:17" x14ac:dyDescent="0.25">
      <c r="J876" t="str">
        <f t="shared" si="65"/>
        <v>Ткаченко Андрей ОлеговичСмирнов Кирилл Сергеевич</v>
      </c>
      <c r="K876" t="s">
        <v>5</v>
      </c>
      <c r="L876" t="s">
        <v>146</v>
      </c>
      <c r="M876" t="s">
        <v>421</v>
      </c>
      <c r="N876" t="str">
        <f t="shared" si="66"/>
        <v>Белов Алексей КонстантиновичМорозова София Артемовна</v>
      </c>
      <c r="O876" t="s">
        <v>8</v>
      </c>
      <c r="P876" t="s">
        <v>140</v>
      </c>
      <c r="Q876" t="s">
        <v>137</v>
      </c>
    </row>
    <row r="877" spans="10:17" x14ac:dyDescent="0.25">
      <c r="J877" t="str">
        <f t="shared" si="65"/>
        <v>Сидорова Елена ВасильевнаСтепанова Екатерина Михайловна</v>
      </c>
      <c r="K877" t="s">
        <v>12</v>
      </c>
      <c r="L877" t="s">
        <v>172</v>
      </c>
      <c r="M877" t="s">
        <v>421</v>
      </c>
      <c r="N877" t="str">
        <f t="shared" si="66"/>
        <v>Яковлев Артем ИгоревичНиколаева Ирина Владимировна</v>
      </c>
      <c r="O877" t="s">
        <v>52</v>
      </c>
      <c r="P877" t="s">
        <v>66</v>
      </c>
      <c r="Q877" t="s">
        <v>137</v>
      </c>
    </row>
    <row r="878" spans="10:17" x14ac:dyDescent="0.25">
      <c r="J878" t="str">
        <f t="shared" si="65"/>
        <v>Петров Владимир КирилловичЛебедева Ирина Романовна</v>
      </c>
      <c r="K878" t="s">
        <v>36</v>
      </c>
      <c r="L878" t="s">
        <v>364</v>
      </c>
      <c r="M878" t="s">
        <v>422</v>
      </c>
      <c r="N878" t="str">
        <f t="shared" si="66"/>
        <v>Фролов Сергей ВикторовичСидоров Дмитрий Алексеевич</v>
      </c>
      <c r="O878" t="s">
        <v>27</v>
      </c>
      <c r="P878" t="s">
        <v>141</v>
      </c>
      <c r="Q878" t="s">
        <v>137</v>
      </c>
    </row>
    <row r="879" spans="10:17" x14ac:dyDescent="0.25">
      <c r="J879" t="str">
        <f t="shared" si="65"/>
        <v>Иванова Анна СергеевнаАлексеева Ксения Андреевна</v>
      </c>
      <c r="K879" t="s">
        <v>48</v>
      </c>
      <c r="L879" t="s">
        <v>184</v>
      </c>
      <c r="M879" t="s">
        <v>422</v>
      </c>
      <c r="N879" t="str">
        <f t="shared" si="66"/>
        <v>Семенова Ирина ВалерьевнаПавлов Роман Александрович</v>
      </c>
      <c r="O879" t="s">
        <v>46</v>
      </c>
      <c r="P879" t="s">
        <v>134</v>
      </c>
      <c r="Q879" t="s">
        <v>135</v>
      </c>
    </row>
    <row r="880" spans="10:17" x14ac:dyDescent="0.25">
      <c r="J880" t="str">
        <f t="shared" si="65"/>
        <v>Сидорова Елена ВасильевнаСтепанов Александр Юрьевич</v>
      </c>
      <c r="K880" t="s">
        <v>12</v>
      </c>
      <c r="L880" t="s">
        <v>97</v>
      </c>
      <c r="M880" t="s">
        <v>422</v>
      </c>
      <c r="N880" t="str">
        <f t="shared" si="66"/>
        <v>Новикова Ольга ПетровнаМорозова Алиса Андреевна</v>
      </c>
      <c r="O880" t="s">
        <v>10</v>
      </c>
      <c r="P880" t="s">
        <v>125</v>
      </c>
      <c r="Q880" t="s">
        <v>135</v>
      </c>
    </row>
    <row r="881" spans="10:17" x14ac:dyDescent="0.25">
      <c r="J881" t="str">
        <f t="shared" si="65"/>
        <v>Петров Владимир КирилловичАлексеева Виктория Александровна</v>
      </c>
      <c r="K881" t="s">
        <v>36</v>
      </c>
      <c r="L881" t="s">
        <v>195</v>
      </c>
      <c r="M881" t="s">
        <v>422</v>
      </c>
      <c r="N881" t="str">
        <f t="shared" si="66"/>
        <v>Громова Мария ИльиничнаНовиков Алексей Александрович</v>
      </c>
      <c r="O881" t="s">
        <v>15</v>
      </c>
      <c r="P881" t="s">
        <v>16</v>
      </c>
      <c r="Q881" t="s">
        <v>135</v>
      </c>
    </row>
    <row r="882" spans="10:17" x14ac:dyDescent="0.25">
      <c r="J882" t="str">
        <f t="shared" si="65"/>
        <v>Орлов Павел ДенисовичКузнецова Ксения Кирилловна</v>
      </c>
      <c r="K882" t="s">
        <v>17</v>
      </c>
      <c r="L882" t="s">
        <v>120</v>
      </c>
      <c r="M882" t="s">
        <v>422</v>
      </c>
      <c r="N882" t="str">
        <f t="shared" si="66"/>
        <v>Петров Владимир КирилловичФедоров Александр Дмитриевич</v>
      </c>
      <c r="O882" t="s">
        <v>36</v>
      </c>
      <c r="P882" t="s">
        <v>136</v>
      </c>
      <c r="Q882" t="s">
        <v>135</v>
      </c>
    </row>
    <row r="883" spans="10:17" x14ac:dyDescent="0.25">
      <c r="J883" t="str">
        <f t="shared" si="65"/>
        <v>Сидорова Елена ВасильевнаПетров Алексей Артемович</v>
      </c>
      <c r="K883" t="s">
        <v>12</v>
      </c>
      <c r="L883" t="s">
        <v>151</v>
      </c>
      <c r="M883" t="s">
        <v>422</v>
      </c>
      <c r="N883" t="str">
        <f t="shared" si="66"/>
        <v>Ткаченко Андрей ОлеговичИванова Екатерина Егоровна</v>
      </c>
      <c r="O883" t="s">
        <v>5</v>
      </c>
      <c r="P883" t="s">
        <v>131</v>
      </c>
      <c r="Q883" t="s">
        <v>132</v>
      </c>
    </row>
    <row r="884" spans="10:17" x14ac:dyDescent="0.25">
      <c r="J884" t="str">
        <f t="shared" si="65"/>
        <v>Сидорова Елена ВасильевнаНиколаев Роман Геннадьевич</v>
      </c>
      <c r="K884" t="s">
        <v>12</v>
      </c>
      <c r="L884" t="s">
        <v>139</v>
      </c>
      <c r="M884" t="s">
        <v>422</v>
      </c>
      <c r="N884" t="str">
        <f t="shared" si="66"/>
        <v>Громова Мария ИльиничнаСмирнов Константин Михайлович</v>
      </c>
      <c r="O884" t="s">
        <v>15</v>
      </c>
      <c r="P884" t="s">
        <v>85</v>
      </c>
      <c r="Q884" t="s">
        <v>132</v>
      </c>
    </row>
    <row r="885" spans="10:17" x14ac:dyDescent="0.25">
      <c r="J885" t="str">
        <f t="shared" si="65"/>
        <v>Белов Алексей КонстантиновичПавлов Павел Павлович</v>
      </c>
      <c r="K885" t="s">
        <v>8</v>
      </c>
      <c r="L885" t="s">
        <v>207</v>
      </c>
      <c r="M885" t="s">
        <v>422</v>
      </c>
      <c r="N885" t="str">
        <f t="shared" si="66"/>
        <v>Семенова Ирина ВалерьевнаСеменов Андрей Кириллович</v>
      </c>
      <c r="O885" t="s">
        <v>46</v>
      </c>
      <c r="P885" t="s">
        <v>93</v>
      </c>
      <c r="Q885" t="s">
        <v>132</v>
      </c>
    </row>
    <row r="886" spans="10:17" x14ac:dyDescent="0.25">
      <c r="J886" t="str">
        <f t="shared" si="65"/>
        <v>Яковлев Артем ИгоревичСеменова Виктория Владимировна</v>
      </c>
      <c r="K886" t="s">
        <v>52</v>
      </c>
      <c r="L886" t="s">
        <v>73</v>
      </c>
      <c r="M886" t="s">
        <v>423</v>
      </c>
      <c r="N886" t="str">
        <f t="shared" si="66"/>
        <v>Громова Мария ИльиничнаМорозова Наталья Геннадьевна</v>
      </c>
      <c r="O886" t="s">
        <v>15</v>
      </c>
      <c r="P886" t="s">
        <v>133</v>
      </c>
      <c r="Q886" t="s">
        <v>132</v>
      </c>
    </row>
    <row r="887" spans="10:17" x14ac:dyDescent="0.25">
      <c r="J887" t="str">
        <f t="shared" si="65"/>
        <v>Белов Алексей КонстантиновичИванов Владимир Романович</v>
      </c>
      <c r="K887" t="s">
        <v>8</v>
      </c>
      <c r="L887" t="s">
        <v>170</v>
      </c>
      <c r="M887" t="s">
        <v>423</v>
      </c>
      <c r="N887" t="str">
        <f t="shared" si="66"/>
        <v>Семенова Ирина ВалерьевнаАлексеева Екатерина Станиславовна</v>
      </c>
      <c r="O887" t="s">
        <v>46</v>
      </c>
      <c r="P887" t="s">
        <v>126</v>
      </c>
      <c r="Q887" t="s">
        <v>128</v>
      </c>
    </row>
    <row r="888" spans="10:17" x14ac:dyDescent="0.25">
      <c r="J888" t="str">
        <f t="shared" si="65"/>
        <v>Громова Мария ИльиничнаСидоров Егор Кириллович</v>
      </c>
      <c r="K888" t="s">
        <v>15</v>
      </c>
      <c r="L888" t="s">
        <v>212</v>
      </c>
      <c r="M888" t="s">
        <v>423</v>
      </c>
      <c r="N888" t="str">
        <f t="shared" si="66"/>
        <v>Кузнецов Дмитрий ЛьвовичНиколаев Артур Никитич</v>
      </c>
      <c r="O888" t="s">
        <v>23</v>
      </c>
      <c r="P888" t="s">
        <v>129</v>
      </c>
      <c r="Q888" t="s">
        <v>128</v>
      </c>
    </row>
    <row r="889" spans="10:17" x14ac:dyDescent="0.25">
      <c r="J889" t="str">
        <f t="shared" si="65"/>
        <v>Сидорова Елена ВасильевнаОрлов Михаил Олегович</v>
      </c>
      <c r="K889" t="s">
        <v>12</v>
      </c>
      <c r="L889" t="s">
        <v>359</v>
      </c>
      <c r="M889" t="s">
        <v>423</v>
      </c>
      <c r="N889" t="str">
        <f t="shared" si="66"/>
        <v>Громова Мария ИльиничнаНиколаев Дмитрий Олегович</v>
      </c>
      <c r="O889" t="s">
        <v>15</v>
      </c>
      <c r="P889" t="s">
        <v>127</v>
      </c>
      <c r="Q889" t="s">
        <v>128</v>
      </c>
    </row>
    <row r="890" spans="10:17" x14ac:dyDescent="0.25">
      <c r="J890" t="str">
        <f t="shared" si="65"/>
        <v>Белов Алексей КонстантиновичВолкова Татьяна Егоровна</v>
      </c>
      <c r="K890" t="s">
        <v>8</v>
      </c>
      <c r="L890" t="s">
        <v>22</v>
      </c>
      <c r="M890" t="s">
        <v>424</v>
      </c>
      <c r="N890" t="str">
        <f t="shared" si="66"/>
        <v>Новикова Ольга ПетровнаСидорова Полина Александровна</v>
      </c>
      <c r="O890" t="s">
        <v>10</v>
      </c>
      <c r="P890" t="s">
        <v>18</v>
      </c>
      <c r="Q890" t="s">
        <v>128</v>
      </c>
    </row>
    <row r="891" spans="10:17" x14ac:dyDescent="0.25">
      <c r="J891" t="str">
        <f t="shared" si="65"/>
        <v>Сидорова Елена ВасильевнаНовиков Иван Никитич</v>
      </c>
      <c r="K891" t="s">
        <v>12</v>
      </c>
      <c r="L891" t="s">
        <v>181</v>
      </c>
      <c r="M891" t="s">
        <v>424</v>
      </c>
      <c r="N891" t="str">
        <f t="shared" si="66"/>
        <v>Орлов Павел ДенисовичСмирнов Михаил Алексеевич</v>
      </c>
      <c r="O891" t="s">
        <v>17</v>
      </c>
      <c r="P891" t="s">
        <v>28</v>
      </c>
      <c r="Q891" t="s">
        <v>128</v>
      </c>
    </row>
    <row r="892" spans="10:17" x14ac:dyDescent="0.25">
      <c r="J892" t="str">
        <f t="shared" si="65"/>
        <v>Кузнецов Дмитрий ЛьвовичПопов Дмитрий Ильич</v>
      </c>
      <c r="K892" t="s">
        <v>23</v>
      </c>
      <c r="L892" t="s">
        <v>105</v>
      </c>
      <c r="M892" t="s">
        <v>424</v>
      </c>
      <c r="N892" t="str">
        <f t="shared" si="66"/>
        <v>Новикова Ольга ПетровнаЕгоров Никита Геннадьевич</v>
      </c>
      <c r="O892" t="s">
        <v>10</v>
      </c>
      <c r="P892" t="s">
        <v>130</v>
      </c>
      <c r="Q892" t="s">
        <v>128</v>
      </c>
    </row>
    <row r="893" spans="10:17" x14ac:dyDescent="0.25">
      <c r="J893" t="str">
        <f t="shared" si="65"/>
        <v>Семенова Ирина ВалерьевнаПетрова Юлия Геннадьевна</v>
      </c>
      <c r="K893" t="s">
        <v>46</v>
      </c>
      <c r="L893" t="s">
        <v>275</v>
      </c>
      <c r="M893" t="s">
        <v>424</v>
      </c>
      <c r="N893" t="str">
        <f t="shared" si="66"/>
        <v>Белов Алексей КонстантиновичФедорова Наталья Александровна</v>
      </c>
      <c r="O893" t="s">
        <v>8</v>
      </c>
      <c r="P893" t="s">
        <v>31</v>
      </c>
      <c r="Q893" t="s">
        <v>128</v>
      </c>
    </row>
    <row r="894" spans="10:17" x14ac:dyDescent="0.25">
      <c r="J894" t="str">
        <f t="shared" si="65"/>
        <v>Новикова Ольга ПетровнаОрлов Максим Егорович</v>
      </c>
      <c r="K894" t="s">
        <v>10</v>
      </c>
      <c r="L894" t="s">
        <v>87</v>
      </c>
      <c r="M894" t="s">
        <v>424</v>
      </c>
      <c r="N894" t="str">
        <f t="shared" si="66"/>
        <v>Ткаченко Андрей ОлеговичСтепанов Никита Михайлович</v>
      </c>
      <c r="O894" t="s">
        <v>5</v>
      </c>
      <c r="P894" t="s">
        <v>68</v>
      </c>
      <c r="Q894" t="s">
        <v>124</v>
      </c>
    </row>
    <row r="895" spans="10:17" x14ac:dyDescent="0.25">
      <c r="J895" t="str">
        <f t="shared" si="65"/>
        <v>Ткаченко Андрей ОлеговичСидоров Дмитрий Алексеевич</v>
      </c>
      <c r="K895" t="s">
        <v>5</v>
      </c>
      <c r="L895" t="s">
        <v>141</v>
      </c>
      <c r="M895" t="s">
        <v>424</v>
      </c>
      <c r="N895" t="str">
        <f t="shared" si="66"/>
        <v>Новикова Ольга ПетровнаОрлов Максим Егорович</v>
      </c>
      <c r="O895" t="s">
        <v>10</v>
      </c>
      <c r="P895" t="s">
        <v>87</v>
      </c>
      <c r="Q895" t="s">
        <v>124</v>
      </c>
    </row>
    <row r="896" spans="10:17" x14ac:dyDescent="0.25">
      <c r="J896" t="str">
        <f t="shared" si="65"/>
        <v>Фролов Сергей ВикторовичСидоров Артем Викторович</v>
      </c>
      <c r="K896" t="s">
        <v>27</v>
      </c>
      <c r="L896" t="s">
        <v>13</v>
      </c>
      <c r="M896" t="s">
        <v>424</v>
      </c>
      <c r="N896" t="str">
        <f t="shared" si="66"/>
        <v>Петров Владимир КирилловичМорозова Алиса Андреевна</v>
      </c>
      <c r="O896" t="s">
        <v>36</v>
      </c>
      <c r="P896" t="s">
        <v>125</v>
      </c>
      <c r="Q896" t="s">
        <v>124</v>
      </c>
    </row>
    <row r="897" spans="10:17" x14ac:dyDescent="0.25">
      <c r="J897" t="str">
        <f t="shared" si="65"/>
        <v>Иванова Анна СергеевнаНиколаева Ирина Владимировна</v>
      </c>
      <c r="K897" t="s">
        <v>48</v>
      </c>
      <c r="L897" t="s">
        <v>66</v>
      </c>
      <c r="M897" t="s">
        <v>425</v>
      </c>
      <c r="N897" t="str">
        <f t="shared" si="66"/>
        <v>Семенова Ирина ВалерьевнаАлексеева Екатерина Станиславовна</v>
      </c>
      <c r="O897" t="s">
        <v>46</v>
      </c>
      <c r="P897" t="s">
        <v>126</v>
      </c>
      <c r="Q897" t="s">
        <v>124</v>
      </c>
    </row>
    <row r="898" spans="10:17" x14ac:dyDescent="0.25">
      <c r="J898" t="str">
        <f t="shared" si="65"/>
        <v>Новикова Ольга ПетровнаВолков Константин Алексеевич</v>
      </c>
      <c r="K898" t="s">
        <v>10</v>
      </c>
      <c r="L898" t="s">
        <v>84</v>
      </c>
      <c r="M898" t="s">
        <v>426</v>
      </c>
      <c r="N898" t="str">
        <f t="shared" si="66"/>
        <v>Семенова Ирина ВалерьевнаНиколаев Дмитрий Олегович</v>
      </c>
      <c r="O898" t="s">
        <v>46</v>
      </c>
      <c r="P898" t="s">
        <v>127</v>
      </c>
      <c r="Q898" t="s">
        <v>124</v>
      </c>
    </row>
    <row r="899" spans="10:17" x14ac:dyDescent="0.25">
      <c r="J899" t="str">
        <f t="shared" ref="J899:J962" si="67">K899&amp;L899</f>
        <v>Белов Алексей КонстантиновичПетров Михаил Юрьевич</v>
      </c>
      <c r="K899" t="s">
        <v>8</v>
      </c>
      <c r="L899" t="s">
        <v>256</v>
      </c>
      <c r="M899" t="s">
        <v>426</v>
      </c>
      <c r="N899" t="str">
        <f t="shared" ref="N899:N962" si="68">O899&amp;P899</f>
        <v>Семенова Ирина ВалерьевнаПетрова Дарья Егоровна</v>
      </c>
      <c r="O899" t="s">
        <v>46</v>
      </c>
      <c r="P899" t="s">
        <v>24</v>
      </c>
      <c r="Q899" t="s">
        <v>124</v>
      </c>
    </row>
    <row r="900" spans="10:17" x14ac:dyDescent="0.25">
      <c r="J900" t="str">
        <f t="shared" si="67"/>
        <v>Новикова Ольга ПетровнаФедорова Вероника Ивановна</v>
      </c>
      <c r="K900" t="s">
        <v>10</v>
      </c>
      <c r="L900" t="s">
        <v>107</v>
      </c>
      <c r="M900" t="s">
        <v>427</v>
      </c>
      <c r="N900" t="str">
        <f t="shared" si="68"/>
        <v>Фролов Сергей ВикторовичПопова Александра Юрьевна</v>
      </c>
      <c r="O900" t="s">
        <v>27</v>
      </c>
      <c r="P900" t="s">
        <v>118</v>
      </c>
      <c r="Q900" t="s">
        <v>119</v>
      </c>
    </row>
    <row r="901" spans="10:17" x14ac:dyDescent="0.25">
      <c r="J901" t="str">
        <f t="shared" si="67"/>
        <v>Иванова Анна СергеевнаВасильева Мария Дмитриевна</v>
      </c>
      <c r="K901" t="s">
        <v>48</v>
      </c>
      <c r="L901" t="s">
        <v>304</v>
      </c>
      <c r="M901" t="s">
        <v>427</v>
      </c>
      <c r="N901" t="str">
        <f t="shared" si="68"/>
        <v>Белов Алексей КонстантиновичКузнецова Ксения Кирилловна</v>
      </c>
      <c r="O901" t="s">
        <v>8</v>
      </c>
      <c r="P901" t="s">
        <v>120</v>
      </c>
      <c r="Q901" t="s">
        <v>119</v>
      </c>
    </row>
    <row r="902" spans="10:17" x14ac:dyDescent="0.25">
      <c r="J902" t="str">
        <f t="shared" si="67"/>
        <v>Орлов Павел ДенисовичЛебедева Полина Артемовна</v>
      </c>
      <c r="K902" t="s">
        <v>17</v>
      </c>
      <c r="L902" t="s">
        <v>38</v>
      </c>
      <c r="M902" t="s">
        <v>427</v>
      </c>
      <c r="N902" t="str">
        <f t="shared" si="68"/>
        <v>Семенова Ирина ВалерьевнаСмирнов Александр Владимирович</v>
      </c>
      <c r="O902" t="s">
        <v>46</v>
      </c>
      <c r="P902" t="s">
        <v>101</v>
      </c>
      <c r="Q902" t="s">
        <v>119</v>
      </c>
    </row>
    <row r="903" spans="10:17" x14ac:dyDescent="0.25">
      <c r="J903" t="str">
        <f t="shared" si="67"/>
        <v>Громова Мария ИльиничнаВасильева Наталья Никитична</v>
      </c>
      <c r="K903" t="s">
        <v>15</v>
      </c>
      <c r="L903" t="s">
        <v>116</v>
      </c>
      <c r="M903" t="s">
        <v>427</v>
      </c>
      <c r="N903" t="str">
        <f t="shared" si="68"/>
        <v>Новикова Ольга ПетровнаВолков Роман Иванович</v>
      </c>
      <c r="O903" t="s">
        <v>10</v>
      </c>
      <c r="P903" t="s">
        <v>75</v>
      </c>
      <c r="Q903" t="s">
        <v>119</v>
      </c>
    </row>
    <row r="904" spans="10:17" x14ac:dyDescent="0.25">
      <c r="J904" t="str">
        <f t="shared" si="67"/>
        <v>Новикова Ольга ПетровнаСеменов Андрей Андреевич</v>
      </c>
      <c r="K904" t="s">
        <v>10</v>
      </c>
      <c r="L904" t="s">
        <v>428</v>
      </c>
      <c r="M904" t="s">
        <v>427</v>
      </c>
      <c r="N904" t="str">
        <f t="shared" si="68"/>
        <v>Сидорова Елена ВасильевнаНовикова Елена Михайловна</v>
      </c>
      <c r="O904" t="s">
        <v>12</v>
      </c>
      <c r="P904" t="s">
        <v>121</v>
      </c>
      <c r="Q904" t="s">
        <v>119</v>
      </c>
    </row>
    <row r="905" spans="10:17" x14ac:dyDescent="0.25">
      <c r="J905" t="str">
        <f t="shared" si="67"/>
        <v>Петров Владимир КирилловичПетров Павел Михайлович</v>
      </c>
      <c r="K905" t="s">
        <v>36</v>
      </c>
      <c r="L905" t="s">
        <v>429</v>
      </c>
      <c r="M905" t="s">
        <v>427</v>
      </c>
      <c r="N905" t="str">
        <f t="shared" si="68"/>
        <v>Новикова Ольга ПетровнаКозлова Ирина Павловна</v>
      </c>
      <c r="O905" t="s">
        <v>10</v>
      </c>
      <c r="P905" t="s">
        <v>122</v>
      </c>
      <c r="Q905" t="s">
        <v>119</v>
      </c>
    </row>
    <row r="906" spans="10:17" x14ac:dyDescent="0.25">
      <c r="J906" t="str">
        <f t="shared" si="67"/>
        <v>Белов Алексей КонстантиновичИванова Анна Викторовна</v>
      </c>
      <c r="K906" t="s">
        <v>8</v>
      </c>
      <c r="L906" t="s">
        <v>281</v>
      </c>
      <c r="M906" t="s">
        <v>427</v>
      </c>
      <c r="N906" t="str">
        <f t="shared" si="68"/>
        <v>Сидорова Елена ВасильевнаПетрова Елена Сергеевна</v>
      </c>
      <c r="O906" t="s">
        <v>12</v>
      </c>
      <c r="P906" t="s">
        <v>123</v>
      </c>
      <c r="Q906" t="s">
        <v>119</v>
      </c>
    </row>
    <row r="907" spans="10:17" x14ac:dyDescent="0.25">
      <c r="J907" t="str">
        <f t="shared" si="67"/>
        <v>Ткаченко Андрей ОлеговичСтепанов Роман Павлович</v>
      </c>
      <c r="K907" t="s">
        <v>5</v>
      </c>
      <c r="L907" t="s">
        <v>190</v>
      </c>
      <c r="M907" t="s">
        <v>427</v>
      </c>
      <c r="N907" t="str">
        <f t="shared" si="68"/>
        <v>Ткаченко Андрей ОлеговичВасильева Наталья Никитична</v>
      </c>
      <c r="O907" t="s">
        <v>5</v>
      </c>
      <c r="P907" t="s">
        <v>116</v>
      </c>
      <c r="Q907" t="s">
        <v>117</v>
      </c>
    </row>
    <row r="908" spans="10:17" x14ac:dyDescent="0.25">
      <c r="J908" t="str">
        <f t="shared" si="67"/>
        <v>Семенова Ирина ВалерьевнаИванова Екатерина Егоровна</v>
      </c>
      <c r="K908" t="s">
        <v>46</v>
      </c>
      <c r="L908" t="s">
        <v>131</v>
      </c>
      <c r="M908" t="s">
        <v>427</v>
      </c>
      <c r="N908" t="str">
        <f t="shared" si="68"/>
        <v>Новикова Ольга ПетровнаСтепанов Никита Михайлович</v>
      </c>
      <c r="O908" t="s">
        <v>10</v>
      </c>
      <c r="P908" t="s">
        <v>68</v>
      </c>
      <c r="Q908" t="s">
        <v>117</v>
      </c>
    </row>
    <row r="909" spans="10:17" x14ac:dyDescent="0.25">
      <c r="J909" t="str">
        <f t="shared" si="67"/>
        <v>Фролов Сергей ВикторовичВолков Роман Иванович</v>
      </c>
      <c r="K909" t="s">
        <v>27</v>
      </c>
      <c r="L909" t="s">
        <v>75</v>
      </c>
      <c r="M909" t="s">
        <v>427</v>
      </c>
      <c r="N909" t="str">
        <f t="shared" si="68"/>
        <v>Кузнецов Дмитрий ЛьвовичВолков Роман Иванович</v>
      </c>
      <c r="O909" t="s">
        <v>23</v>
      </c>
      <c r="P909" t="s">
        <v>75</v>
      </c>
      <c r="Q909" t="s">
        <v>114</v>
      </c>
    </row>
    <row r="910" spans="10:17" x14ac:dyDescent="0.25">
      <c r="J910" t="str">
        <f t="shared" si="67"/>
        <v>Иванова Анна СергеевнаСмирнов Кирилл Сергеевич</v>
      </c>
      <c r="K910" t="s">
        <v>48</v>
      </c>
      <c r="L910" t="s">
        <v>146</v>
      </c>
      <c r="M910" t="s">
        <v>427</v>
      </c>
      <c r="N910" t="str">
        <f t="shared" si="68"/>
        <v>Петров Владимир КирилловичВолкова Наталья Александровна</v>
      </c>
      <c r="O910" t="s">
        <v>36</v>
      </c>
      <c r="P910" t="s">
        <v>115</v>
      </c>
      <c r="Q910" t="s">
        <v>114</v>
      </c>
    </row>
    <row r="911" spans="10:17" x14ac:dyDescent="0.25">
      <c r="J911" t="str">
        <f t="shared" si="67"/>
        <v>Ткаченко Андрей ОлеговичОрлов Алексей Сергеевич</v>
      </c>
      <c r="K911" t="s">
        <v>5</v>
      </c>
      <c r="L911" t="s">
        <v>53</v>
      </c>
      <c r="M911" t="s">
        <v>427</v>
      </c>
      <c r="N911" t="str">
        <f t="shared" si="68"/>
        <v>Кузнецов Дмитрий ЛьвовичПавлова Екатерина Павловна</v>
      </c>
      <c r="O911" t="s">
        <v>23</v>
      </c>
      <c r="P911" t="s">
        <v>57</v>
      </c>
      <c r="Q911" t="s">
        <v>114</v>
      </c>
    </row>
    <row r="912" spans="10:17" x14ac:dyDescent="0.25">
      <c r="J912" t="str">
        <f t="shared" si="67"/>
        <v>Петров Владимир КирилловичАлексеева Ксения Андреевна</v>
      </c>
      <c r="K912" t="s">
        <v>36</v>
      </c>
      <c r="L912" t="s">
        <v>184</v>
      </c>
      <c r="M912" t="s">
        <v>430</v>
      </c>
      <c r="N912" t="str">
        <f t="shared" si="68"/>
        <v>Фролов Сергей ВикторовичОрлова Валерия Юрьевна</v>
      </c>
      <c r="O912" t="s">
        <v>27</v>
      </c>
      <c r="P912" t="s">
        <v>81</v>
      </c>
      <c r="Q912" t="s">
        <v>110</v>
      </c>
    </row>
    <row r="913" spans="10:17" x14ac:dyDescent="0.25">
      <c r="J913" t="str">
        <f t="shared" si="67"/>
        <v>Семенова Ирина ВалерьевнаСеменов Никита Михайлович</v>
      </c>
      <c r="K913" t="s">
        <v>46</v>
      </c>
      <c r="L913" t="s">
        <v>300</v>
      </c>
      <c r="M913" t="s">
        <v>430</v>
      </c>
      <c r="N913" t="str">
        <f t="shared" si="68"/>
        <v>Петров Владимир КирилловичВолков Алексей Артемович</v>
      </c>
      <c r="O913" t="s">
        <v>36</v>
      </c>
      <c r="P913" t="s">
        <v>111</v>
      </c>
      <c r="Q913" t="s">
        <v>110</v>
      </c>
    </row>
    <row r="914" spans="10:17" x14ac:dyDescent="0.25">
      <c r="J914" t="str">
        <f t="shared" si="67"/>
        <v>Фролов Сергей ВикторовичСмирнов Егор Никитич</v>
      </c>
      <c r="K914" t="s">
        <v>27</v>
      </c>
      <c r="L914" t="s">
        <v>296</v>
      </c>
      <c r="M914" t="s">
        <v>431</v>
      </c>
      <c r="N914" t="str">
        <f t="shared" si="68"/>
        <v>Яковлев Артем ИгоревичВасильев Кирилл Михайлович</v>
      </c>
      <c r="O914" t="s">
        <v>52</v>
      </c>
      <c r="P914" t="s">
        <v>95</v>
      </c>
      <c r="Q914" t="s">
        <v>110</v>
      </c>
    </row>
    <row r="915" spans="10:17" x14ac:dyDescent="0.25">
      <c r="J915" t="str">
        <f t="shared" si="67"/>
        <v>Иванова Анна СергеевнаМорозова Наталья Геннадьевна</v>
      </c>
      <c r="K915" t="s">
        <v>48</v>
      </c>
      <c r="L915" t="s">
        <v>133</v>
      </c>
      <c r="M915" t="s">
        <v>431</v>
      </c>
      <c r="N915" t="str">
        <f t="shared" si="68"/>
        <v>Семенова Ирина ВалерьевнаПавлова Ольга Юрьевна</v>
      </c>
      <c r="O915" t="s">
        <v>46</v>
      </c>
      <c r="P915" t="s">
        <v>112</v>
      </c>
      <c r="Q915" t="s">
        <v>110</v>
      </c>
    </row>
    <row r="916" spans="10:17" x14ac:dyDescent="0.25">
      <c r="J916" t="str">
        <f t="shared" si="67"/>
        <v>Орлов Павел ДенисовичНиколаев Егор Станиславович</v>
      </c>
      <c r="K916" t="s">
        <v>17</v>
      </c>
      <c r="L916" t="s">
        <v>175</v>
      </c>
      <c r="M916" t="s">
        <v>431</v>
      </c>
      <c r="N916" t="str">
        <f t="shared" si="68"/>
        <v>Яковлев Артем ИгоревичКозлов Артем Владимирович</v>
      </c>
      <c r="O916" t="s">
        <v>52</v>
      </c>
      <c r="P916" t="s">
        <v>113</v>
      </c>
      <c r="Q916" t="s">
        <v>110</v>
      </c>
    </row>
    <row r="917" spans="10:17" x14ac:dyDescent="0.25">
      <c r="J917" t="str">
        <f t="shared" si="67"/>
        <v>Яковлев Артем ИгоревичПетрова Людмила Олеговна</v>
      </c>
      <c r="K917" t="s">
        <v>52</v>
      </c>
      <c r="L917" t="s">
        <v>70</v>
      </c>
      <c r="M917" t="s">
        <v>431</v>
      </c>
      <c r="N917" t="str">
        <f t="shared" si="68"/>
        <v>Иванова Анна СергеевнаКузнецова Валерия Романовна</v>
      </c>
      <c r="O917" t="s">
        <v>48</v>
      </c>
      <c r="P917" t="s">
        <v>71</v>
      </c>
      <c r="Q917" t="s">
        <v>110</v>
      </c>
    </row>
    <row r="918" spans="10:17" x14ac:dyDescent="0.25">
      <c r="J918" t="str">
        <f t="shared" si="67"/>
        <v>Иванова Анна СергеевнаЛебедева Людмила Юрьевна</v>
      </c>
      <c r="K918" t="s">
        <v>48</v>
      </c>
      <c r="L918" t="s">
        <v>238</v>
      </c>
      <c r="M918" t="s">
        <v>432</v>
      </c>
      <c r="N918" t="str">
        <f t="shared" si="68"/>
        <v>Ткаченко Андрей ОлеговичСеменова Виктория Владимировна</v>
      </c>
      <c r="O918" t="s">
        <v>5</v>
      </c>
      <c r="P918" t="s">
        <v>73</v>
      </c>
      <c r="Q918" t="s">
        <v>106</v>
      </c>
    </row>
    <row r="919" spans="10:17" x14ac:dyDescent="0.25">
      <c r="J919" t="str">
        <f t="shared" si="67"/>
        <v>Белов Алексей КонстантиновичПетрова Полина Дмитриевна</v>
      </c>
      <c r="K919" t="s">
        <v>8</v>
      </c>
      <c r="L919" t="s">
        <v>109</v>
      </c>
      <c r="M919" t="s">
        <v>432</v>
      </c>
      <c r="N919" t="str">
        <f t="shared" si="68"/>
        <v>Ткаченко Андрей ОлеговичФедорова Вероника Ивановна</v>
      </c>
      <c r="O919" t="s">
        <v>5</v>
      </c>
      <c r="P919" t="s">
        <v>107</v>
      </c>
      <c r="Q919" t="s">
        <v>106</v>
      </c>
    </row>
    <row r="920" spans="10:17" x14ac:dyDescent="0.25">
      <c r="J920" t="str">
        <f t="shared" si="67"/>
        <v>Ткаченко Андрей ОлеговичПавлов Константин Никитич</v>
      </c>
      <c r="K920" t="s">
        <v>5</v>
      </c>
      <c r="L920" t="s">
        <v>232</v>
      </c>
      <c r="M920" t="s">
        <v>432</v>
      </c>
      <c r="N920" t="str">
        <f t="shared" si="68"/>
        <v>Кузнецов Дмитрий ЛьвовичСтепанова Анна Никитична</v>
      </c>
      <c r="O920" t="s">
        <v>23</v>
      </c>
      <c r="P920" t="s">
        <v>108</v>
      </c>
      <c r="Q920" t="s">
        <v>106</v>
      </c>
    </row>
    <row r="921" spans="10:17" x14ac:dyDescent="0.25">
      <c r="J921" t="str">
        <f t="shared" si="67"/>
        <v>Петров Владимир КирилловичВолкова Валерия Олеговна</v>
      </c>
      <c r="K921" t="s">
        <v>36</v>
      </c>
      <c r="L921" t="s">
        <v>55</v>
      </c>
      <c r="M921" t="s">
        <v>433</v>
      </c>
      <c r="N921" t="str">
        <f t="shared" si="68"/>
        <v>Петров Владимир КирилловичПетрова Полина Дмитриевна</v>
      </c>
      <c r="O921" t="s">
        <v>36</v>
      </c>
      <c r="P921" t="s">
        <v>109</v>
      </c>
      <c r="Q921" t="s">
        <v>106</v>
      </c>
    </row>
    <row r="922" spans="10:17" x14ac:dyDescent="0.25">
      <c r="J922" t="str">
        <f t="shared" si="67"/>
        <v>Семенова Ирина ВалерьевнаИванова Анна Викторовна</v>
      </c>
      <c r="K922" t="s">
        <v>46</v>
      </c>
      <c r="L922" t="s">
        <v>281</v>
      </c>
      <c r="M922" t="s">
        <v>433</v>
      </c>
      <c r="N922" t="str">
        <f t="shared" si="68"/>
        <v>Фролов Сергей ВикторовичПавлов Матвей Дмитриевич</v>
      </c>
      <c r="O922" t="s">
        <v>27</v>
      </c>
      <c r="P922" t="s">
        <v>103</v>
      </c>
      <c r="Q922" t="s">
        <v>104</v>
      </c>
    </row>
    <row r="923" spans="10:17" x14ac:dyDescent="0.25">
      <c r="J923" t="str">
        <f t="shared" si="67"/>
        <v>Ткаченко Андрей ОлеговичПавлова Ольга Юрьевна</v>
      </c>
      <c r="K923" t="s">
        <v>5</v>
      </c>
      <c r="L923" t="s">
        <v>112</v>
      </c>
      <c r="M923" t="s">
        <v>434</v>
      </c>
      <c r="N923" t="str">
        <f t="shared" si="68"/>
        <v>Новикова Ольга ПетровнаСидоров Артем Викторович</v>
      </c>
      <c r="O923" t="s">
        <v>10</v>
      </c>
      <c r="P923" t="s">
        <v>13</v>
      </c>
      <c r="Q923" t="s">
        <v>104</v>
      </c>
    </row>
    <row r="924" spans="10:17" x14ac:dyDescent="0.25">
      <c r="J924" t="str">
        <f t="shared" si="67"/>
        <v>Семенова Ирина ВалерьевнаЛебедев Павел Кириллович</v>
      </c>
      <c r="K924" t="s">
        <v>46</v>
      </c>
      <c r="L924" t="s">
        <v>6</v>
      </c>
      <c r="M924" t="s">
        <v>434</v>
      </c>
      <c r="N924" t="str">
        <f t="shared" si="68"/>
        <v>Иванова Анна СергеевнаПопов Дмитрий Ильич</v>
      </c>
      <c r="O924" t="s">
        <v>48</v>
      </c>
      <c r="P924" t="s">
        <v>105</v>
      </c>
      <c r="Q924" t="s">
        <v>104</v>
      </c>
    </row>
    <row r="925" spans="10:17" x14ac:dyDescent="0.25">
      <c r="J925" t="str">
        <f t="shared" si="67"/>
        <v>Орлов Павел ДенисовичПетрова София Алексеевна</v>
      </c>
      <c r="K925" t="s">
        <v>17</v>
      </c>
      <c r="L925" t="s">
        <v>59</v>
      </c>
      <c r="M925" t="s">
        <v>434</v>
      </c>
      <c r="N925" t="str">
        <f t="shared" si="68"/>
        <v>Орлов Павел ДенисовичСмирнов Дмитрий Александрович</v>
      </c>
      <c r="O925" t="s">
        <v>17</v>
      </c>
      <c r="P925" t="s">
        <v>20</v>
      </c>
      <c r="Q925" t="s">
        <v>104</v>
      </c>
    </row>
    <row r="926" spans="10:17" x14ac:dyDescent="0.25">
      <c r="J926" t="str">
        <f t="shared" si="67"/>
        <v>Семенова Ирина ВалерьевнаПавлова Анна Михайловна</v>
      </c>
      <c r="K926" t="s">
        <v>46</v>
      </c>
      <c r="L926" t="s">
        <v>191</v>
      </c>
      <c r="M926" t="s">
        <v>434</v>
      </c>
      <c r="N926" t="str">
        <f t="shared" si="68"/>
        <v>Белов Алексей КонстантиновичЛебедев Сергей Иванович</v>
      </c>
      <c r="O926" t="s">
        <v>8</v>
      </c>
      <c r="P926" t="s">
        <v>99</v>
      </c>
      <c r="Q926" t="s">
        <v>100</v>
      </c>
    </row>
    <row r="927" spans="10:17" x14ac:dyDescent="0.25">
      <c r="J927" t="str">
        <f t="shared" si="67"/>
        <v>Орлов Павел ДенисовичНовиков Алексей Александрович</v>
      </c>
      <c r="K927" t="s">
        <v>17</v>
      </c>
      <c r="L927" t="s">
        <v>16</v>
      </c>
      <c r="M927" t="s">
        <v>434</v>
      </c>
      <c r="N927" t="str">
        <f t="shared" si="68"/>
        <v>Белов Алексей КонстантиновичСмирнов Александр Владимирович</v>
      </c>
      <c r="O927" t="s">
        <v>8</v>
      </c>
      <c r="P927" t="s">
        <v>101</v>
      </c>
      <c r="Q927" t="s">
        <v>100</v>
      </c>
    </row>
    <row r="928" spans="10:17" x14ac:dyDescent="0.25">
      <c r="J928" t="str">
        <f t="shared" si="67"/>
        <v>Яковлев Артем ИгоревичФедорова Татьяна Никитична</v>
      </c>
      <c r="K928" t="s">
        <v>52</v>
      </c>
      <c r="L928" t="s">
        <v>292</v>
      </c>
      <c r="M928" t="s">
        <v>434</v>
      </c>
      <c r="N928" t="str">
        <f t="shared" si="68"/>
        <v>Новикова Ольга ПетровнаНовикова Алиса Юрьевна</v>
      </c>
      <c r="O928" t="s">
        <v>10</v>
      </c>
      <c r="P928" t="s">
        <v>102</v>
      </c>
      <c r="Q928" t="s">
        <v>100</v>
      </c>
    </row>
    <row r="929" spans="10:17" x14ac:dyDescent="0.25">
      <c r="J929" t="str">
        <f t="shared" si="67"/>
        <v>Орлов Павел ДенисовичПавлов Роман Александрович</v>
      </c>
      <c r="K929" t="s">
        <v>17</v>
      </c>
      <c r="L929" t="s">
        <v>134</v>
      </c>
      <c r="M929" t="s">
        <v>435</v>
      </c>
      <c r="N929" t="str">
        <f t="shared" si="68"/>
        <v>Кузнецов Дмитрий ЛьвовичВасильев Кирилл Михайлович</v>
      </c>
      <c r="O929" t="s">
        <v>23</v>
      </c>
      <c r="P929" t="s">
        <v>95</v>
      </c>
      <c r="Q929" t="s">
        <v>96</v>
      </c>
    </row>
    <row r="930" spans="10:17" x14ac:dyDescent="0.25">
      <c r="J930" t="str">
        <f t="shared" si="67"/>
        <v>Иванова Анна СергеевнаМорозова София Михайловна</v>
      </c>
      <c r="K930" t="s">
        <v>48</v>
      </c>
      <c r="L930" t="s">
        <v>51</v>
      </c>
      <c r="M930" t="s">
        <v>436</v>
      </c>
      <c r="N930" t="str">
        <f t="shared" si="68"/>
        <v>Иванова Анна СергеевнаСтепанов Александр Юрьевич</v>
      </c>
      <c r="O930" t="s">
        <v>48</v>
      </c>
      <c r="P930" t="s">
        <v>97</v>
      </c>
      <c r="Q930" t="s">
        <v>96</v>
      </c>
    </row>
    <row r="931" spans="10:17" x14ac:dyDescent="0.25">
      <c r="J931" t="str">
        <f t="shared" si="67"/>
        <v>Сидорова Елена ВасильевнаФедорова Вероника Ивановна</v>
      </c>
      <c r="K931" t="s">
        <v>12</v>
      </c>
      <c r="L931" t="s">
        <v>107</v>
      </c>
      <c r="M931" t="s">
        <v>436</v>
      </c>
      <c r="N931" t="str">
        <f t="shared" si="68"/>
        <v>Иванова Анна СергеевнаПетров Сергей Викторович</v>
      </c>
      <c r="O931" t="s">
        <v>48</v>
      </c>
      <c r="P931" t="s">
        <v>98</v>
      </c>
      <c r="Q931" t="s">
        <v>96</v>
      </c>
    </row>
    <row r="932" spans="10:17" x14ac:dyDescent="0.25">
      <c r="J932" t="str">
        <f t="shared" si="67"/>
        <v>Сидорова Елена ВасильевнаПетров Михаил Юрьевич</v>
      </c>
      <c r="K932" t="s">
        <v>12</v>
      </c>
      <c r="L932" t="s">
        <v>256</v>
      </c>
      <c r="M932" t="s">
        <v>437</v>
      </c>
      <c r="N932" t="str">
        <f t="shared" si="68"/>
        <v>Яковлев Артем ИгоревичПетрова Людмила Ильинична</v>
      </c>
      <c r="O932" t="s">
        <v>52</v>
      </c>
      <c r="P932" t="s">
        <v>29</v>
      </c>
      <c r="Q932" t="s">
        <v>94</v>
      </c>
    </row>
    <row r="933" spans="10:17" x14ac:dyDescent="0.25">
      <c r="J933" t="str">
        <f t="shared" si="67"/>
        <v>Орлов Павел ДенисовичАлексеев Дмитрий Станиславович</v>
      </c>
      <c r="K933" t="s">
        <v>17</v>
      </c>
      <c r="L933" t="s">
        <v>438</v>
      </c>
      <c r="M933" t="s">
        <v>437</v>
      </c>
      <c r="N933" t="str">
        <f t="shared" si="68"/>
        <v>Иванова Анна СергеевнаОрлов Максим Егорович</v>
      </c>
      <c r="O933" t="s">
        <v>48</v>
      </c>
      <c r="P933" t="s">
        <v>87</v>
      </c>
      <c r="Q933" t="s">
        <v>94</v>
      </c>
    </row>
    <row r="934" spans="10:17" x14ac:dyDescent="0.25">
      <c r="J934" t="str">
        <f t="shared" si="67"/>
        <v>Петров Владимир КирилловичСеменов Сергей Дмитриевич</v>
      </c>
      <c r="K934" t="s">
        <v>36</v>
      </c>
      <c r="L934" t="s">
        <v>293</v>
      </c>
      <c r="M934" t="s">
        <v>437</v>
      </c>
      <c r="N934" t="str">
        <f t="shared" si="68"/>
        <v>Фролов Сергей ВикторовичОрлов Максим Егорович</v>
      </c>
      <c r="O934" t="s">
        <v>27</v>
      </c>
      <c r="P934" t="s">
        <v>87</v>
      </c>
      <c r="Q934" t="s">
        <v>88</v>
      </c>
    </row>
    <row r="935" spans="10:17" x14ac:dyDescent="0.25">
      <c r="J935" t="str">
        <f t="shared" si="67"/>
        <v>Кузнецов Дмитрий ЛьвовичАлексеева Виктория Александровна</v>
      </c>
      <c r="K935" t="s">
        <v>23</v>
      </c>
      <c r="L935" t="s">
        <v>195</v>
      </c>
      <c r="M935" t="s">
        <v>437</v>
      </c>
      <c r="N935" t="str">
        <f t="shared" si="68"/>
        <v>Петров Владимир КирилловичАлексеева Алиса Александровна</v>
      </c>
      <c r="O935" t="s">
        <v>36</v>
      </c>
      <c r="P935" t="s">
        <v>89</v>
      </c>
      <c r="Q935" t="s">
        <v>88</v>
      </c>
    </row>
    <row r="936" spans="10:17" x14ac:dyDescent="0.25">
      <c r="J936" t="str">
        <f t="shared" si="67"/>
        <v>Иванова Анна СергеевнаПопова Александра Юрьевна</v>
      </c>
      <c r="K936" t="s">
        <v>48</v>
      </c>
      <c r="L936" t="s">
        <v>118</v>
      </c>
      <c r="M936" t="s">
        <v>437</v>
      </c>
      <c r="N936" t="str">
        <f t="shared" si="68"/>
        <v>Белов Алексей КонстантиновичМорозов Андрей Иванович</v>
      </c>
      <c r="O936" t="s">
        <v>8</v>
      </c>
      <c r="P936" t="s">
        <v>90</v>
      </c>
      <c r="Q936" t="s">
        <v>88</v>
      </c>
    </row>
    <row r="937" spans="10:17" x14ac:dyDescent="0.25">
      <c r="J937" t="str">
        <f t="shared" si="67"/>
        <v>Новикова Ольга ПетровнаВасильев Егор Владимирович</v>
      </c>
      <c r="K937" t="s">
        <v>10</v>
      </c>
      <c r="L937" t="s">
        <v>148</v>
      </c>
      <c r="M937" t="s">
        <v>437</v>
      </c>
      <c r="N937" t="str">
        <f t="shared" si="68"/>
        <v>Кузнецов Дмитрий ЛьвовичМорозова Александра Дмитриевна</v>
      </c>
      <c r="O937" t="s">
        <v>23</v>
      </c>
      <c r="P937" t="s">
        <v>69</v>
      </c>
      <c r="Q937" t="s">
        <v>88</v>
      </c>
    </row>
    <row r="938" spans="10:17" x14ac:dyDescent="0.25">
      <c r="J938" t="str">
        <f t="shared" si="67"/>
        <v>Новикова Ольга ПетровнаСеменов Андрей Андреевич</v>
      </c>
      <c r="K938" t="s">
        <v>10</v>
      </c>
      <c r="L938" t="s">
        <v>428</v>
      </c>
      <c r="M938" t="s">
        <v>437</v>
      </c>
      <c r="N938" t="str">
        <f t="shared" si="68"/>
        <v>Кузнецов Дмитрий ЛьвовичКузнецова Валерия Романовна</v>
      </c>
      <c r="O938" t="s">
        <v>23</v>
      </c>
      <c r="P938" t="s">
        <v>71</v>
      </c>
      <c r="Q938" t="s">
        <v>88</v>
      </c>
    </row>
    <row r="939" spans="10:17" x14ac:dyDescent="0.25">
      <c r="J939" t="str">
        <f t="shared" si="67"/>
        <v>Орлов Павел ДенисовичНиколаев Егор Станиславович</v>
      </c>
      <c r="K939" t="s">
        <v>17</v>
      </c>
      <c r="L939" t="s">
        <v>175</v>
      </c>
      <c r="M939" t="s">
        <v>437</v>
      </c>
      <c r="N939" t="str">
        <f t="shared" si="68"/>
        <v>Петров Владимир КирилловичМорозов Константин Романович</v>
      </c>
      <c r="O939" t="s">
        <v>36</v>
      </c>
      <c r="P939" t="s">
        <v>91</v>
      </c>
      <c r="Q939" t="s">
        <v>88</v>
      </c>
    </row>
    <row r="940" spans="10:17" x14ac:dyDescent="0.25">
      <c r="J940" t="str">
        <f t="shared" si="67"/>
        <v>Иванова Анна СергеевнаВасильев Никита Викторович</v>
      </c>
      <c r="K940" t="s">
        <v>48</v>
      </c>
      <c r="L940" t="s">
        <v>47</v>
      </c>
      <c r="M940" t="s">
        <v>437</v>
      </c>
      <c r="N940" t="str">
        <f t="shared" si="68"/>
        <v>Ткаченко Андрей ОлеговичОрлов Кирилл Владимирович</v>
      </c>
      <c r="O940" t="s">
        <v>5</v>
      </c>
      <c r="P940" t="s">
        <v>79</v>
      </c>
      <c r="Q940" t="s">
        <v>88</v>
      </c>
    </row>
    <row r="941" spans="10:17" x14ac:dyDescent="0.25">
      <c r="J941" t="str">
        <f t="shared" si="67"/>
        <v>Сидорова Елена ВасильевнаКозлов Алексей Иванович</v>
      </c>
      <c r="K941" t="s">
        <v>12</v>
      </c>
      <c r="L941" t="s">
        <v>149</v>
      </c>
      <c r="M941" t="s">
        <v>437</v>
      </c>
      <c r="N941" t="str">
        <f t="shared" si="68"/>
        <v>Петров Владимир КирилловичСеменова Виктория Владимировна</v>
      </c>
      <c r="O941" t="s">
        <v>36</v>
      </c>
      <c r="P941" t="s">
        <v>73</v>
      </c>
      <c r="Q941" t="s">
        <v>88</v>
      </c>
    </row>
    <row r="942" spans="10:17" x14ac:dyDescent="0.25">
      <c r="J942" t="str">
        <f t="shared" si="67"/>
        <v>Орлов Павел ДенисовичНиколаева Ирина Романовна</v>
      </c>
      <c r="K942" t="s">
        <v>17</v>
      </c>
      <c r="L942" t="s">
        <v>268</v>
      </c>
      <c r="M942" t="s">
        <v>437</v>
      </c>
      <c r="N942" t="str">
        <f t="shared" si="68"/>
        <v>Кузнецов Дмитрий ЛьвовичАлексеев Матвей Кириллович</v>
      </c>
      <c r="O942" t="s">
        <v>23</v>
      </c>
      <c r="P942" t="s">
        <v>92</v>
      </c>
      <c r="Q942" t="s">
        <v>88</v>
      </c>
    </row>
    <row r="943" spans="10:17" x14ac:dyDescent="0.25">
      <c r="J943" t="str">
        <f t="shared" si="67"/>
        <v>Семенова Ирина ВалерьевнаИванова Анна Викторовна</v>
      </c>
      <c r="K943" t="s">
        <v>46</v>
      </c>
      <c r="L943" t="s">
        <v>281</v>
      </c>
      <c r="M943" t="s">
        <v>439</v>
      </c>
      <c r="N943" t="str">
        <f t="shared" si="68"/>
        <v>Ткаченко Андрей ОлеговичСеменов Андрей Кириллович</v>
      </c>
      <c r="O943" t="s">
        <v>5</v>
      </c>
      <c r="P943" t="s">
        <v>93</v>
      </c>
      <c r="Q943" t="s">
        <v>88</v>
      </c>
    </row>
    <row r="944" spans="10:17" x14ac:dyDescent="0.25">
      <c r="J944" t="str">
        <f t="shared" si="67"/>
        <v>Громова Мария ИльиничнаВасильев Георгий Станиславович</v>
      </c>
      <c r="K944" t="s">
        <v>15</v>
      </c>
      <c r="L944" t="s">
        <v>243</v>
      </c>
      <c r="M944" t="s">
        <v>439</v>
      </c>
      <c r="N944" t="str">
        <f t="shared" si="68"/>
        <v>Громова Мария ИльиничнаПетрова Наталья Геннадьевна</v>
      </c>
      <c r="O944" t="s">
        <v>15</v>
      </c>
      <c r="P944" t="s">
        <v>82</v>
      </c>
      <c r="Q944" t="s">
        <v>83</v>
      </c>
    </row>
    <row r="945" spans="10:17" x14ac:dyDescent="0.25">
      <c r="J945" t="str">
        <f t="shared" si="67"/>
        <v>Кузнецов Дмитрий ЛьвовичАлексеева Алиса Александровна</v>
      </c>
      <c r="K945" t="s">
        <v>23</v>
      </c>
      <c r="L945" t="s">
        <v>89</v>
      </c>
      <c r="M945" t="s">
        <v>439</v>
      </c>
      <c r="N945" t="str">
        <f t="shared" si="68"/>
        <v>Орлов Павел ДенисовичВолков Константин Алексеевич</v>
      </c>
      <c r="O945" t="s">
        <v>17</v>
      </c>
      <c r="P945" t="s">
        <v>84</v>
      </c>
      <c r="Q945" t="s">
        <v>83</v>
      </c>
    </row>
    <row r="946" spans="10:17" x14ac:dyDescent="0.25">
      <c r="J946" t="str">
        <f t="shared" si="67"/>
        <v>Белов Алексей КонстантиновичНиколаев Павел Артемович</v>
      </c>
      <c r="K946" t="s">
        <v>8</v>
      </c>
      <c r="L946" t="s">
        <v>235</v>
      </c>
      <c r="M946" t="s">
        <v>439</v>
      </c>
      <c r="N946" t="str">
        <f t="shared" si="68"/>
        <v>Фролов Сергей ВикторовичНиколаева Ирина Владимировна</v>
      </c>
      <c r="O946" t="s">
        <v>27</v>
      </c>
      <c r="P946" t="s">
        <v>66</v>
      </c>
      <c r="Q946" t="s">
        <v>83</v>
      </c>
    </row>
    <row r="947" spans="10:17" x14ac:dyDescent="0.25">
      <c r="J947" t="str">
        <f t="shared" si="67"/>
        <v>Иванова Анна СергеевнаВасильев Александр Иванович</v>
      </c>
      <c r="K947" t="s">
        <v>48</v>
      </c>
      <c r="L947" t="s">
        <v>158</v>
      </c>
      <c r="M947" t="s">
        <v>439</v>
      </c>
      <c r="N947" t="str">
        <f t="shared" si="68"/>
        <v>Фролов Сергей ВикторовичСмирнов Константин Михайлович</v>
      </c>
      <c r="O947" t="s">
        <v>27</v>
      </c>
      <c r="P947" t="s">
        <v>85</v>
      </c>
      <c r="Q947" t="s">
        <v>83</v>
      </c>
    </row>
    <row r="948" spans="10:17" x14ac:dyDescent="0.25">
      <c r="J948" t="str">
        <f t="shared" si="67"/>
        <v>Белов Алексей КонстантиновичНиколаева Ксения Владимировна</v>
      </c>
      <c r="K948" t="s">
        <v>8</v>
      </c>
      <c r="L948" t="s">
        <v>330</v>
      </c>
      <c r="M948" t="s">
        <v>439</v>
      </c>
      <c r="N948" t="str">
        <f t="shared" si="68"/>
        <v>Орлов Павел ДенисовичКузнецова София Сергеевна</v>
      </c>
      <c r="O948" t="s">
        <v>17</v>
      </c>
      <c r="P948" t="s">
        <v>86</v>
      </c>
      <c r="Q948" t="s">
        <v>83</v>
      </c>
    </row>
    <row r="949" spans="10:17" x14ac:dyDescent="0.25">
      <c r="J949" t="str">
        <f t="shared" si="67"/>
        <v>Сидорова Елена ВасильевнаПетров Максим Александрович</v>
      </c>
      <c r="K949" t="s">
        <v>12</v>
      </c>
      <c r="L949" t="s">
        <v>171</v>
      </c>
      <c r="M949" t="s">
        <v>440</v>
      </c>
      <c r="N949" t="str">
        <f t="shared" si="68"/>
        <v>Яковлев Артем ИгоревичВасильев Артур Дмитриевич</v>
      </c>
      <c r="O949" t="s">
        <v>52</v>
      </c>
      <c r="P949" t="s">
        <v>77</v>
      </c>
      <c r="Q949" t="s">
        <v>78</v>
      </c>
    </row>
    <row r="950" spans="10:17" x14ac:dyDescent="0.25">
      <c r="J950" t="str">
        <f t="shared" si="67"/>
        <v>Семенова Ирина ВалерьевнаСмирнов Константин Михайлович</v>
      </c>
      <c r="K950" t="s">
        <v>46</v>
      </c>
      <c r="L950" t="s">
        <v>85</v>
      </c>
      <c r="M950" t="s">
        <v>440</v>
      </c>
      <c r="N950" t="str">
        <f t="shared" si="68"/>
        <v>Новикова Ольга ПетровнаОрлов Кирилл Владимирович</v>
      </c>
      <c r="O950" t="s">
        <v>10</v>
      </c>
      <c r="P950" t="s">
        <v>79</v>
      </c>
      <c r="Q950" t="s">
        <v>78</v>
      </c>
    </row>
    <row r="951" spans="10:17" x14ac:dyDescent="0.25">
      <c r="J951" t="str">
        <f t="shared" si="67"/>
        <v>Петров Владимир КирилловичПопов Михаил Александрович</v>
      </c>
      <c r="K951" t="s">
        <v>36</v>
      </c>
      <c r="L951" t="s">
        <v>271</v>
      </c>
      <c r="M951" t="s">
        <v>441</v>
      </c>
      <c r="N951" t="str">
        <f t="shared" si="68"/>
        <v>Фролов Сергей ВикторовичНиколаев Александр Романович</v>
      </c>
      <c r="O951" t="s">
        <v>27</v>
      </c>
      <c r="P951" t="s">
        <v>80</v>
      </c>
      <c r="Q951" t="s">
        <v>78</v>
      </c>
    </row>
    <row r="952" spans="10:17" x14ac:dyDescent="0.25">
      <c r="J952" t="str">
        <f t="shared" si="67"/>
        <v>Кузнецов Дмитрий ЛьвовичНиколаева Ксения Владимировна</v>
      </c>
      <c r="K952" t="s">
        <v>23</v>
      </c>
      <c r="L952" t="s">
        <v>330</v>
      </c>
      <c r="M952" t="s">
        <v>442</v>
      </c>
      <c r="N952" t="str">
        <f t="shared" si="68"/>
        <v>Фролов Сергей ВикторовичОрлова Валерия Юрьевна</v>
      </c>
      <c r="O952" t="s">
        <v>27</v>
      </c>
      <c r="P952" t="s">
        <v>81</v>
      </c>
      <c r="Q952" t="s">
        <v>78</v>
      </c>
    </row>
    <row r="953" spans="10:17" x14ac:dyDescent="0.25">
      <c r="J953" t="str">
        <f t="shared" si="67"/>
        <v>Громова Мария ИльиничнаПопова Светлана Владимировна</v>
      </c>
      <c r="K953" t="s">
        <v>15</v>
      </c>
      <c r="L953" t="s">
        <v>316</v>
      </c>
      <c r="M953" t="s">
        <v>442</v>
      </c>
      <c r="N953" t="str">
        <f t="shared" si="68"/>
        <v>Громова Мария ИльиничнаВолков Роман Иванович</v>
      </c>
      <c r="O953" t="s">
        <v>15</v>
      </c>
      <c r="P953" t="s">
        <v>75</v>
      </c>
      <c r="Q953" t="s">
        <v>76</v>
      </c>
    </row>
    <row r="954" spans="10:17" x14ac:dyDescent="0.25">
      <c r="J954" t="str">
        <f t="shared" si="67"/>
        <v>Иванова Анна СергеевнаМорозов Никита Иванович</v>
      </c>
      <c r="K954" t="s">
        <v>48</v>
      </c>
      <c r="L954" t="s">
        <v>335</v>
      </c>
      <c r="M954" t="s">
        <v>442</v>
      </c>
      <c r="N954" t="str">
        <f t="shared" si="68"/>
        <v>Белов Алексей КонстантиновичКузнецова Валерия Романовна</v>
      </c>
      <c r="O954" t="s">
        <v>8</v>
      </c>
      <c r="P954" t="s">
        <v>71</v>
      </c>
      <c r="Q954" t="s">
        <v>72</v>
      </c>
    </row>
    <row r="955" spans="10:17" x14ac:dyDescent="0.25">
      <c r="J955" t="str">
        <f t="shared" si="67"/>
        <v>Новикова Ольга ПетровнаНиколаева Вероника Юрьевна</v>
      </c>
      <c r="K955" t="s">
        <v>10</v>
      </c>
      <c r="L955" t="s">
        <v>202</v>
      </c>
      <c r="M955" t="s">
        <v>442</v>
      </c>
      <c r="N955" t="str">
        <f t="shared" si="68"/>
        <v>Петров Владимир КирилловичСеменова Виктория Владимировна</v>
      </c>
      <c r="O955" t="s">
        <v>36</v>
      </c>
      <c r="P955" t="s">
        <v>73</v>
      </c>
      <c r="Q955" t="s">
        <v>72</v>
      </c>
    </row>
    <row r="956" spans="10:17" x14ac:dyDescent="0.25">
      <c r="J956" t="str">
        <f t="shared" si="67"/>
        <v>Новикова Ольга ПетровнаОрлов Алексей Сергеевич</v>
      </c>
      <c r="K956" t="s">
        <v>10</v>
      </c>
      <c r="L956" t="s">
        <v>53</v>
      </c>
      <c r="M956" t="s">
        <v>443</v>
      </c>
      <c r="N956" t="str">
        <f t="shared" si="68"/>
        <v>Орлов Павел ДенисовичИванова Ксения Романовна</v>
      </c>
      <c r="O956" t="s">
        <v>17</v>
      </c>
      <c r="P956" t="s">
        <v>74</v>
      </c>
      <c r="Q956" t="s">
        <v>72</v>
      </c>
    </row>
    <row r="957" spans="10:17" x14ac:dyDescent="0.25">
      <c r="J957" t="str">
        <f t="shared" si="67"/>
        <v>Орлов Павел ДенисовичПопова Ольга Егоровна</v>
      </c>
      <c r="K957" t="s">
        <v>17</v>
      </c>
      <c r="L957" t="s">
        <v>9</v>
      </c>
      <c r="M957" t="s">
        <v>443</v>
      </c>
      <c r="N957" t="str">
        <f t="shared" si="68"/>
        <v>Ткаченко Андрей ОлеговичАлексеева Алиса Ильинична</v>
      </c>
      <c r="O957" t="s">
        <v>5</v>
      </c>
      <c r="P957" t="s">
        <v>64</v>
      </c>
      <c r="Q957" t="s">
        <v>65</v>
      </c>
    </row>
    <row r="958" spans="10:17" x14ac:dyDescent="0.25">
      <c r="J958" t="str">
        <f t="shared" si="67"/>
        <v>Громова Мария ИльиничнаЛебедева Ирина Михайловна</v>
      </c>
      <c r="K958" t="s">
        <v>15</v>
      </c>
      <c r="L958" t="s">
        <v>302</v>
      </c>
      <c r="M958" t="s">
        <v>443</v>
      </c>
      <c r="N958" t="str">
        <f t="shared" si="68"/>
        <v>Семенова Ирина ВалерьевнаНиколаева Ирина Владимировна</v>
      </c>
      <c r="O958" t="s">
        <v>46</v>
      </c>
      <c r="P958" t="s">
        <v>66</v>
      </c>
      <c r="Q958" t="s">
        <v>65</v>
      </c>
    </row>
    <row r="959" spans="10:17" x14ac:dyDescent="0.25">
      <c r="J959" t="str">
        <f t="shared" si="67"/>
        <v>Фролов Сергей ВикторовичСидоров Павел Андреевич</v>
      </c>
      <c r="K959" t="s">
        <v>27</v>
      </c>
      <c r="L959" t="s">
        <v>287</v>
      </c>
      <c r="M959" t="s">
        <v>443</v>
      </c>
      <c r="N959" t="str">
        <f t="shared" si="68"/>
        <v>Сидорова Елена ВасильевнаКозлова Полина Кирилловна</v>
      </c>
      <c r="O959" t="s">
        <v>12</v>
      </c>
      <c r="P959" t="s">
        <v>67</v>
      </c>
      <c r="Q959" t="s">
        <v>65</v>
      </c>
    </row>
    <row r="960" spans="10:17" x14ac:dyDescent="0.25">
      <c r="J960" t="str">
        <f t="shared" si="67"/>
        <v>Фролов Сергей ВикторовичВасильев Артур Дмитриевич</v>
      </c>
      <c r="K960" t="s">
        <v>27</v>
      </c>
      <c r="L960" t="s">
        <v>77</v>
      </c>
      <c r="M960" t="s">
        <v>443</v>
      </c>
      <c r="N960" t="str">
        <f t="shared" si="68"/>
        <v>Сидорова Елена ВасильевнаСтепанов Никита Михайлович</v>
      </c>
      <c r="O960" t="s">
        <v>12</v>
      </c>
      <c r="P960" t="s">
        <v>68</v>
      </c>
      <c r="Q960" t="s">
        <v>65</v>
      </c>
    </row>
    <row r="961" spans="10:17" x14ac:dyDescent="0.25">
      <c r="J961" t="str">
        <f t="shared" si="67"/>
        <v>Сидорова Елена ВасильевнаПетров Сергей Викторович</v>
      </c>
      <c r="K961" t="s">
        <v>12</v>
      </c>
      <c r="L961" t="s">
        <v>98</v>
      </c>
      <c r="M961" t="s">
        <v>443</v>
      </c>
      <c r="N961" t="str">
        <f t="shared" si="68"/>
        <v>Сидорова Елена ВасильевнаВасильева Татьяна Геннадьевна</v>
      </c>
      <c r="O961" t="s">
        <v>12</v>
      </c>
      <c r="P961" t="s">
        <v>37</v>
      </c>
      <c r="Q961" t="s">
        <v>65</v>
      </c>
    </row>
    <row r="962" spans="10:17" x14ac:dyDescent="0.25">
      <c r="J962" t="str">
        <f t="shared" si="67"/>
        <v>Семенова Ирина ВалерьевнаПетрова Наталья Геннадьевна</v>
      </c>
      <c r="K962" t="s">
        <v>46</v>
      </c>
      <c r="L962" t="s">
        <v>82</v>
      </c>
      <c r="M962" t="s">
        <v>443</v>
      </c>
      <c r="N962" t="str">
        <f t="shared" si="68"/>
        <v>Орлов Павел ДенисовичМорозова Александра Дмитриевна</v>
      </c>
      <c r="O962" t="s">
        <v>17</v>
      </c>
      <c r="P962" t="s">
        <v>69</v>
      </c>
      <c r="Q962" t="s">
        <v>65</v>
      </c>
    </row>
    <row r="963" spans="10:17" x14ac:dyDescent="0.25">
      <c r="J963" t="str">
        <f t="shared" ref="J963:J1001" si="69">K963&amp;L963</f>
        <v>Ткаченко Андрей ОлеговичНовиков Павел Никитич</v>
      </c>
      <c r="K963" t="s">
        <v>5</v>
      </c>
      <c r="L963" t="s">
        <v>153</v>
      </c>
      <c r="M963" t="s">
        <v>443</v>
      </c>
      <c r="N963" t="str">
        <f t="shared" ref="N963:N1001" si="70">O963&amp;P963</f>
        <v>Кузнецов Дмитрий ЛьвовичПетрова Людмила Олеговна</v>
      </c>
      <c r="O963" t="s">
        <v>23</v>
      </c>
      <c r="P963" t="s">
        <v>70</v>
      </c>
      <c r="Q963" t="s">
        <v>65</v>
      </c>
    </row>
    <row r="964" spans="10:17" x14ac:dyDescent="0.25">
      <c r="J964" t="str">
        <f t="shared" si="69"/>
        <v>Орлов Павел ДенисовичАлексеева Виктория Александровна</v>
      </c>
      <c r="K964" t="s">
        <v>17</v>
      </c>
      <c r="L964" t="s">
        <v>195</v>
      </c>
      <c r="M964" t="s">
        <v>443</v>
      </c>
      <c r="N964" t="str">
        <f t="shared" si="70"/>
        <v>Фролов Сергей ВикторовичПавлова Екатерина Павловна</v>
      </c>
      <c r="O964" t="s">
        <v>27</v>
      </c>
      <c r="P964" t="s">
        <v>57</v>
      </c>
      <c r="Q964" t="s">
        <v>58</v>
      </c>
    </row>
    <row r="965" spans="10:17" x14ac:dyDescent="0.25">
      <c r="J965" t="str">
        <f t="shared" si="69"/>
        <v>Громова Мария ИльиничнаОрлов Алексей Юрьевич</v>
      </c>
      <c r="K965" t="s">
        <v>15</v>
      </c>
      <c r="L965" t="s">
        <v>252</v>
      </c>
      <c r="M965" t="s">
        <v>444</v>
      </c>
      <c r="N965" t="str">
        <f t="shared" si="70"/>
        <v>Фролов Сергей ВикторовичПетрова София Алексеевна</v>
      </c>
      <c r="O965" t="s">
        <v>27</v>
      </c>
      <c r="P965" t="s">
        <v>59</v>
      </c>
      <c r="Q965" t="s">
        <v>58</v>
      </c>
    </row>
    <row r="966" spans="10:17" x14ac:dyDescent="0.25">
      <c r="J966" t="str">
        <f t="shared" si="69"/>
        <v>Кузнецов Дмитрий ЛьвовичМорозова Наталья Никитична</v>
      </c>
      <c r="K966" t="s">
        <v>23</v>
      </c>
      <c r="L966" t="s">
        <v>144</v>
      </c>
      <c r="M966" t="s">
        <v>444</v>
      </c>
      <c r="N966" t="str">
        <f t="shared" si="70"/>
        <v>Новикова Ольга ПетровнаАлексеева Людмила Никитична</v>
      </c>
      <c r="O966" t="s">
        <v>10</v>
      </c>
      <c r="P966" t="s">
        <v>60</v>
      </c>
      <c r="Q966" t="s">
        <v>58</v>
      </c>
    </row>
    <row r="967" spans="10:17" x14ac:dyDescent="0.25">
      <c r="J967" t="str">
        <f t="shared" si="69"/>
        <v>Громова Мария ИльиничнаМорозов Андрей Александрович</v>
      </c>
      <c r="K967" t="s">
        <v>15</v>
      </c>
      <c r="L967" t="s">
        <v>187</v>
      </c>
      <c r="M967" t="s">
        <v>445</v>
      </c>
      <c r="N967" t="str">
        <f t="shared" si="70"/>
        <v>Новикова Ольга ПетровнаСеменова Вероника Павловна</v>
      </c>
      <c r="O967" t="s">
        <v>10</v>
      </c>
      <c r="P967" t="s">
        <v>61</v>
      </c>
      <c r="Q967" t="s">
        <v>58</v>
      </c>
    </row>
    <row r="968" spans="10:17" x14ac:dyDescent="0.25">
      <c r="J968" t="str">
        <f t="shared" si="69"/>
        <v>Семенова Ирина ВалерьевнаНиколаева Ирина Владимировна</v>
      </c>
      <c r="K968" t="s">
        <v>46</v>
      </c>
      <c r="L968" t="s">
        <v>66</v>
      </c>
      <c r="M968" t="s">
        <v>445</v>
      </c>
      <c r="N968" t="str">
        <f t="shared" si="70"/>
        <v>Яковлев Артем ИгоревичЛебедев Роман Станиславович</v>
      </c>
      <c r="O968" t="s">
        <v>52</v>
      </c>
      <c r="P968" t="s">
        <v>62</v>
      </c>
      <c r="Q968" t="s">
        <v>58</v>
      </c>
    </row>
    <row r="969" spans="10:17" x14ac:dyDescent="0.25">
      <c r="J969" t="str">
        <f t="shared" si="69"/>
        <v>Иванова Анна СергеевнаСидорова Виктория Ильинична</v>
      </c>
      <c r="K969" t="s">
        <v>48</v>
      </c>
      <c r="L969" t="s">
        <v>270</v>
      </c>
      <c r="M969" t="s">
        <v>445</v>
      </c>
      <c r="N969" t="str">
        <f t="shared" si="70"/>
        <v>Яковлев Артем ИгоревичКозлов Артур Андреевич</v>
      </c>
      <c r="O969" t="s">
        <v>52</v>
      </c>
      <c r="P969" t="s">
        <v>63</v>
      </c>
      <c r="Q969" t="s">
        <v>58</v>
      </c>
    </row>
    <row r="970" spans="10:17" x14ac:dyDescent="0.25">
      <c r="J970" t="str">
        <f t="shared" si="69"/>
        <v>Белов Алексей КонстантиновичОрлов Кирилл Владимирович</v>
      </c>
      <c r="K970" t="s">
        <v>8</v>
      </c>
      <c r="L970" t="s">
        <v>79</v>
      </c>
      <c r="M970" t="s">
        <v>445</v>
      </c>
      <c r="N970" t="str">
        <f t="shared" si="70"/>
        <v>Яковлев Артем ИгоревичОрлов Алексей Сергеевич</v>
      </c>
      <c r="O970" t="s">
        <v>52</v>
      </c>
      <c r="P970" t="s">
        <v>53</v>
      </c>
      <c r="Q970" t="s">
        <v>54</v>
      </c>
    </row>
    <row r="971" spans="10:17" x14ac:dyDescent="0.25">
      <c r="J971" t="str">
        <f t="shared" si="69"/>
        <v>Ткаченко Андрей ОлеговичСидоров Павел Андреевич</v>
      </c>
      <c r="K971" t="s">
        <v>5</v>
      </c>
      <c r="L971" t="s">
        <v>287</v>
      </c>
      <c r="M971" t="s">
        <v>445</v>
      </c>
      <c r="N971" t="str">
        <f t="shared" si="70"/>
        <v>Фролов Сергей ВикторовичВолкова Валерия Олеговна</v>
      </c>
      <c r="O971" t="s">
        <v>27</v>
      </c>
      <c r="P971" t="s">
        <v>55</v>
      </c>
      <c r="Q971" t="s">
        <v>54</v>
      </c>
    </row>
    <row r="972" spans="10:17" x14ac:dyDescent="0.25">
      <c r="J972" t="str">
        <f t="shared" si="69"/>
        <v>Фролов Сергей ВикторовичВолков Никита Кириллович</v>
      </c>
      <c r="K972" t="s">
        <v>27</v>
      </c>
      <c r="L972" t="s">
        <v>240</v>
      </c>
      <c r="M972" t="s">
        <v>445</v>
      </c>
      <c r="N972" t="str">
        <f t="shared" si="70"/>
        <v>Новикова Ольга ПетровнаМорозова Ольга Геннадьевна</v>
      </c>
      <c r="O972" t="s">
        <v>10</v>
      </c>
      <c r="P972" t="s">
        <v>56</v>
      </c>
      <c r="Q972" t="s">
        <v>54</v>
      </c>
    </row>
    <row r="973" spans="10:17" x14ac:dyDescent="0.25">
      <c r="J973" t="str">
        <f t="shared" si="69"/>
        <v>Яковлев Артем ИгоревичПопова Светлана Владимировна</v>
      </c>
      <c r="K973" t="s">
        <v>52</v>
      </c>
      <c r="L973" t="s">
        <v>316</v>
      </c>
      <c r="M973" t="s">
        <v>446</v>
      </c>
      <c r="N973" t="str">
        <f t="shared" si="70"/>
        <v>Ткаченко Андрей ОлеговичМорозова Людмила Юрьевна</v>
      </c>
      <c r="O973" t="s">
        <v>5</v>
      </c>
      <c r="P973" t="s">
        <v>44</v>
      </c>
      <c r="Q973" t="s">
        <v>50</v>
      </c>
    </row>
    <row r="974" spans="10:17" x14ac:dyDescent="0.25">
      <c r="J974" t="str">
        <f t="shared" si="69"/>
        <v>Новикова Ольга ПетровнаОрлов Максим Егорович</v>
      </c>
      <c r="K974" t="s">
        <v>10</v>
      </c>
      <c r="L974" t="s">
        <v>87</v>
      </c>
      <c r="M974" t="s">
        <v>447</v>
      </c>
      <c r="N974" t="str">
        <f t="shared" si="70"/>
        <v>Ткаченко Андрей ОлеговичМорозова София Михайловна</v>
      </c>
      <c r="O974" t="s">
        <v>5</v>
      </c>
      <c r="P974" t="s">
        <v>51</v>
      </c>
      <c r="Q974" t="s">
        <v>50</v>
      </c>
    </row>
    <row r="975" spans="10:17" x14ac:dyDescent="0.25">
      <c r="J975" t="str">
        <f t="shared" si="69"/>
        <v>Громова Мария ИльиничнаФедоров Александр Дмитриевич</v>
      </c>
      <c r="K975" t="s">
        <v>15</v>
      </c>
      <c r="L975" t="s">
        <v>136</v>
      </c>
      <c r="M975" t="s">
        <v>447</v>
      </c>
      <c r="N975" t="str">
        <f t="shared" si="70"/>
        <v>Иванова Анна СергеевнаСтепанов Дмитрий Владимирович</v>
      </c>
      <c r="O975" t="s">
        <v>48</v>
      </c>
      <c r="P975" t="s">
        <v>41</v>
      </c>
      <c r="Q975" t="s">
        <v>49</v>
      </c>
    </row>
    <row r="976" spans="10:17" x14ac:dyDescent="0.25">
      <c r="J976" t="str">
        <f t="shared" si="69"/>
        <v>Фролов Сергей ВикторовичПетров Алексей Артемович</v>
      </c>
      <c r="K976" t="s">
        <v>27</v>
      </c>
      <c r="L976" t="s">
        <v>151</v>
      </c>
      <c r="M976" t="s">
        <v>448</v>
      </c>
      <c r="N976" t="str">
        <f t="shared" si="70"/>
        <v>Ткаченко Андрей ОлеговичСтепанов Дмитрий Владимирович</v>
      </c>
      <c r="O976" t="s">
        <v>5</v>
      </c>
      <c r="P976" t="s">
        <v>41</v>
      </c>
      <c r="Q976" t="s">
        <v>42</v>
      </c>
    </row>
    <row r="977" spans="10:17" x14ac:dyDescent="0.25">
      <c r="J977" t="str">
        <f t="shared" si="69"/>
        <v>Фролов Сергей ВикторовичВолкова Наталья Александровна</v>
      </c>
      <c r="K977" t="s">
        <v>27</v>
      </c>
      <c r="L977" t="s">
        <v>115</v>
      </c>
      <c r="M977" t="s">
        <v>448</v>
      </c>
      <c r="N977" t="str">
        <f t="shared" si="70"/>
        <v>Фролов Сергей ВикторовичСтепанова Виктория Алексеевна</v>
      </c>
      <c r="O977" t="s">
        <v>27</v>
      </c>
      <c r="P977" t="s">
        <v>43</v>
      </c>
      <c r="Q977" t="s">
        <v>42</v>
      </c>
    </row>
    <row r="978" spans="10:17" x14ac:dyDescent="0.25">
      <c r="J978" t="str">
        <f t="shared" si="69"/>
        <v>Орлов Павел ДенисовичСеменов Дмитрий Павлович</v>
      </c>
      <c r="K978" t="s">
        <v>17</v>
      </c>
      <c r="L978" t="s">
        <v>449</v>
      </c>
      <c r="M978" t="s">
        <v>448</v>
      </c>
      <c r="N978" t="str">
        <f t="shared" si="70"/>
        <v>Ткаченко Андрей ОлеговичМорозова Людмила Юрьевна</v>
      </c>
      <c r="O978" t="s">
        <v>5</v>
      </c>
      <c r="P978" t="s">
        <v>44</v>
      </c>
      <c r="Q978" t="s">
        <v>42</v>
      </c>
    </row>
    <row r="979" spans="10:17" x14ac:dyDescent="0.25">
      <c r="J979" t="str">
        <f t="shared" si="69"/>
        <v>Новикова Ольга ПетровнаИванова Анна Викторовна</v>
      </c>
      <c r="K979" t="s">
        <v>10</v>
      </c>
      <c r="L979" t="s">
        <v>281</v>
      </c>
      <c r="M979" t="s">
        <v>448</v>
      </c>
      <c r="N979" t="str">
        <f t="shared" si="70"/>
        <v>Сидорова Елена ВасильевнаПетров Кирилл Владимирович</v>
      </c>
      <c r="O979" t="s">
        <v>12</v>
      </c>
      <c r="P979" t="s">
        <v>45</v>
      </c>
      <c r="Q979" t="s">
        <v>42</v>
      </c>
    </row>
    <row r="980" spans="10:17" x14ac:dyDescent="0.25">
      <c r="J980" t="str">
        <f t="shared" si="69"/>
        <v>Яковлев Артем ИгоревичПетрова София Алексеевна</v>
      </c>
      <c r="K980" t="s">
        <v>52</v>
      </c>
      <c r="L980" t="s">
        <v>59</v>
      </c>
      <c r="M980" t="s">
        <v>448</v>
      </c>
      <c r="N980" t="str">
        <f t="shared" si="70"/>
        <v>Семенова Ирина ВалерьевнаВасильев Никита Викторович</v>
      </c>
      <c r="O980" t="s">
        <v>46</v>
      </c>
      <c r="P980" t="s">
        <v>47</v>
      </c>
      <c r="Q980" t="s">
        <v>42</v>
      </c>
    </row>
    <row r="981" spans="10:17" x14ac:dyDescent="0.25">
      <c r="J981" t="str">
        <f t="shared" si="69"/>
        <v>Кузнецов Дмитрий ЛьвовичЛебедева Полина Артемовна</v>
      </c>
      <c r="K981" t="s">
        <v>23</v>
      </c>
      <c r="L981" t="s">
        <v>38</v>
      </c>
      <c r="M981" t="s">
        <v>448</v>
      </c>
      <c r="N981" t="str">
        <f t="shared" si="70"/>
        <v>Белов Алексей КонстантиновичМорозов Дмитрий Кириллович</v>
      </c>
      <c r="O981" t="s">
        <v>8</v>
      </c>
      <c r="P981" t="s">
        <v>32</v>
      </c>
      <c r="Q981" t="s">
        <v>33</v>
      </c>
    </row>
    <row r="982" spans="10:17" x14ac:dyDescent="0.25">
      <c r="J982" t="str">
        <f t="shared" si="69"/>
        <v>Иванова Анна СергеевнаСеменов Андрей Кириллович</v>
      </c>
      <c r="K982" t="s">
        <v>48</v>
      </c>
      <c r="L982" t="s">
        <v>93</v>
      </c>
      <c r="M982" t="s">
        <v>448</v>
      </c>
      <c r="N982" t="str">
        <f t="shared" si="70"/>
        <v>Ткаченко Андрей ОлеговичОрлова Александра Викторовна</v>
      </c>
      <c r="O982" t="s">
        <v>5</v>
      </c>
      <c r="P982" t="s">
        <v>34</v>
      </c>
      <c r="Q982" t="s">
        <v>33</v>
      </c>
    </row>
    <row r="983" spans="10:17" x14ac:dyDescent="0.25">
      <c r="J983" t="str">
        <f t="shared" si="69"/>
        <v>Сидорова Елена ВасильевнаОрлов Владимир Геннадьевич</v>
      </c>
      <c r="K983" t="s">
        <v>12</v>
      </c>
      <c r="L983" t="s">
        <v>272</v>
      </c>
      <c r="M983" t="s">
        <v>448</v>
      </c>
      <c r="N983" t="str">
        <f t="shared" si="70"/>
        <v>Сидорова Елена ВасильевнаКозлов Дмитрий Викторович</v>
      </c>
      <c r="O983" t="s">
        <v>12</v>
      </c>
      <c r="P983" t="s">
        <v>35</v>
      </c>
      <c r="Q983" t="s">
        <v>33</v>
      </c>
    </row>
    <row r="984" spans="10:17" x14ac:dyDescent="0.25">
      <c r="J984" t="str">
        <f t="shared" si="69"/>
        <v>Фролов Сергей ВикторовичКузнецов Никита Сергеевич</v>
      </c>
      <c r="K984" t="s">
        <v>27</v>
      </c>
      <c r="L984" t="s">
        <v>248</v>
      </c>
      <c r="M984" t="s">
        <v>448</v>
      </c>
      <c r="N984" t="str">
        <f t="shared" si="70"/>
        <v>Петров Владимир КирилловичВасильева Татьяна Геннадьевна</v>
      </c>
      <c r="O984" t="s">
        <v>36</v>
      </c>
      <c r="P984" t="s">
        <v>37</v>
      </c>
      <c r="Q984" t="s">
        <v>33</v>
      </c>
    </row>
    <row r="985" spans="10:17" x14ac:dyDescent="0.25">
      <c r="J985" t="str">
        <f t="shared" si="69"/>
        <v>Яковлев Артем ИгоревичВасильева Наталья Никитична</v>
      </c>
      <c r="K985" t="s">
        <v>52</v>
      </c>
      <c r="L985" t="s">
        <v>116</v>
      </c>
      <c r="M985" t="s">
        <v>450</v>
      </c>
      <c r="N985" t="str">
        <f t="shared" si="70"/>
        <v>Кузнецов Дмитрий ЛьвовичЛебедева Полина Артемовна</v>
      </c>
      <c r="O985" t="s">
        <v>23</v>
      </c>
      <c r="P985" t="s">
        <v>38</v>
      </c>
      <c r="Q985" t="s">
        <v>33</v>
      </c>
    </row>
    <row r="986" spans="10:17" x14ac:dyDescent="0.25">
      <c r="J986" t="str">
        <f t="shared" si="69"/>
        <v>Семенова Ирина ВалерьевнаВасильев Кирилл Михайлович</v>
      </c>
      <c r="K986" t="s">
        <v>46</v>
      </c>
      <c r="L986" t="s">
        <v>95</v>
      </c>
      <c r="M986" t="s">
        <v>450</v>
      </c>
      <c r="N986" t="str">
        <f t="shared" si="70"/>
        <v>Сидорова Елена ВасильевнаЕгоров Георгий Никитич</v>
      </c>
      <c r="O986" t="s">
        <v>12</v>
      </c>
      <c r="P986" t="s">
        <v>39</v>
      </c>
      <c r="Q986" t="s">
        <v>33</v>
      </c>
    </row>
    <row r="987" spans="10:17" x14ac:dyDescent="0.25">
      <c r="J987" t="str">
        <f t="shared" si="69"/>
        <v>Ткаченко Андрей ОлеговичВасильева Мария Дмитриевна</v>
      </c>
      <c r="K987" t="s">
        <v>5</v>
      </c>
      <c r="L987" t="s">
        <v>304</v>
      </c>
      <c r="M987" t="s">
        <v>450</v>
      </c>
      <c r="N987" t="str">
        <f t="shared" si="70"/>
        <v>Новикова Ольга ПетровнаВолкова Виктория Михайловна</v>
      </c>
      <c r="O987" t="s">
        <v>10</v>
      </c>
      <c r="P987" t="s">
        <v>40</v>
      </c>
      <c r="Q987" t="s">
        <v>33</v>
      </c>
    </row>
    <row r="988" spans="10:17" x14ac:dyDescent="0.25">
      <c r="J988" t="str">
        <f t="shared" si="69"/>
        <v>Орлов Павел ДенисовичПопов Дмитрий Ильич</v>
      </c>
      <c r="K988" t="s">
        <v>17</v>
      </c>
      <c r="L988" t="s">
        <v>105</v>
      </c>
      <c r="M988" t="s">
        <v>450</v>
      </c>
      <c r="N988" t="str">
        <f t="shared" si="70"/>
        <v>Белов Алексей КонстантиновичПетрова Людмила Ильинична</v>
      </c>
      <c r="O988" t="s">
        <v>8</v>
      </c>
      <c r="P988" t="s">
        <v>29</v>
      </c>
      <c r="Q988" t="s">
        <v>30</v>
      </c>
    </row>
    <row r="989" spans="10:17" x14ac:dyDescent="0.25">
      <c r="J989" t="str">
        <f t="shared" si="69"/>
        <v>Кузнецов Дмитрий ЛьвовичНиколаев Артур Никитич</v>
      </c>
      <c r="K989" t="s">
        <v>23</v>
      </c>
      <c r="L989" t="s">
        <v>129</v>
      </c>
      <c r="M989" t="s">
        <v>451</v>
      </c>
      <c r="N989" t="str">
        <f t="shared" si="70"/>
        <v>Орлов Павел ДенисовичФедорова Наталья Александровна</v>
      </c>
      <c r="O989" t="s">
        <v>17</v>
      </c>
      <c r="P989" t="s">
        <v>31</v>
      </c>
      <c r="Q989" t="s">
        <v>30</v>
      </c>
    </row>
    <row r="990" spans="10:17" x14ac:dyDescent="0.25">
      <c r="J990" t="str">
        <f t="shared" si="69"/>
        <v>Кузнецов Дмитрий ЛьвовичИванова Анна Викторовна</v>
      </c>
      <c r="K990" t="s">
        <v>23</v>
      </c>
      <c r="L990" t="s">
        <v>281</v>
      </c>
      <c r="M990" t="s">
        <v>452</v>
      </c>
      <c r="N990" t="str">
        <f t="shared" si="70"/>
        <v>Сидорова Елена ВасильевнаСмирнова София Ивановна</v>
      </c>
      <c r="O990" t="s">
        <v>12</v>
      </c>
      <c r="P990" t="s">
        <v>25</v>
      </c>
      <c r="Q990" t="s">
        <v>26</v>
      </c>
    </row>
    <row r="991" spans="10:17" x14ac:dyDescent="0.25">
      <c r="J991" t="str">
        <f t="shared" si="69"/>
        <v>Орлов Павел ДенисовичПавлов Константин Никитич</v>
      </c>
      <c r="K991" t="s">
        <v>17</v>
      </c>
      <c r="L991" t="s">
        <v>232</v>
      </c>
      <c r="M991" t="s">
        <v>452</v>
      </c>
      <c r="N991" t="str">
        <f t="shared" si="70"/>
        <v>Фролов Сергей ВикторовичСмирнов Михаил Алексеевич</v>
      </c>
      <c r="O991" t="s">
        <v>27</v>
      </c>
      <c r="P991" t="s">
        <v>28</v>
      </c>
      <c r="Q991" t="s">
        <v>26</v>
      </c>
    </row>
    <row r="992" spans="10:17" x14ac:dyDescent="0.25">
      <c r="J992" t="str">
        <f t="shared" si="69"/>
        <v>Громова Мария ИльиничнаИванов Андрей Михайлович</v>
      </c>
      <c r="K992" t="s">
        <v>15</v>
      </c>
      <c r="L992" t="s">
        <v>229</v>
      </c>
      <c r="M992" t="s">
        <v>452</v>
      </c>
      <c r="N992" t="str">
        <f t="shared" si="70"/>
        <v>Новикова Ольга ПетровнаСмирнов Дмитрий Александрович</v>
      </c>
      <c r="O992" t="s">
        <v>10</v>
      </c>
      <c r="P992" t="s">
        <v>20</v>
      </c>
      <c r="Q992" t="s">
        <v>21</v>
      </c>
    </row>
    <row r="993" spans="10:17" x14ac:dyDescent="0.25">
      <c r="J993" t="str">
        <f t="shared" si="69"/>
        <v>Ткаченко Андрей ОлеговичЛебедев Роман Станиславович</v>
      </c>
      <c r="K993" t="s">
        <v>5</v>
      </c>
      <c r="L993" t="s">
        <v>62</v>
      </c>
      <c r="M993" t="s">
        <v>452</v>
      </c>
      <c r="N993" t="str">
        <f t="shared" si="70"/>
        <v>Новикова Ольга ПетровнаВолкова Татьяна Егоровна</v>
      </c>
      <c r="O993" t="s">
        <v>10</v>
      </c>
      <c r="P993" t="s">
        <v>22</v>
      </c>
      <c r="Q993" t="s">
        <v>21</v>
      </c>
    </row>
    <row r="994" spans="10:17" x14ac:dyDescent="0.25">
      <c r="J994" t="str">
        <f t="shared" si="69"/>
        <v>Кузнецов Дмитрий ЛьвовичФедорова Полина Павловна</v>
      </c>
      <c r="K994" t="s">
        <v>23</v>
      </c>
      <c r="L994" t="s">
        <v>244</v>
      </c>
      <c r="M994" t="s">
        <v>452</v>
      </c>
      <c r="N994" t="str">
        <f t="shared" si="70"/>
        <v>Кузнецов Дмитрий ЛьвовичПетрова Дарья Егоровна</v>
      </c>
      <c r="O994" t="s">
        <v>23</v>
      </c>
      <c r="P994" t="s">
        <v>24</v>
      </c>
      <c r="Q994" t="s">
        <v>21</v>
      </c>
    </row>
    <row r="995" spans="10:17" x14ac:dyDescent="0.25">
      <c r="J995" t="str">
        <f t="shared" si="69"/>
        <v>Иванова Анна СергеевнаИванова Анна Викторовна</v>
      </c>
      <c r="K995" t="s">
        <v>48</v>
      </c>
      <c r="L995" t="s">
        <v>281</v>
      </c>
      <c r="M995" t="s">
        <v>452</v>
      </c>
      <c r="N995" t="str">
        <f t="shared" si="70"/>
        <v>Сидорова Елена ВасильевнаСидоров Артем Викторович</v>
      </c>
      <c r="O995" t="s">
        <v>12</v>
      </c>
      <c r="P995" t="s">
        <v>13</v>
      </c>
      <c r="Q995" t="s">
        <v>14</v>
      </c>
    </row>
    <row r="996" spans="10:17" x14ac:dyDescent="0.25">
      <c r="J996" t="str">
        <f t="shared" si="69"/>
        <v>Новикова Ольга ПетровнаСмирнов Дмитрий Александрович</v>
      </c>
      <c r="K996" t="s">
        <v>10</v>
      </c>
      <c r="L996" t="s">
        <v>20</v>
      </c>
      <c r="M996" t="s">
        <v>453</v>
      </c>
      <c r="N996" t="str">
        <f t="shared" si="70"/>
        <v>Громова Мария ИльиничнаНовиков Алексей Александрович</v>
      </c>
      <c r="O996" t="s">
        <v>15</v>
      </c>
      <c r="P996" t="s">
        <v>16</v>
      </c>
      <c r="Q996" t="s">
        <v>14</v>
      </c>
    </row>
    <row r="997" spans="10:17" x14ac:dyDescent="0.25">
      <c r="J997" t="str">
        <f t="shared" si="69"/>
        <v>Новикова Ольга ПетровнаФедорова Полина Павловна</v>
      </c>
      <c r="K997" t="s">
        <v>10</v>
      </c>
      <c r="L997" t="s">
        <v>244</v>
      </c>
      <c r="M997" t="s">
        <v>453</v>
      </c>
      <c r="N997" t="str">
        <f t="shared" si="70"/>
        <v>Орлов Павел ДенисовичСидорова Полина Александровна</v>
      </c>
      <c r="O997" t="s">
        <v>17</v>
      </c>
      <c r="P997" t="s">
        <v>18</v>
      </c>
      <c r="Q997" t="s">
        <v>14</v>
      </c>
    </row>
    <row r="998" spans="10:17" x14ac:dyDescent="0.25">
      <c r="J998" t="str">
        <f t="shared" si="69"/>
        <v>Яковлев Артем ИгоревичКозлов Артур Андреевич</v>
      </c>
      <c r="K998" t="s">
        <v>52</v>
      </c>
      <c r="L998" t="s">
        <v>63</v>
      </c>
      <c r="M998" t="s">
        <v>453</v>
      </c>
      <c r="N998" t="str">
        <f t="shared" si="70"/>
        <v>Белов Алексей КонстантиновичЕгорова Полина Сергеевна</v>
      </c>
      <c r="O998" t="s">
        <v>8</v>
      </c>
      <c r="P998" t="s">
        <v>19</v>
      </c>
      <c r="Q998" t="s">
        <v>14</v>
      </c>
    </row>
    <row r="999" spans="10:17" x14ac:dyDescent="0.25">
      <c r="J999" t="str">
        <f t="shared" si="69"/>
        <v>Иванова Анна СергеевнаАлексеева Виктория Александровна</v>
      </c>
      <c r="K999" t="s">
        <v>48</v>
      </c>
      <c r="L999" t="s">
        <v>195</v>
      </c>
      <c r="M999" t="s">
        <v>454</v>
      </c>
      <c r="N999" t="str">
        <f t="shared" si="70"/>
        <v>Ткаченко Андрей ОлеговичЛебедев Павел Кириллович</v>
      </c>
      <c r="O999" t="s">
        <v>5</v>
      </c>
      <c r="P999" t="s">
        <v>6</v>
      </c>
      <c r="Q999" t="s">
        <v>7</v>
      </c>
    </row>
    <row r="1000" spans="10:17" x14ac:dyDescent="0.25">
      <c r="J1000" t="str">
        <f t="shared" si="69"/>
        <v>Иванова Анна СергеевнаСидоров Михаил Артемович</v>
      </c>
      <c r="K1000" t="s">
        <v>48</v>
      </c>
      <c r="L1000" t="s">
        <v>185</v>
      </c>
      <c r="M1000" t="s">
        <v>454</v>
      </c>
      <c r="N1000" t="str">
        <f t="shared" si="70"/>
        <v>Белов Алексей КонстантиновичПопова Ольга Егоровна</v>
      </c>
      <c r="O1000" t="s">
        <v>8</v>
      </c>
      <c r="P1000" t="s">
        <v>9</v>
      </c>
      <c r="Q1000" t="s">
        <v>7</v>
      </c>
    </row>
    <row r="1001" spans="10:17" x14ac:dyDescent="0.25">
      <c r="J1001" t="str">
        <f t="shared" si="69"/>
        <v>Ткаченко Андрей ОлеговичИванова Александра Никитична</v>
      </c>
      <c r="K1001" t="s">
        <v>5</v>
      </c>
      <c r="L1001" t="s">
        <v>264</v>
      </c>
      <c r="M1001" t="s">
        <v>454</v>
      </c>
      <c r="N1001" t="str">
        <f t="shared" si="70"/>
        <v>Новикова Ольга ПетровнаПопова Екатерина Владимировна</v>
      </c>
      <c r="O1001" t="s">
        <v>10</v>
      </c>
      <c r="P1001" t="s">
        <v>11</v>
      </c>
      <c r="Q1001" t="s">
        <v>7</v>
      </c>
    </row>
  </sheetData>
  <sortState xmlns:xlrd2="http://schemas.microsoft.com/office/spreadsheetml/2017/richdata2" ref="O2:Q1002">
    <sortCondition descending="1" ref="Q1:Q1002"/>
  </sortState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A893-0805-44C4-BF4A-BA62D8FF166F}">
  <dimension ref="A1:E800"/>
  <sheetViews>
    <sheetView workbookViewId="0">
      <selection activeCell="E2" sqref="A2:E1001"/>
    </sheetView>
  </sheetViews>
  <sheetFormatPr defaultRowHeight="15" x14ac:dyDescent="0.25"/>
  <cols>
    <col min="1" max="1" width="30.5703125" bestFit="1" customWidth="1"/>
    <col min="2" max="2" width="35.42578125" bestFit="1" customWidth="1"/>
    <col min="3" max="3" width="15" hidden="1" customWidth="1"/>
    <col min="4" max="4" width="18.140625" hidden="1" customWidth="1"/>
    <col min="5" max="5" width="8.7109375" customWidth="1"/>
  </cols>
  <sheetData>
    <row r="1" spans="1:5" x14ac:dyDescent="0.25">
      <c r="A1" t="s">
        <v>0</v>
      </c>
      <c r="B1" t="s">
        <v>1</v>
      </c>
      <c r="C1" t="s">
        <v>507</v>
      </c>
      <c r="D1" t="s">
        <v>508</v>
      </c>
      <c r="E1" t="s">
        <v>511</v>
      </c>
    </row>
    <row r="2" spans="1:5" x14ac:dyDescent="0.25">
      <c r="A2" t="s">
        <v>10</v>
      </c>
      <c r="B2" t="s">
        <v>20</v>
      </c>
      <c r="C2" t="s">
        <v>21</v>
      </c>
      <c r="D2" t="s">
        <v>453</v>
      </c>
      <c r="E2">
        <v>360</v>
      </c>
    </row>
    <row r="3" spans="1:5" x14ac:dyDescent="0.25">
      <c r="A3" t="s">
        <v>23</v>
      </c>
      <c r="B3" t="s">
        <v>38</v>
      </c>
      <c r="C3" t="s">
        <v>33</v>
      </c>
      <c r="D3" t="s">
        <v>448</v>
      </c>
      <c r="E3">
        <v>353</v>
      </c>
    </row>
    <row r="4" spans="1:5" x14ac:dyDescent="0.25">
      <c r="A4" t="s">
        <v>52</v>
      </c>
      <c r="B4" t="s">
        <v>63</v>
      </c>
      <c r="C4" t="s">
        <v>58</v>
      </c>
      <c r="D4" t="s">
        <v>453</v>
      </c>
      <c r="E4">
        <v>350</v>
      </c>
    </row>
    <row r="5" spans="1:5" x14ac:dyDescent="0.25">
      <c r="A5" t="s">
        <v>46</v>
      </c>
      <c r="B5" t="s">
        <v>66</v>
      </c>
      <c r="C5" t="s">
        <v>65</v>
      </c>
      <c r="D5" t="s">
        <v>445</v>
      </c>
      <c r="E5">
        <v>338</v>
      </c>
    </row>
    <row r="6" spans="1:5" x14ac:dyDescent="0.25">
      <c r="A6" t="s">
        <v>23</v>
      </c>
      <c r="B6" t="s">
        <v>129</v>
      </c>
      <c r="C6" t="s">
        <v>128</v>
      </c>
      <c r="D6" t="s">
        <v>451</v>
      </c>
      <c r="E6">
        <v>322</v>
      </c>
    </row>
    <row r="7" spans="1:5" x14ac:dyDescent="0.25">
      <c r="A7" t="s">
        <v>10</v>
      </c>
      <c r="B7" t="s">
        <v>87</v>
      </c>
      <c r="C7" t="s">
        <v>124</v>
      </c>
      <c r="D7" t="s">
        <v>447</v>
      </c>
      <c r="E7">
        <v>318</v>
      </c>
    </row>
    <row r="8" spans="1:5" x14ac:dyDescent="0.25">
      <c r="A8" t="s">
        <v>27</v>
      </c>
      <c r="B8" t="s">
        <v>151</v>
      </c>
      <c r="C8" t="s">
        <v>147</v>
      </c>
      <c r="D8" t="s">
        <v>448</v>
      </c>
      <c r="E8">
        <v>308</v>
      </c>
    </row>
    <row r="9" spans="1:5" x14ac:dyDescent="0.25">
      <c r="A9" t="s">
        <v>27</v>
      </c>
      <c r="B9" t="s">
        <v>43</v>
      </c>
      <c r="C9" t="s">
        <v>42</v>
      </c>
      <c r="D9" t="s">
        <v>413</v>
      </c>
      <c r="E9">
        <v>301</v>
      </c>
    </row>
    <row r="10" spans="1:5" x14ac:dyDescent="0.25">
      <c r="A10" t="s">
        <v>23</v>
      </c>
      <c r="B10" t="s">
        <v>57</v>
      </c>
      <c r="C10" t="s">
        <v>114</v>
      </c>
      <c r="D10" t="s">
        <v>421</v>
      </c>
      <c r="E10">
        <v>289</v>
      </c>
    </row>
    <row r="11" spans="1:5" x14ac:dyDescent="0.25">
      <c r="A11" t="s">
        <v>46</v>
      </c>
      <c r="B11" t="s">
        <v>47</v>
      </c>
      <c r="C11" t="s">
        <v>42</v>
      </c>
      <c r="D11" t="s">
        <v>404</v>
      </c>
      <c r="E11">
        <v>287</v>
      </c>
    </row>
    <row r="12" spans="1:5" x14ac:dyDescent="0.25">
      <c r="A12" t="s">
        <v>46</v>
      </c>
      <c r="B12" t="s">
        <v>126</v>
      </c>
      <c r="C12" t="s">
        <v>124</v>
      </c>
      <c r="D12" t="s">
        <v>418</v>
      </c>
      <c r="E12">
        <v>280</v>
      </c>
    </row>
    <row r="13" spans="1:5" x14ac:dyDescent="0.25">
      <c r="A13" t="s">
        <v>27</v>
      </c>
      <c r="B13" t="s">
        <v>118</v>
      </c>
      <c r="C13" t="s">
        <v>119</v>
      </c>
      <c r="D13" t="s">
        <v>416</v>
      </c>
      <c r="E13">
        <v>280</v>
      </c>
    </row>
    <row r="14" spans="1:5" x14ac:dyDescent="0.25">
      <c r="A14" t="s">
        <v>17</v>
      </c>
      <c r="B14" t="s">
        <v>105</v>
      </c>
      <c r="C14" t="s">
        <v>211</v>
      </c>
      <c r="D14" t="s">
        <v>450</v>
      </c>
      <c r="E14">
        <v>267</v>
      </c>
    </row>
    <row r="15" spans="1:5" x14ac:dyDescent="0.25">
      <c r="A15" t="s">
        <v>23</v>
      </c>
      <c r="B15" t="s">
        <v>95</v>
      </c>
      <c r="C15" t="s">
        <v>96</v>
      </c>
      <c r="D15" t="s">
        <v>399</v>
      </c>
      <c r="E15">
        <v>264</v>
      </c>
    </row>
    <row r="16" spans="1:5" x14ac:dyDescent="0.25">
      <c r="A16" t="s">
        <v>27</v>
      </c>
      <c r="B16" t="s">
        <v>87</v>
      </c>
      <c r="C16" t="s">
        <v>88</v>
      </c>
      <c r="D16" t="s">
        <v>398</v>
      </c>
      <c r="E16">
        <v>263</v>
      </c>
    </row>
    <row r="17" spans="1:5" x14ac:dyDescent="0.25">
      <c r="A17" t="s">
        <v>36</v>
      </c>
      <c r="B17" t="s">
        <v>161</v>
      </c>
      <c r="C17" t="s">
        <v>162</v>
      </c>
      <c r="D17" t="s">
        <v>421</v>
      </c>
      <c r="E17">
        <v>261</v>
      </c>
    </row>
    <row r="18" spans="1:5" x14ac:dyDescent="0.25">
      <c r="A18" t="s">
        <v>52</v>
      </c>
      <c r="B18" t="s">
        <v>113</v>
      </c>
      <c r="C18" t="s">
        <v>110</v>
      </c>
      <c r="D18" t="s">
        <v>402</v>
      </c>
      <c r="E18">
        <v>261</v>
      </c>
    </row>
    <row r="19" spans="1:5" x14ac:dyDescent="0.25">
      <c r="A19" t="s">
        <v>36</v>
      </c>
      <c r="B19" t="s">
        <v>55</v>
      </c>
      <c r="C19" t="s">
        <v>183</v>
      </c>
      <c r="D19" t="s">
        <v>433</v>
      </c>
      <c r="E19">
        <v>260</v>
      </c>
    </row>
    <row r="20" spans="1:5" x14ac:dyDescent="0.25">
      <c r="A20" t="s">
        <v>10</v>
      </c>
      <c r="B20" t="s">
        <v>60</v>
      </c>
      <c r="C20" t="s">
        <v>58</v>
      </c>
      <c r="D20" t="s">
        <v>385</v>
      </c>
      <c r="E20">
        <v>255</v>
      </c>
    </row>
    <row r="21" spans="1:5" x14ac:dyDescent="0.25">
      <c r="A21" t="s">
        <v>5</v>
      </c>
      <c r="B21" t="s">
        <v>131</v>
      </c>
      <c r="C21" t="s">
        <v>132</v>
      </c>
      <c r="D21" t="s">
        <v>403</v>
      </c>
      <c r="E21">
        <v>253</v>
      </c>
    </row>
    <row r="22" spans="1:5" x14ac:dyDescent="0.25">
      <c r="A22" t="s">
        <v>23</v>
      </c>
      <c r="B22" t="s">
        <v>244</v>
      </c>
      <c r="C22" t="s">
        <v>245</v>
      </c>
      <c r="D22" t="s">
        <v>452</v>
      </c>
      <c r="E22">
        <v>245</v>
      </c>
    </row>
    <row r="23" spans="1:5" x14ac:dyDescent="0.25">
      <c r="A23" t="s">
        <v>23</v>
      </c>
      <c r="B23" t="s">
        <v>184</v>
      </c>
      <c r="C23" t="s">
        <v>183</v>
      </c>
      <c r="D23" t="s">
        <v>416</v>
      </c>
      <c r="E23">
        <v>242</v>
      </c>
    </row>
    <row r="24" spans="1:5" x14ac:dyDescent="0.25">
      <c r="A24" t="s">
        <v>8</v>
      </c>
      <c r="B24" t="s">
        <v>32</v>
      </c>
      <c r="C24" t="s">
        <v>33</v>
      </c>
      <c r="D24" t="s">
        <v>370</v>
      </c>
      <c r="E24">
        <v>238</v>
      </c>
    </row>
    <row r="25" spans="1:5" x14ac:dyDescent="0.25">
      <c r="A25" t="s">
        <v>36</v>
      </c>
      <c r="B25" t="s">
        <v>139</v>
      </c>
      <c r="C25" t="s">
        <v>137</v>
      </c>
      <c r="D25" t="s">
        <v>395</v>
      </c>
      <c r="E25">
        <v>238</v>
      </c>
    </row>
    <row r="26" spans="1:5" x14ac:dyDescent="0.25">
      <c r="A26" t="s">
        <v>17</v>
      </c>
      <c r="B26" t="s">
        <v>59</v>
      </c>
      <c r="C26" t="s">
        <v>221</v>
      </c>
      <c r="D26" t="s">
        <v>434</v>
      </c>
      <c r="E26">
        <v>237</v>
      </c>
    </row>
    <row r="27" spans="1:5" x14ac:dyDescent="0.25">
      <c r="A27" t="s">
        <v>27</v>
      </c>
      <c r="B27" t="s">
        <v>115</v>
      </c>
      <c r="C27" t="s">
        <v>255</v>
      </c>
      <c r="D27" t="s">
        <v>448</v>
      </c>
      <c r="E27">
        <v>231</v>
      </c>
    </row>
    <row r="28" spans="1:5" x14ac:dyDescent="0.25">
      <c r="A28" t="s">
        <v>17</v>
      </c>
      <c r="B28" t="s">
        <v>40</v>
      </c>
      <c r="C28" t="s">
        <v>205</v>
      </c>
      <c r="D28" t="s">
        <v>416</v>
      </c>
      <c r="E28">
        <v>229</v>
      </c>
    </row>
    <row r="29" spans="1:5" x14ac:dyDescent="0.25">
      <c r="A29" t="s">
        <v>10</v>
      </c>
      <c r="B29" t="s">
        <v>56</v>
      </c>
      <c r="C29" t="s">
        <v>54</v>
      </c>
      <c r="D29" t="s">
        <v>366</v>
      </c>
      <c r="E29">
        <v>228</v>
      </c>
    </row>
    <row r="30" spans="1:5" x14ac:dyDescent="0.25">
      <c r="A30" t="s">
        <v>15</v>
      </c>
      <c r="B30" t="s">
        <v>82</v>
      </c>
      <c r="C30" t="s">
        <v>83</v>
      </c>
      <c r="D30" t="s">
        <v>371</v>
      </c>
      <c r="E30">
        <v>227</v>
      </c>
    </row>
    <row r="31" spans="1:5" x14ac:dyDescent="0.25">
      <c r="A31" t="s">
        <v>17</v>
      </c>
      <c r="B31" t="s">
        <v>84</v>
      </c>
      <c r="C31" t="s">
        <v>83</v>
      </c>
      <c r="D31" t="s">
        <v>363</v>
      </c>
      <c r="E31">
        <v>216</v>
      </c>
    </row>
    <row r="32" spans="1:5" x14ac:dyDescent="0.25">
      <c r="A32" t="s">
        <v>36</v>
      </c>
      <c r="B32" t="s">
        <v>73</v>
      </c>
      <c r="C32" t="s">
        <v>72</v>
      </c>
      <c r="D32" t="s">
        <v>358</v>
      </c>
      <c r="E32">
        <v>213</v>
      </c>
    </row>
    <row r="33" spans="1:5" x14ac:dyDescent="0.25">
      <c r="A33" t="s">
        <v>8</v>
      </c>
      <c r="B33" t="s">
        <v>235</v>
      </c>
      <c r="C33" t="s">
        <v>274</v>
      </c>
      <c r="D33" t="s">
        <v>439</v>
      </c>
      <c r="E33">
        <v>203</v>
      </c>
    </row>
    <row r="34" spans="1:5" x14ac:dyDescent="0.25">
      <c r="A34" t="s">
        <v>36</v>
      </c>
      <c r="B34" t="s">
        <v>108</v>
      </c>
      <c r="C34" t="s">
        <v>211</v>
      </c>
      <c r="D34" t="s">
        <v>404</v>
      </c>
      <c r="E34">
        <v>203</v>
      </c>
    </row>
    <row r="35" spans="1:5" x14ac:dyDescent="0.25">
      <c r="A35" t="s">
        <v>36</v>
      </c>
      <c r="B35" t="s">
        <v>107</v>
      </c>
      <c r="C35" t="s">
        <v>189</v>
      </c>
      <c r="D35" t="s">
        <v>392</v>
      </c>
      <c r="E35">
        <v>198</v>
      </c>
    </row>
    <row r="36" spans="1:5" x14ac:dyDescent="0.25">
      <c r="A36" t="s">
        <v>5</v>
      </c>
      <c r="B36" t="s">
        <v>206</v>
      </c>
      <c r="C36" t="s">
        <v>211</v>
      </c>
      <c r="D36" t="s">
        <v>399</v>
      </c>
      <c r="E36">
        <v>196</v>
      </c>
    </row>
    <row r="37" spans="1:5" x14ac:dyDescent="0.25">
      <c r="A37" t="s">
        <v>10</v>
      </c>
      <c r="B37" t="s">
        <v>195</v>
      </c>
      <c r="C37" t="s">
        <v>196</v>
      </c>
      <c r="D37" t="s">
        <v>386</v>
      </c>
      <c r="E37">
        <v>187</v>
      </c>
    </row>
    <row r="38" spans="1:5" x14ac:dyDescent="0.25">
      <c r="A38" t="s">
        <v>23</v>
      </c>
      <c r="B38" t="s">
        <v>138</v>
      </c>
      <c r="C38" t="s">
        <v>189</v>
      </c>
      <c r="D38" t="s">
        <v>382</v>
      </c>
      <c r="E38">
        <v>183</v>
      </c>
    </row>
    <row r="39" spans="1:5" x14ac:dyDescent="0.25">
      <c r="A39" t="s">
        <v>27</v>
      </c>
      <c r="B39" t="s">
        <v>235</v>
      </c>
      <c r="C39" t="s">
        <v>236</v>
      </c>
      <c r="D39" t="s">
        <v>404</v>
      </c>
      <c r="E39">
        <v>182</v>
      </c>
    </row>
    <row r="40" spans="1:5" x14ac:dyDescent="0.25">
      <c r="A40" t="s">
        <v>48</v>
      </c>
      <c r="B40" t="s">
        <v>71</v>
      </c>
      <c r="C40" t="s">
        <v>110</v>
      </c>
      <c r="D40" t="s">
        <v>343</v>
      </c>
      <c r="E40">
        <v>178</v>
      </c>
    </row>
    <row r="41" spans="1:5" x14ac:dyDescent="0.25">
      <c r="A41" t="s">
        <v>10</v>
      </c>
      <c r="B41" t="s">
        <v>123</v>
      </c>
      <c r="C41" t="s">
        <v>224</v>
      </c>
      <c r="D41" t="s">
        <v>394</v>
      </c>
      <c r="E41">
        <v>176</v>
      </c>
    </row>
    <row r="42" spans="1:5" x14ac:dyDescent="0.25">
      <c r="A42" t="s">
        <v>17</v>
      </c>
      <c r="B42" t="s">
        <v>184</v>
      </c>
      <c r="C42" t="s">
        <v>257</v>
      </c>
      <c r="D42" t="s">
        <v>409</v>
      </c>
      <c r="E42">
        <v>174</v>
      </c>
    </row>
    <row r="43" spans="1:5" x14ac:dyDescent="0.25">
      <c r="A43" t="s">
        <v>36</v>
      </c>
      <c r="B43" t="s">
        <v>136</v>
      </c>
      <c r="C43" t="s">
        <v>135</v>
      </c>
      <c r="D43" t="s">
        <v>345</v>
      </c>
      <c r="E43">
        <v>172</v>
      </c>
    </row>
    <row r="44" spans="1:5" x14ac:dyDescent="0.25">
      <c r="A44" t="s">
        <v>12</v>
      </c>
      <c r="B44" t="s">
        <v>207</v>
      </c>
      <c r="C44" t="s">
        <v>246</v>
      </c>
      <c r="D44" t="s">
        <v>399</v>
      </c>
      <c r="E44">
        <v>171</v>
      </c>
    </row>
    <row r="45" spans="1:5" x14ac:dyDescent="0.25">
      <c r="A45" t="s">
        <v>46</v>
      </c>
      <c r="B45" t="s">
        <v>131</v>
      </c>
      <c r="C45" t="s">
        <v>295</v>
      </c>
      <c r="D45" t="s">
        <v>427</v>
      </c>
      <c r="E45">
        <v>168</v>
      </c>
    </row>
    <row r="46" spans="1:5" x14ac:dyDescent="0.25">
      <c r="A46" t="s">
        <v>12</v>
      </c>
      <c r="B46" t="s">
        <v>97</v>
      </c>
      <c r="C46" t="s">
        <v>286</v>
      </c>
      <c r="D46" t="s">
        <v>422</v>
      </c>
      <c r="E46">
        <v>168</v>
      </c>
    </row>
    <row r="47" spans="1:5" x14ac:dyDescent="0.25">
      <c r="A47" t="s">
        <v>23</v>
      </c>
      <c r="B47" t="s">
        <v>75</v>
      </c>
      <c r="C47" t="s">
        <v>114</v>
      </c>
      <c r="D47" t="s">
        <v>332</v>
      </c>
      <c r="E47">
        <v>166</v>
      </c>
    </row>
    <row r="48" spans="1:5" x14ac:dyDescent="0.25">
      <c r="A48" t="s">
        <v>17</v>
      </c>
      <c r="B48" t="s">
        <v>86</v>
      </c>
      <c r="C48" t="s">
        <v>83</v>
      </c>
      <c r="D48" t="s">
        <v>315</v>
      </c>
      <c r="E48">
        <v>164</v>
      </c>
    </row>
    <row r="49" spans="1:5" x14ac:dyDescent="0.25">
      <c r="A49" t="s">
        <v>5</v>
      </c>
      <c r="B49" t="s">
        <v>62</v>
      </c>
      <c r="C49" t="s">
        <v>332</v>
      </c>
      <c r="D49" t="s">
        <v>452</v>
      </c>
      <c r="E49">
        <v>164</v>
      </c>
    </row>
    <row r="50" spans="1:5" x14ac:dyDescent="0.25">
      <c r="A50" t="s">
        <v>52</v>
      </c>
      <c r="B50" t="s">
        <v>122</v>
      </c>
      <c r="C50" t="s">
        <v>277</v>
      </c>
      <c r="D50" t="s">
        <v>413</v>
      </c>
      <c r="E50">
        <v>164</v>
      </c>
    </row>
    <row r="51" spans="1:5" x14ac:dyDescent="0.25">
      <c r="A51" t="s">
        <v>15</v>
      </c>
      <c r="B51" t="s">
        <v>163</v>
      </c>
      <c r="C51" t="s">
        <v>215</v>
      </c>
      <c r="D51" t="s">
        <v>379</v>
      </c>
      <c r="E51">
        <v>162</v>
      </c>
    </row>
    <row r="52" spans="1:5" x14ac:dyDescent="0.25">
      <c r="A52" t="s">
        <v>48</v>
      </c>
      <c r="B52" t="s">
        <v>270</v>
      </c>
      <c r="C52" t="s">
        <v>327</v>
      </c>
      <c r="D52" t="s">
        <v>445</v>
      </c>
      <c r="E52">
        <v>161</v>
      </c>
    </row>
    <row r="53" spans="1:5" x14ac:dyDescent="0.25">
      <c r="A53" t="s">
        <v>12</v>
      </c>
      <c r="B53" t="s">
        <v>86</v>
      </c>
      <c r="C53" t="s">
        <v>147</v>
      </c>
      <c r="D53" t="s">
        <v>344</v>
      </c>
      <c r="E53">
        <v>161</v>
      </c>
    </row>
    <row r="54" spans="1:5" x14ac:dyDescent="0.25">
      <c r="A54" t="s">
        <v>5</v>
      </c>
      <c r="B54" t="s">
        <v>304</v>
      </c>
      <c r="C54" t="s">
        <v>333</v>
      </c>
      <c r="D54" t="s">
        <v>450</v>
      </c>
      <c r="E54">
        <v>161</v>
      </c>
    </row>
    <row r="55" spans="1:5" x14ac:dyDescent="0.25">
      <c r="A55" t="s">
        <v>46</v>
      </c>
      <c r="B55" t="s">
        <v>235</v>
      </c>
      <c r="C55" t="s">
        <v>254</v>
      </c>
      <c r="D55" t="s">
        <v>395</v>
      </c>
      <c r="E55">
        <v>157</v>
      </c>
    </row>
    <row r="56" spans="1:5" x14ac:dyDescent="0.25">
      <c r="A56" t="s">
        <v>17</v>
      </c>
      <c r="B56" t="s">
        <v>62</v>
      </c>
      <c r="C56" t="s">
        <v>262</v>
      </c>
      <c r="D56" t="s">
        <v>399</v>
      </c>
      <c r="E56">
        <v>154</v>
      </c>
    </row>
    <row r="57" spans="1:5" x14ac:dyDescent="0.25">
      <c r="A57" t="s">
        <v>5</v>
      </c>
      <c r="B57" t="s">
        <v>108</v>
      </c>
      <c r="C57" t="s">
        <v>137</v>
      </c>
      <c r="D57" t="s">
        <v>332</v>
      </c>
      <c r="E57">
        <v>154</v>
      </c>
    </row>
    <row r="58" spans="1:5" x14ac:dyDescent="0.25">
      <c r="A58" t="s">
        <v>17</v>
      </c>
      <c r="B58" t="s">
        <v>195</v>
      </c>
      <c r="C58" t="s">
        <v>340</v>
      </c>
      <c r="D58" t="s">
        <v>443</v>
      </c>
      <c r="E58">
        <v>146</v>
      </c>
    </row>
    <row r="59" spans="1:5" x14ac:dyDescent="0.25">
      <c r="A59" t="s">
        <v>27</v>
      </c>
      <c r="B59" t="s">
        <v>75</v>
      </c>
      <c r="C59" t="s">
        <v>321</v>
      </c>
      <c r="D59" t="s">
        <v>427</v>
      </c>
      <c r="E59">
        <v>144</v>
      </c>
    </row>
    <row r="60" spans="1:5" x14ac:dyDescent="0.25">
      <c r="A60" t="s">
        <v>12</v>
      </c>
      <c r="B60" t="s">
        <v>107</v>
      </c>
      <c r="C60" t="s">
        <v>332</v>
      </c>
      <c r="D60" t="s">
        <v>436</v>
      </c>
      <c r="E60">
        <v>143</v>
      </c>
    </row>
    <row r="61" spans="1:5" x14ac:dyDescent="0.25">
      <c r="A61" t="s">
        <v>8</v>
      </c>
      <c r="B61" t="s">
        <v>9</v>
      </c>
      <c r="C61" t="s">
        <v>7</v>
      </c>
      <c r="D61" t="s">
        <v>267</v>
      </c>
      <c r="E61">
        <v>140</v>
      </c>
    </row>
    <row r="62" spans="1:5" x14ac:dyDescent="0.25">
      <c r="A62" t="s">
        <v>15</v>
      </c>
      <c r="B62" t="s">
        <v>85</v>
      </c>
      <c r="C62" t="s">
        <v>132</v>
      </c>
      <c r="D62" t="s">
        <v>311</v>
      </c>
      <c r="E62">
        <v>140</v>
      </c>
    </row>
    <row r="63" spans="1:5" x14ac:dyDescent="0.25">
      <c r="A63" t="s">
        <v>46</v>
      </c>
      <c r="B63" t="s">
        <v>82</v>
      </c>
      <c r="C63" t="s">
        <v>344</v>
      </c>
      <c r="D63" t="s">
        <v>443</v>
      </c>
      <c r="E63">
        <v>140</v>
      </c>
    </row>
    <row r="64" spans="1:5" x14ac:dyDescent="0.25">
      <c r="A64" t="s">
        <v>27</v>
      </c>
      <c r="B64" t="s">
        <v>66</v>
      </c>
      <c r="C64" t="s">
        <v>83</v>
      </c>
      <c r="D64" t="s">
        <v>294</v>
      </c>
      <c r="E64">
        <v>140</v>
      </c>
    </row>
    <row r="65" spans="1:5" x14ac:dyDescent="0.25">
      <c r="A65" t="s">
        <v>36</v>
      </c>
      <c r="B65" t="s">
        <v>125</v>
      </c>
      <c r="C65" t="s">
        <v>124</v>
      </c>
      <c r="D65" t="s">
        <v>307</v>
      </c>
      <c r="E65">
        <v>136</v>
      </c>
    </row>
    <row r="66" spans="1:5" x14ac:dyDescent="0.25">
      <c r="A66" t="s">
        <v>27</v>
      </c>
      <c r="B66" t="s">
        <v>271</v>
      </c>
      <c r="C66" t="s">
        <v>269</v>
      </c>
      <c r="D66" t="s">
        <v>392</v>
      </c>
      <c r="E66">
        <v>135</v>
      </c>
    </row>
    <row r="67" spans="1:5" x14ac:dyDescent="0.25">
      <c r="A67" t="s">
        <v>17</v>
      </c>
      <c r="B67" t="s">
        <v>18</v>
      </c>
      <c r="C67" t="s">
        <v>14</v>
      </c>
      <c r="D67" t="s">
        <v>262</v>
      </c>
      <c r="E67">
        <v>133</v>
      </c>
    </row>
    <row r="68" spans="1:5" x14ac:dyDescent="0.25">
      <c r="A68" t="s">
        <v>12</v>
      </c>
      <c r="B68" t="s">
        <v>151</v>
      </c>
      <c r="C68" t="s">
        <v>324</v>
      </c>
      <c r="D68" t="s">
        <v>422</v>
      </c>
      <c r="E68">
        <v>133</v>
      </c>
    </row>
    <row r="69" spans="1:5" x14ac:dyDescent="0.25">
      <c r="A69" t="s">
        <v>10</v>
      </c>
      <c r="B69" t="s">
        <v>256</v>
      </c>
      <c r="C69" t="s">
        <v>307</v>
      </c>
      <c r="D69" t="s">
        <v>411</v>
      </c>
      <c r="E69">
        <v>131</v>
      </c>
    </row>
    <row r="70" spans="1:5" x14ac:dyDescent="0.25">
      <c r="A70" t="s">
        <v>17</v>
      </c>
      <c r="B70" t="s">
        <v>131</v>
      </c>
      <c r="C70" t="s">
        <v>145</v>
      </c>
      <c r="D70" t="s">
        <v>308</v>
      </c>
      <c r="E70">
        <v>129</v>
      </c>
    </row>
    <row r="71" spans="1:5" x14ac:dyDescent="0.25">
      <c r="A71" t="s">
        <v>15</v>
      </c>
      <c r="B71" t="s">
        <v>86</v>
      </c>
      <c r="C71" t="s">
        <v>221</v>
      </c>
      <c r="D71" t="s">
        <v>357</v>
      </c>
      <c r="E71">
        <v>128</v>
      </c>
    </row>
    <row r="72" spans="1:5" x14ac:dyDescent="0.25">
      <c r="A72" t="s">
        <v>15</v>
      </c>
      <c r="B72" t="s">
        <v>111</v>
      </c>
      <c r="C72" t="s">
        <v>308</v>
      </c>
      <c r="D72" t="s">
        <v>410</v>
      </c>
      <c r="E72">
        <v>127</v>
      </c>
    </row>
    <row r="73" spans="1:5" x14ac:dyDescent="0.25">
      <c r="A73" t="s">
        <v>46</v>
      </c>
      <c r="B73" t="s">
        <v>116</v>
      </c>
      <c r="C73" t="s">
        <v>217</v>
      </c>
      <c r="D73" t="s">
        <v>353</v>
      </c>
      <c r="E73">
        <v>127</v>
      </c>
    </row>
    <row r="74" spans="1:5" x14ac:dyDescent="0.25">
      <c r="A74" t="s">
        <v>36</v>
      </c>
      <c r="B74" t="s">
        <v>195</v>
      </c>
      <c r="C74" t="s">
        <v>333</v>
      </c>
      <c r="D74" t="s">
        <v>422</v>
      </c>
      <c r="E74">
        <v>125</v>
      </c>
    </row>
    <row r="75" spans="1:5" x14ac:dyDescent="0.25">
      <c r="A75" t="s">
        <v>46</v>
      </c>
      <c r="B75" t="s">
        <v>281</v>
      </c>
      <c r="C75" t="s">
        <v>352</v>
      </c>
      <c r="D75" t="s">
        <v>439</v>
      </c>
      <c r="E75">
        <v>124</v>
      </c>
    </row>
    <row r="76" spans="1:5" x14ac:dyDescent="0.25">
      <c r="A76" t="s">
        <v>8</v>
      </c>
      <c r="B76" t="s">
        <v>20</v>
      </c>
      <c r="C76" t="s">
        <v>179</v>
      </c>
      <c r="D76" t="s">
        <v>331</v>
      </c>
      <c r="E76">
        <v>123</v>
      </c>
    </row>
    <row r="77" spans="1:5" x14ac:dyDescent="0.25">
      <c r="A77" t="s">
        <v>17</v>
      </c>
      <c r="B77" t="s">
        <v>34</v>
      </c>
      <c r="C77" t="s">
        <v>255</v>
      </c>
      <c r="D77" t="s">
        <v>376</v>
      </c>
      <c r="E77">
        <v>123</v>
      </c>
    </row>
    <row r="78" spans="1:5" x14ac:dyDescent="0.25">
      <c r="A78" t="s">
        <v>27</v>
      </c>
      <c r="B78" t="s">
        <v>74</v>
      </c>
      <c r="C78" t="s">
        <v>196</v>
      </c>
      <c r="D78" t="s">
        <v>339</v>
      </c>
      <c r="E78">
        <v>123</v>
      </c>
    </row>
    <row r="79" spans="1:5" x14ac:dyDescent="0.25">
      <c r="A79" t="s">
        <v>46</v>
      </c>
      <c r="B79" t="s">
        <v>171</v>
      </c>
      <c r="C79" t="s">
        <v>169</v>
      </c>
      <c r="D79" t="s">
        <v>319</v>
      </c>
      <c r="E79">
        <v>121</v>
      </c>
    </row>
    <row r="80" spans="1:5" x14ac:dyDescent="0.25">
      <c r="A80" t="s">
        <v>23</v>
      </c>
      <c r="B80" t="s">
        <v>71</v>
      </c>
      <c r="C80" t="s">
        <v>88</v>
      </c>
      <c r="D80" t="s">
        <v>274</v>
      </c>
      <c r="E80">
        <v>120</v>
      </c>
    </row>
    <row r="81" spans="1:5" x14ac:dyDescent="0.25">
      <c r="A81" t="s">
        <v>52</v>
      </c>
      <c r="B81" t="s">
        <v>45</v>
      </c>
      <c r="C81" t="s">
        <v>155</v>
      </c>
      <c r="D81" t="s">
        <v>309</v>
      </c>
      <c r="E81">
        <v>120</v>
      </c>
    </row>
    <row r="82" spans="1:5" x14ac:dyDescent="0.25">
      <c r="A82" t="s">
        <v>10</v>
      </c>
      <c r="B82" t="s">
        <v>102</v>
      </c>
      <c r="C82" t="s">
        <v>100</v>
      </c>
      <c r="D82" t="s">
        <v>269</v>
      </c>
      <c r="E82">
        <v>116</v>
      </c>
    </row>
    <row r="83" spans="1:5" x14ac:dyDescent="0.25">
      <c r="A83" t="s">
        <v>27</v>
      </c>
      <c r="B83" t="s">
        <v>138</v>
      </c>
      <c r="C83" t="s">
        <v>137</v>
      </c>
      <c r="D83" t="s">
        <v>286</v>
      </c>
      <c r="E83">
        <v>112</v>
      </c>
    </row>
    <row r="84" spans="1:5" x14ac:dyDescent="0.25">
      <c r="A84" t="s">
        <v>15</v>
      </c>
      <c r="B84" t="s">
        <v>165</v>
      </c>
      <c r="C84" t="s">
        <v>310</v>
      </c>
      <c r="D84" t="s">
        <v>399</v>
      </c>
      <c r="E84">
        <v>110</v>
      </c>
    </row>
    <row r="85" spans="1:5" x14ac:dyDescent="0.25">
      <c r="A85" t="s">
        <v>46</v>
      </c>
      <c r="B85" t="s">
        <v>6</v>
      </c>
      <c r="C85" t="s">
        <v>356</v>
      </c>
      <c r="D85" t="s">
        <v>434</v>
      </c>
      <c r="E85">
        <v>110</v>
      </c>
    </row>
    <row r="86" spans="1:5" x14ac:dyDescent="0.25">
      <c r="A86" t="s">
        <v>27</v>
      </c>
      <c r="B86" t="s">
        <v>81</v>
      </c>
      <c r="C86" t="s">
        <v>78</v>
      </c>
      <c r="D86" t="s">
        <v>257</v>
      </c>
      <c r="E86">
        <v>110</v>
      </c>
    </row>
    <row r="87" spans="1:5" x14ac:dyDescent="0.25">
      <c r="A87" t="s">
        <v>36</v>
      </c>
      <c r="B87" t="s">
        <v>158</v>
      </c>
      <c r="C87" t="s">
        <v>155</v>
      </c>
      <c r="D87" t="s">
        <v>299</v>
      </c>
      <c r="E87">
        <v>108</v>
      </c>
    </row>
    <row r="88" spans="1:5" x14ac:dyDescent="0.25">
      <c r="A88" t="s">
        <v>23</v>
      </c>
      <c r="B88" t="s">
        <v>146</v>
      </c>
      <c r="C88" t="s">
        <v>179</v>
      </c>
      <c r="D88" t="s">
        <v>307</v>
      </c>
      <c r="E88">
        <v>102</v>
      </c>
    </row>
    <row r="89" spans="1:5" x14ac:dyDescent="0.25">
      <c r="A89" t="s">
        <v>17</v>
      </c>
      <c r="B89" t="s">
        <v>37</v>
      </c>
      <c r="C89" t="s">
        <v>189</v>
      </c>
      <c r="D89" t="s">
        <v>314</v>
      </c>
      <c r="E89">
        <v>102</v>
      </c>
    </row>
    <row r="90" spans="1:5" x14ac:dyDescent="0.25">
      <c r="A90" t="s">
        <v>52</v>
      </c>
      <c r="B90" t="s">
        <v>73</v>
      </c>
      <c r="C90" t="s">
        <v>354</v>
      </c>
      <c r="D90" t="s">
        <v>423</v>
      </c>
      <c r="E90">
        <v>99</v>
      </c>
    </row>
    <row r="91" spans="1:5" x14ac:dyDescent="0.25">
      <c r="A91" t="s">
        <v>15</v>
      </c>
      <c r="B91" t="s">
        <v>248</v>
      </c>
      <c r="C91" t="s">
        <v>247</v>
      </c>
      <c r="D91" t="s">
        <v>349</v>
      </c>
      <c r="E91">
        <v>98</v>
      </c>
    </row>
    <row r="92" spans="1:5" x14ac:dyDescent="0.25">
      <c r="A92" t="s">
        <v>17</v>
      </c>
      <c r="B92" t="s">
        <v>101</v>
      </c>
      <c r="C92" t="s">
        <v>309</v>
      </c>
      <c r="D92" t="s">
        <v>390</v>
      </c>
      <c r="E92">
        <v>97</v>
      </c>
    </row>
    <row r="93" spans="1:5" x14ac:dyDescent="0.25">
      <c r="A93" t="s">
        <v>8</v>
      </c>
      <c r="B93" t="s">
        <v>47</v>
      </c>
      <c r="C93" t="s">
        <v>152</v>
      </c>
      <c r="D93" t="s">
        <v>283</v>
      </c>
      <c r="E93">
        <v>96</v>
      </c>
    </row>
    <row r="94" spans="1:5" x14ac:dyDescent="0.25">
      <c r="A94" t="s">
        <v>10</v>
      </c>
      <c r="B94" t="s">
        <v>64</v>
      </c>
      <c r="C94" t="s">
        <v>349</v>
      </c>
      <c r="D94" t="s">
        <v>413</v>
      </c>
      <c r="E94">
        <v>91</v>
      </c>
    </row>
    <row r="95" spans="1:5" x14ac:dyDescent="0.25">
      <c r="A95" t="s">
        <v>36</v>
      </c>
      <c r="B95" t="s">
        <v>47</v>
      </c>
      <c r="C95" t="s">
        <v>222</v>
      </c>
      <c r="D95" t="s">
        <v>324</v>
      </c>
      <c r="E95">
        <v>89</v>
      </c>
    </row>
    <row r="96" spans="1:5" x14ac:dyDescent="0.25">
      <c r="A96" t="s">
        <v>36</v>
      </c>
      <c r="B96" t="s">
        <v>364</v>
      </c>
      <c r="C96" t="s">
        <v>363</v>
      </c>
      <c r="D96" t="s">
        <v>422</v>
      </c>
      <c r="E96">
        <v>88</v>
      </c>
    </row>
    <row r="97" spans="1:5" x14ac:dyDescent="0.25">
      <c r="A97" t="s">
        <v>12</v>
      </c>
      <c r="B97" t="s">
        <v>281</v>
      </c>
      <c r="C97" t="s">
        <v>279</v>
      </c>
      <c r="D97" t="s">
        <v>363</v>
      </c>
      <c r="E97">
        <v>87</v>
      </c>
    </row>
    <row r="98" spans="1:5" x14ac:dyDescent="0.25">
      <c r="A98" t="s">
        <v>5</v>
      </c>
      <c r="B98" t="s">
        <v>296</v>
      </c>
      <c r="C98" t="s">
        <v>306</v>
      </c>
      <c r="D98" t="s">
        <v>380</v>
      </c>
      <c r="E98">
        <v>86</v>
      </c>
    </row>
    <row r="99" spans="1:5" x14ac:dyDescent="0.25">
      <c r="A99" t="s">
        <v>17</v>
      </c>
      <c r="B99" t="s">
        <v>270</v>
      </c>
      <c r="C99" t="s">
        <v>354</v>
      </c>
      <c r="D99" t="s">
        <v>413</v>
      </c>
      <c r="E99">
        <v>84</v>
      </c>
    </row>
    <row r="100" spans="1:5" x14ac:dyDescent="0.25">
      <c r="A100" t="s">
        <v>46</v>
      </c>
      <c r="B100" t="s">
        <v>248</v>
      </c>
      <c r="C100" t="s">
        <v>348</v>
      </c>
      <c r="D100" t="s">
        <v>407</v>
      </c>
      <c r="E100">
        <v>83</v>
      </c>
    </row>
    <row r="101" spans="1:5" x14ac:dyDescent="0.25">
      <c r="A101" t="s">
        <v>23</v>
      </c>
      <c r="B101" t="s">
        <v>87</v>
      </c>
      <c r="C101" t="s">
        <v>178</v>
      </c>
      <c r="D101" t="s">
        <v>279</v>
      </c>
      <c r="E101">
        <v>80</v>
      </c>
    </row>
    <row r="102" spans="1:5" x14ac:dyDescent="0.25">
      <c r="A102" t="s">
        <v>52</v>
      </c>
      <c r="B102" t="s">
        <v>70</v>
      </c>
      <c r="C102" t="s">
        <v>378</v>
      </c>
      <c r="D102" t="s">
        <v>431</v>
      </c>
      <c r="E102">
        <v>77</v>
      </c>
    </row>
    <row r="103" spans="1:5" x14ac:dyDescent="0.25">
      <c r="A103" t="s">
        <v>48</v>
      </c>
      <c r="B103" t="s">
        <v>238</v>
      </c>
      <c r="C103" t="s">
        <v>380</v>
      </c>
      <c r="D103" t="s">
        <v>432</v>
      </c>
      <c r="E103">
        <v>76</v>
      </c>
    </row>
    <row r="104" spans="1:5" x14ac:dyDescent="0.25">
      <c r="A104" t="s">
        <v>8</v>
      </c>
      <c r="B104" t="s">
        <v>79</v>
      </c>
      <c r="C104" t="s">
        <v>394</v>
      </c>
      <c r="D104" t="s">
        <v>445</v>
      </c>
      <c r="E104">
        <v>75</v>
      </c>
    </row>
    <row r="105" spans="1:5" x14ac:dyDescent="0.25">
      <c r="A105" t="s">
        <v>23</v>
      </c>
      <c r="B105" t="s">
        <v>195</v>
      </c>
      <c r="C105" t="s">
        <v>388</v>
      </c>
      <c r="D105" t="s">
        <v>437</v>
      </c>
      <c r="E105">
        <v>74</v>
      </c>
    </row>
    <row r="106" spans="1:5" x14ac:dyDescent="0.25">
      <c r="A106" t="s">
        <v>48</v>
      </c>
      <c r="B106" t="s">
        <v>24</v>
      </c>
      <c r="C106" t="s">
        <v>347</v>
      </c>
      <c r="D106" t="s">
        <v>398</v>
      </c>
      <c r="E106">
        <v>71</v>
      </c>
    </row>
    <row r="107" spans="1:5" x14ac:dyDescent="0.25">
      <c r="A107" t="s">
        <v>10</v>
      </c>
      <c r="B107" t="s">
        <v>281</v>
      </c>
      <c r="C107" t="s">
        <v>400</v>
      </c>
      <c r="D107" t="s">
        <v>448</v>
      </c>
      <c r="E107">
        <v>69</v>
      </c>
    </row>
    <row r="108" spans="1:5" x14ac:dyDescent="0.25">
      <c r="A108" t="s">
        <v>48</v>
      </c>
      <c r="B108" t="s">
        <v>98</v>
      </c>
      <c r="C108" t="s">
        <v>96</v>
      </c>
      <c r="D108" t="s">
        <v>211</v>
      </c>
      <c r="E108">
        <v>68</v>
      </c>
    </row>
    <row r="109" spans="1:5" x14ac:dyDescent="0.25">
      <c r="A109" t="s">
        <v>52</v>
      </c>
      <c r="B109" t="s">
        <v>59</v>
      </c>
      <c r="C109" t="s">
        <v>401</v>
      </c>
      <c r="D109" t="s">
        <v>448</v>
      </c>
      <c r="E109">
        <v>68</v>
      </c>
    </row>
    <row r="110" spans="1:5" x14ac:dyDescent="0.25">
      <c r="A110" t="s">
        <v>17</v>
      </c>
      <c r="B110" t="s">
        <v>79</v>
      </c>
      <c r="C110" t="s">
        <v>255</v>
      </c>
      <c r="D110" t="s">
        <v>327</v>
      </c>
      <c r="E110">
        <v>65</v>
      </c>
    </row>
    <row r="111" spans="1:5" x14ac:dyDescent="0.25">
      <c r="A111" t="s">
        <v>12</v>
      </c>
      <c r="B111" t="s">
        <v>256</v>
      </c>
      <c r="C111" t="s">
        <v>395</v>
      </c>
      <c r="D111" t="s">
        <v>437</v>
      </c>
      <c r="E111">
        <v>63</v>
      </c>
    </row>
    <row r="112" spans="1:5" x14ac:dyDescent="0.25">
      <c r="A112" t="s">
        <v>12</v>
      </c>
      <c r="B112" t="s">
        <v>24</v>
      </c>
      <c r="C112" t="s">
        <v>279</v>
      </c>
      <c r="D112" t="s">
        <v>344</v>
      </c>
      <c r="E112">
        <v>63</v>
      </c>
    </row>
    <row r="113" spans="1:5" x14ac:dyDescent="0.25">
      <c r="A113" t="s">
        <v>27</v>
      </c>
      <c r="B113" t="s">
        <v>229</v>
      </c>
      <c r="C113" t="s">
        <v>369</v>
      </c>
      <c r="D113" t="s">
        <v>412</v>
      </c>
      <c r="E113">
        <v>63</v>
      </c>
    </row>
    <row r="114" spans="1:5" x14ac:dyDescent="0.25">
      <c r="A114" t="s">
        <v>36</v>
      </c>
      <c r="B114" t="s">
        <v>232</v>
      </c>
      <c r="C114" t="s">
        <v>254</v>
      </c>
      <c r="D114" t="s">
        <v>318</v>
      </c>
      <c r="E114">
        <v>60</v>
      </c>
    </row>
    <row r="115" spans="1:5" x14ac:dyDescent="0.25">
      <c r="A115" t="s">
        <v>17</v>
      </c>
      <c r="B115" t="s">
        <v>193</v>
      </c>
      <c r="C115" t="s">
        <v>192</v>
      </c>
      <c r="D115" t="s">
        <v>267</v>
      </c>
      <c r="E115">
        <v>59</v>
      </c>
    </row>
    <row r="116" spans="1:5" x14ac:dyDescent="0.25">
      <c r="A116" t="s">
        <v>46</v>
      </c>
      <c r="B116" t="s">
        <v>102</v>
      </c>
      <c r="C116" t="s">
        <v>371</v>
      </c>
      <c r="D116" t="s">
        <v>409</v>
      </c>
      <c r="E116">
        <v>56</v>
      </c>
    </row>
    <row r="117" spans="1:5" x14ac:dyDescent="0.25">
      <c r="A117" t="s">
        <v>5</v>
      </c>
      <c r="B117" t="s">
        <v>302</v>
      </c>
      <c r="C117" t="s">
        <v>301</v>
      </c>
      <c r="D117" t="s">
        <v>352</v>
      </c>
      <c r="E117">
        <v>55</v>
      </c>
    </row>
    <row r="118" spans="1:5" x14ac:dyDescent="0.25">
      <c r="A118" t="s">
        <v>5</v>
      </c>
      <c r="B118" t="s">
        <v>191</v>
      </c>
      <c r="C118" t="s">
        <v>213</v>
      </c>
      <c r="D118" t="s">
        <v>279</v>
      </c>
      <c r="E118">
        <v>55</v>
      </c>
    </row>
    <row r="119" spans="1:5" x14ac:dyDescent="0.25">
      <c r="A119" t="s">
        <v>5</v>
      </c>
      <c r="B119" t="s">
        <v>39</v>
      </c>
      <c r="C119" t="s">
        <v>225</v>
      </c>
      <c r="D119" t="s">
        <v>286</v>
      </c>
      <c r="E119">
        <v>52</v>
      </c>
    </row>
    <row r="120" spans="1:5" x14ac:dyDescent="0.25">
      <c r="A120" t="s">
        <v>27</v>
      </c>
      <c r="B120" t="s">
        <v>113</v>
      </c>
      <c r="C120" t="s">
        <v>255</v>
      </c>
      <c r="D120" t="s">
        <v>310</v>
      </c>
      <c r="E120">
        <v>51</v>
      </c>
    </row>
    <row r="121" spans="1:5" x14ac:dyDescent="0.25">
      <c r="A121" t="s">
        <v>48</v>
      </c>
      <c r="B121" t="s">
        <v>125</v>
      </c>
      <c r="C121" t="s">
        <v>295</v>
      </c>
      <c r="D121" t="s">
        <v>344</v>
      </c>
      <c r="E121">
        <v>49</v>
      </c>
    </row>
    <row r="122" spans="1:5" x14ac:dyDescent="0.25">
      <c r="A122" t="s">
        <v>8</v>
      </c>
      <c r="B122" t="s">
        <v>138</v>
      </c>
      <c r="C122" t="s">
        <v>337</v>
      </c>
      <c r="D122" t="s">
        <v>373</v>
      </c>
      <c r="E122">
        <v>46</v>
      </c>
    </row>
    <row r="123" spans="1:5" x14ac:dyDescent="0.25">
      <c r="A123" t="s">
        <v>46</v>
      </c>
      <c r="B123" t="s">
        <v>316</v>
      </c>
      <c r="C123" t="s">
        <v>339</v>
      </c>
      <c r="D123" t="s">
        <v>376</v>
      </c>
      <c r="E123">
        <v>46</v>
      </c>
    </row>
    <row r="124" spans="1:5" x14ac:dyDescent="0.25">
      <c r="A124" t="s">
        <v>46</v>
      </c>
      <c r="B124" t="s">
        <v>93</v>
      </c>
      <c r="C124" t="s">
        <v>132</v>
      </c>
      <c r="D124" t="s">
        <v>201</v>
      </c>
      <c r="E124">
        <v>46</v>
      </c>
    </row>
    <row r="125" spans="1:5" x14ac:dyDescent="0.25">
      <c r="A125" t="s">
        <v>8</v>
      </c>
      <c r="B125" t="s">
        <v>25</v>
      </c>
      <c r="C125" t="s">
        <v>226</v>
      </c>
      <c r="D125" t="s">
        <v>284</v>
      </c>
      <c r="E125">
        <v>44</v>
      </c>
    </row>
    <row r="126" spans="1:5" x14ac:dyDescent="0.25">
      <c r="A126" t="s">
        <v>52</v>
      </c>
      <c r="B126" t="s">
        <v>116</v>
      </c>
      <c r="C126" t="s">
        <v>416</v>
      </c>
      <c r="D126" t="s">
        <v>450</v>
      </c>
      <c r="E126">
        <v>43</v>
      </c>
    </row>
    <row r="127" spans="1:5" x14ac:dyDescent="0.25">
      <c r="A127" t="s">
        <v>48</v>
      </c>
      <c r="B127" t="s">
        <v>87</v>
      </c>
      <c r="C127" t="s">
        <v>94</v>
      </c>
      <c r="D127" t="s">
        <v>169</v>
      </c>
      <c r="E127">
        <v>41</v>
      </c>
    </row>
    <row r="128" spans="1:5" x14ac:dyDescent="0.25">
      <c r="A128" t="s">
        <v>15</v>
      </c>
      <c r="B128" t="s">
        <v>16</v>
      </c>
      <c r="C128" t="s">
        <v>14</v>
      </c>
      <c r="D128" t="s">
        <v>135</v>
      </c>
      <c r="E128">
        <v>39</v>
      </c>
    </row>
    <row r="129" spans="1:5" x14ac:dyDescent="0.25">
      <c r="A129" t="s">
        <v>15</v>
      </c>
      <c r="B129" t="s">
        <v>173</v>
      </c>
      <c r="C129" t="s">
        <v>326</v>
      </c>
      <c r="D129" t="s">
        <v>357</v>
      </c>
      <c r="E129">
        <v>37</v>
      </c>
    </row>
    <row r="130" spans="1:5" x14ac:dyDescent="0.25">
      <c r="A130" t="s">
        <v>8</v>
      </c>
      <c r="B130" t="s">
        <v>170</v>
      </c>
      <c r="C130" t="s">
        <v>399</v>
      </c>
      <c r="D130" t="s">
        <v>423</v>
      </c>
      <c r="E130">
        <v>36</v>
      </c>
    </row>
    <row r="131" spans="1:5" x14ac:dyDescent="0.25">
      <c r="A131" t="s">
        <v>17</v>
      </c>
      <c r="B131" t="s">
        <v>249</v>
      </c>
      <c r="C131" t="s">
        <v>247</v>
      </c>
      <c r="D131" t="s">
        <v>288</v>
      </c>
      <c r="E131">
        <v>36</v>
      </c>
    </row>
    <row r="132" spans="1:5" x14ac:dyDescent="0.25">
      <c r="A132" t="s">
        <v>23</v>
      </c>
      <c r="B132" t="s">
        <v>235</v>
      </c>
      <c r="C132" t="s">
        <v>349</v>
      </c>
      <c r="D132" t="s">
        <v>377</v>
      </c>
      <c r="E132">
        <v>35</v>
      </c>
    </row>
    <row r="133" spans="1:5" x14ac:dyDescent="0.25">
      <c r="A133" t="s">
        <v>46</v>
      </c>
      <c r="B133" t="s">
        <v>129</v>
      </c>
      <c r="C133" t="s">
        <v>367</v>
      </c>
      <c r="D133" t="s">
        <v>391</v>
      </c>
      <c r="E133">
        <v>35</v>
      </c>
    </row>
    <row r="134" spans="1:5" x14ac:dyDescent="0.25">
      <c r="A134" t="s">
        <v>52</v>
      </c>
      <c r="B134" t="s">
        <v>66</v>
      </c>
      <c r="C134" t="s">
        <v>137</v>
      </c>
      <c r="D134" t="s">
        <v>189</v>
      </c>
      <c r="E134">
        <v>35</v>
      </c>
    </row>
    <row r="135" spans="1:5" x14ac:dyDescent="0.25">
      <c r="A135" t="s">
        <v>23</v>
      </c>
      <c r="B135" t="s">
        <v>85</v>
      </c>
      <c r="C135" t="s">
        <v>284</v>
      </c>
      <c r="D135" t="s">
        <v>315</v>
      </c>
      <c r="E135">
        <v>33</v>
      </c>
    </row>
    <row r="136" spans="1:5" x14ac:dyDescent="0.25">
      <c r="A136" t="s">
        <v>46</v>
      </c>
      <c r="B136" t="s">
        <v>134</v>
      </c>
      <c r="C136" t="s">
        <v>135</v>
      </c>
      <c r="D136" t="s">
        <v>182</v>
      </c>
      <c r="E136">
        <v>32</v>
      </c>
    </row>
    <row r="137" spans="1:5" x14ac:dyDescent="0.25">
      <c r="A137" t="s">
        <v>46</v>
      </c>
      <c r="B137" t="s">
        <v>228</v>
      </c>
      <c r="C137" t="s">
        <v>288</v>
      </c>
      <c r="D137" t="s">
        <v>321</v>
      </c>
      <c r="E137">
        <v>30</v>
      </c>
    </row>
    <row r="138" spans="1:5" x14ac:dyDescent="0.25">
      <c r="A138" t="s">
        <v>52</v>
      </c>
      <c r="B138" t="s">
        <v>101</v>
      </c>
      <c r="C138" t="s">
        <v>213</v>
      </c>
      <c r="D138" t="s">
        <v>250</v>
      </c>
      <c r="E138">
        <v>28</v>
      </c>
    </row>
    <row r="139" spans="1:5" x14ac:dyDescent="0.25">
      <c r="A139" t="s">
        <v>27</v>
      </c>
      <c r="B139" t="s">
        <v>98</v>
      </c>
      <c r="C139" t="s">
        <v>326</v>
      </c>
      <c r="D139" t="s">
        <v>349</v>
      </c>
      <c r="E139">
        <v>27</v>
      </c>
    </row>
    <row r="140" spans="1:5" x14ac:dyDescent="0.25">
      <c r="A140" t="s">
        <v>23</v>
      </c>
      <c r="B140" t="s">
        <v>68</v>
      </c>
      <c r="C140" t="s">
        <v>205</v>
      </c>
      <c r="D140" t="s">
        <v>236</v>
      </c>
      <c r="E140">
        <v>26</v>
      </c>
    </row>
    <row r="141" spans="1:5" x14ac:dyDescent="0.25">
      <c r="A141" t="s">
        <v>48</v>
      </c>
      <c r="B141" t="s">
        <v>75</v>
      </c>
      <c r="C141" t="s">
        <v>344</v>
      </c>
      <c r="D141" t="s">
        <v>362</v>
      </c>
      <c r="E141">
        <v>23</v>
      </c>
    </row>
    <row r="142" spans="1:5" x14ac:dyDescent="0.25">
      <c r="A142" t="s">
        <v>5</v>
      </c>
      <c r="B142" t="s">
        <v>146</v>
      </c>
      <c r="C142" t="s">
        <v>407</v>
      </c>
      <c r="D142" t="s">
        <v>421</v>
      </c>
      <c r="E142">
        <v>22</v>
      </c>
    </row>
    <row r="143" spans="1:5" x14ac:dyDescent="0.25">
      <c r="A143" t="s">
        <v>15</v>
      </c>
      <c r="B143" t="s">
        <v>181</v>
      </c>
      <c r="C143" t="s">
        <v>179</v>
      </c>
      <c r="D143" t="s">
        <v>211</v>
      </c>
      <c r="E143">
        <v>21</v>
      </c>
    </row>
    <row r="144" spans="1:5" x14ac:dyDescent="0.25">
      <c r="A144" t="s">
        <v>15</v>
      </c>
      <c r="B144" t="s">
        <v>97</v>
      </c>
      <c r="C144" t="s">
        <v>247</v>
      </c>
      <c r="D144" t="s">
        <v>269</v>
      </c>
      <c r="E144">
        <v>21</v>
      </c>
    </row>
    <row r="145" spans="1:5" x14ac:dyDescent="0.25">
      <c r="A145" t="s">
        <v>23</v>
      </c>
      <c r="B145" t="s">
        <v>115</v>
      </c>
      <c r="C145" t="s">
        <v>159</v>
      </c>
      <c r="D145" t="s">
        <v>189</v>
      </c>
      <c r="E145">
        <v>20</v>
      </c>
    </row>
    <row r="146" spans="1:5" x14ac:dyDescent="0.25">
      <c r="A146" t="s">
        <v>10</v>
      </c>
      <c r="B146" t="s">
        <v>292</v>
      </c>
      <c r="C146" t="s">
        <v>343</v>
      </c>
      <c r="D146" t="s">
        <v>357</v>
      </c>
      <c r="E146">
        <v>20</v>
      </c>
    </row>
    <row r="147" spans="1:5" x14ac:dyDescent="0.25">
      <c r="A147" t="s">
        <v>36</v>
      </c>
      <c r="B147" t="s">
        <v>181</v>
      </c>
      <c r="C147" t="s">
        <v>408</v>
      </c>
      <c r="D147" t="s">
        <v>419</v>
      </c>
      <c r="E147">
        <v>19</v>
      </c>
    </row>
    <row r="148" spans="1:5" x14ac:dyDescent="0.25">
      <c r="A148" t="s">
        <v>10</v>
      </c>
      <c r="B148" t="s">
        <v>84</v>
      </c>
      <c r="C148" t="s">
        <v>414</v>
      </c>
      <c r="D148" t="s">
        <v>426</v>
      </c>
      <c r="E148">
        <v>17</v>
      </c>
    </row>
    <row r="149" spans="1:5" x14ac:dyDescent="0.25">
      <c r="A149" t="s">
        <v>23</v>
      </c>
      <c r="B149" t="s">
        <v>237</v>
      </c>
      <c r="C149" t="s">
        <v>236</v>
      </c>
      <c r="D149" t="s">
        <v>255</v>
      </c>
      <c r="E149">
        <v>14</v>
      </c>
    </row>
    <row r="150" spans="1:5" x14ac:dyDescent="0.25">
      <c r="A150" t="s">
        <v>10</v>
      </c>
      <c r="B150" t="s">
        <v>428</v>
      </c>
      <c r="C150" t="s">
        <v>427</v>
      </c>
      <c r="D150" t="s">
        <v>437</v>
      </c>
      <c r="E150">
        <v>14</v>
      </c>
    </row>
    <row r="151" spans="1:5" x14ac:dyDescent="0.25">
      <c r="A151" t="s">
        <v>36</v>
      </c>
      <c r="B151" t="s">
        <v>184</v>
      </c>
      <c r="C151" t="s">
        <v>418</v>
      </c>
      <c r="D151" t="s">
        <v>430</v>
      </c>
      <c r="E151">
        <v>14</v>
      </c>
    </row>
    <row r="152" spans="1:5" x14ac:dyDescent="0.25">
      <c r="A152" t="s">
        <v>12</v>
      </c>
      <c r="B152" t="s">
        <v>239</v>
      </c>
      <c r="C152" t="s">
        <v>344</v>
      </c>
      <c r="D152" t="s">
        <v>354</v>
      </c>
      <c r="E152">
        <v>14</v>
      </c>
    </row>
    <row r="153" spans="1:5" x14ac:dyDescent="0.25">
      <c r="A153" t="s">
        <v>23</v>
      </c>
      <c r="B153" t="s">
        <v>121</v>
      </c>
      <c r="C153" t="s">
        <v>174</v>
      </c>
      <c r="D153" t="s">
        <v>189</v>
      </c>
      <c r="E153">
        <v>13</v>
      </c>
    </row>
    <row r="154" spans="1:5" x14ac:dyDescent="0.25">
      <c r="A154" t="s">
        <v>12</v>
      </c>
      <c r="B154" t="s">
        <v>185</v>
      </c>
      <c r="C154" t="s">
        <v>375</v>
      </c>
      <c r="D154" t="s">
        <v>383</v>
      </c>
      <c r="E154">
        <v>13</v>
      </c>
    </row>
    <row r="155" spans="1:5" x14ac:dyDescent="0.25">
      <c r="A155" t="s">
        <v>17</v>
      </c>
      <c r="B155" t="s">
        <v>175</v>
      </c>
      <c r="C155" t="s">
        <v>431</v>
      </c>
      <c r="D155" t="s">
        <v>437</v>
      </c>
      <c r="E155">
        <v>12</v>
      </c>
    </row>
    <row r="156" spans="1:5" x14ac:dyDescent="0.25">
      <c r="A156" t="s">
        <v>15</v>
      </c>
      <c r="B156" t="s">
        <v>180</v>
      </c>
      <c r="C156" t="s">
        <v>179</v>
      </c>
      <c r="D156" t="s">
        <v>194</v>
      </c>
      <c r="E156">
        <v>9</v>
      </c>
    </row>
    <row r="157" spans="1:5" x14ac:dyDescent="0.25">
      <c r="A157" t="s">
        <v>8</v>
      </c>
      <c r="B157" t="s">
        <v>73</v>
      </c>
      <c r="C157" t="s">
        <v>164</v>
      </c>
      <c r="D157" t="s">
        <v>178</v>
      </c>
      <c r="E157">
        <v>8</v>
      </c>
    </row>
    <row r="158" spans="1:5" x14ac:dyDescent="0.25">
      <c r="A158" t="s">
        <v>23</v>
      </c>
      <c r="B158" t="s">
        <v>216</v>
      </c>
      <c r="C158" t="s">
        <v>215</v>
      </c>
      <c r="D158" t="s">
        <v>220</v>
      </c>
      <c r="E158">
        <v>5</v>
      </c>
    </row>
    <row r="159" spans="1:5" x14ac:dyDescent="0.25">
      <c r="A159" t="s">
        <v>27</v>
      </c>
      <c r="B159" t="s">
        <v>312</v>
      </c>
      <c r="C159" t="s">
        <v>311</v>
      </c>
      <c r="D159" t="s">
        <v>315</v>
      </c>
      <c r="E159">
        <v>4</v>
      </c>
    </row>
    <row r="160" spans="1:5" x14ac:dyDescent="0.25">
      <c r="A160" t="s">
        <v>5</v>
      </c>
      <c r="B160" t="s">
        <v>44</v>
      </c>
      <c r="C160" t="s">
        <v>42</v>
      </c>
      <c r="D160" t="s">
        <v>50</v>
      </c>
      <c r="E160">
        <v>2</v>
      </c>
    </row>
    <row r="161" spans="1:5" x14ac:dyDescent="0.25">
      <c r="A161" t="s">
        <v>8</v>
      </c>
      <c r="B161" t="s">
        <v>64</v>
      </c>
      <c r="C161" t="s">
        <v>291</v>
      </c>
      <c r="D161" t="s">
        <v>291</v>
      </c>
      <c r="E161">
        <v>0</v>
      </c>
    </row>
    <row r="162" spans="1:5" x14ac:dyDescent="0.25">
      <c r="A162" t="s">
        <v>8</v>
      </c>
      <c r="B162" t="s">
        <v>195</v>
      </c>
      <c r="C162" t="s">
        <v>381</v>
      </c>
      <c r="D162" t="s">
        <v>381</v>
      </c>
      <c r="E162">
        <v>0</v>
      </c>
    </row>
    <row r="163" spans="1:5" x14ac:dyDescent="0.25">
      <c r="A163" t="s">
        <v>8</v>
      </c>
      <c r="B163" t="s">
        <v>60</v>
      </c>
      <c r="C163" t="s">
        <v>201</v>
      </c>
      <c r="D163" t="s">
        <v>201</v>
      </c>
      <c r="E163">
        <v>0</v>
      </c>
    </row>
    <row r="164" spans="1:5" x14ac:dyDescent="0.25">
      <c r="A164" t="s">
        <v>8</v>
      </c>
      <c r="B164" t="s">
        <v>158</v>
      </c>
      <c r="C164" t="s">
        <v>366</v>
      </c>
      <c r="D164" t="s">
        <v>366</v>
      </c>
      <c r="E164">
        <v>0</v>
      </c>
    </row>
    <row r="165" spans="1:5" x14ac:dyDescent="0.25">
      <c r="A165" t="s">
        <v>8</v>
      </c>
      <c r="B165" t="s">
        <v>148</v>
      </c>
      <c r="C165" t="s">
        <v>392</v>
      </c>
      <c r="D165" t="s">
        <v>392</v>
      </c>
      <c r="E165">
        <v>0</v>
      </c>
    </row>
    <row r="166" spans="1:5" x14ac:dyDescent="0.25">
      <c r="A166" t="s">
        <v>8</v>
      </c>
      <c r="B166" t="s">
        <v>95</v>
      </c>
      <c r="C166" t="s">
        <v>137</v>
      </c>
      <c r="D166" t="s">
        <v>137</v>
      </c>
      <c r="E166">
        <v>0</v>
      </c>
    </row>
    <row r="167" spans="1:5" x14ac:dyDescent="0.25">
      <c r="A167" t="s">
        <v>8</v>
      </c>
      <c r="B167" t="s">
        <v>116</v>
      </c>
      <c r="C167" t="s">
        <v>389</v>
      </c>
      <c r="D167" t="s">
        <v>389</v>
      </c>
      <c r="E167">
        <v>0</v>
      </c>
    </row>
    <row r="168" spans="1:5" x14ac:dyDescent="0.25">
      <c r="A168" t="s">
        <v>8</v>
      </c>
      <c r="B168" t="s">
        <v>37</v>
      </c>
      <c r="C168" t="s">
        <v>242</v>
      </c>
      <c r="D168" t="s">
        <v>242</v>
      </c>
      <c r="E168">
        <v>0</v>
      </c>
    </row>
    <row r="169" spans="1:5" x14ac:dyDescent="0.25">
      <c r="A169" t="s">
        <v>8</v>
      </c>
      <c r="B169" t="s">
        <v>75</v>
      </c>
      <c r="C169" t="s">
        <v>169</v>
      </c>
      <c r="D169" t="s">
        <v>169</v>
      </c>
      <c r="E169">
        <v>0</v>
      </c>
    </row>
    <row r="170" spans="1:5" x14ac:dyDescent="0.25">
      <c r="A170" t="s">
        <v>8</v>
      </c>
      <c r="B170" t="s">
        <v>22</v>
      </c>
      <c r="C170" t="s">
        <v>424</v>
      </c>
      <c r="D170" t="s">
        <v>424</v>
      </c>
      <c r="E170">
        <v>0</v>
      </c>
    </row>
    <row r="171" spans="1:5" x14ac:dyDescent="0.25">
      <c r="A171" t="s">
        <v>8</v>
      </c>
      <c r="B171" t="s">
        <v>19</v>
      </c>
      <c r="C171" t="s">
        <v>14</v>
      </c>
      <c r="D171" t="s">
        <v>14</v>
      </c>
      <c r="E171">
        <v>0</v>
      </c>
    </row>
    <row r="172" spans="1:5" x14ac:dyDescent="0.25">
      <c r="A172" t="s">
        <v>8</v>
      </c>
      <c r="B172" t="s">
        <v>281</v>
      </c>
      <c r="C172" t="s">
        <v>427</v>
      </c>
      <c r="D172" t="s">
        <v>427</v>
      </c>
      <c r="E172">
        <v>0</v>
      </c>
    </row>
    <row r="173" spans="1:5" x14ac:dyDescent="0.25">
      <c r="A173" t="s">
        <v>8</v>
      </c>
      <c r="B173" t="s">
        <v>63</v>
      </c>
      <c r="C173" t="s">
        <v>255</v>
      </c>
      <c r="D173" t="s">
        <v>255</v>
      </c>
      <c r="E173">
        <v>0</v>
      </c>
    </row>
    <row r="174" spans="1:5" x14ac:dyDescent="0.25">
      <c r="A174" t="s">
        <v>8</v>
      </c>
      <c r="B174" t="s">
        <v>71</v>
      </c>
      <c r="C174" t="s">
        <v>72</v>
      </c>
      <c r="D174" t="s">
        <v>72</v>
      </c>
      <c r="E174">
        <v>0</v>
      </c>
    </row>
    <row r="175" spans="1:5" x14ac:dyDescent="0.25">
      <c r="A175" t="s">
        <v>8</v>
      </c>
      <c r="B175" t="s">
        <v>120</v>
      </c>
      <c r="C175" t="s">
        <v>119</v>
      </c>
      <c r="D175" t="s">
        <v>119</v>
      </c>
      <c r="E175">
        <v>0</v>
      </c>
    </row>
    <row r="176" spans="1:5" x14ac:dyDescent="0.25">
      <c r="A176" t="s">
        <v>8</v>
      </c>
      <c r="B176" t="s">
        <v>258</v>
      </c>
      <c r="C176" t="s">
        <v>349</v>
      </c>
      <c r="D176" t="s">
        <v>349</v>
      </c>
      <c r="E176">
        <v>0</v>
      </c>
    </row>
    <row r="177" spans="1:5" x14ac:dyDescent="0.25">
      <c r="A177" t="s">
        <v>8</v>
      </c>
      <c r="B177" t="s">
        <v>99</v>
      </c>
      <c r="C177" t="s">
        <v>100</v>
      </c>
      <c r="D177" t="s">
        <v>100</v>
      </c>
      <c r="E177">
        <v>0</v>
      </c>
    </row>
    <row r="178" spans="1:5" x14ac:dyDescent="0.25">
      <c r="A178" t="s">
        <v>8</v>
      </c>
      <c r="B178" t="s">
        <v>90</v>
      </c>
      <c r="C178" t="s">
        <v>88</v>
      </c>
      <c r="D178" t="s">
        <v>88</v>
      </c>
      <c r="E178">
        <v>0</v>
      </c>
    </row>
    <row r="179" spans="1:5" x14ac:dyDescent="0.25">
      <c r="A179" t="s">
        <v>8</v>
      </c>
      <c r="B179" t="s">
        <v>335</v>
      </c>
      <c r="C179" t="s">
        <v>336</v>
      </c>
      <c r="D179" t="s">
        <v>336</v>
      </c>
      <c r="E179">
        <v>0</v>
      </c>
    </row>
    <row r="180" spans="1:5" x14ac:dyDescent="0.25">
      <c r="A180" t="s">
        <v>8</v>
      </c>
      <c r="B180" t="s">
        <v>150</v>
      </c>
      <c r="C180" t="s">
        <v>332</v>
      </c>
      <c r="D180" t="s">
        <v>332</v>
      </c>
      <c r="E180">
        <v>0</v>
      </c>
    </row>
    <row r="181" spans="1:5" x14ac:dyDescent="0.25">
      <c r="A181" t="s">
        <v>8</v>
      </c>
      <c r="B181" t="s">
        <v>200</v>
      </c>
      <c r="C181" t="s">
        <v>199</v>
      </c>
      <c r="D181" t="s">
        <v>199</v>
      </c>
      <c r="E181">
        <v>0</v>
      </c>
    </row>
    <row r="182" spans="1:5" x14ac:dyDescent="0.25">
      <c r="A182" t="s">
        <v>8</v>
      </c>
      <c r="B182" t="s">
        <v>140</v>
      </c>
      <c r="C182" t="s">
        <v>137</v>
      </c>
      <c r="D182" t="s">
        <v>137</v>
      </c>
      <c r="E182">
        <v>0</v>
      </c>
    </row>
    <row r="183" spans="1:5" x14ac:dyDescent="0.25">
      <c r="A183" t="s">
        <v>8</v>
      </c>
      <c r="B183" t="s">
        <v>129</v>
      </c>
      <c r="C183" t="s">
        <v>388</v>
      </c>
      <c r="D183" t="s">
        <v>388</v>
      </c>
      <c r="E183">
        <v>0</v>
      </c>
    </row>
    <row r="184" spans="1:5" x14ac:dyDescent="0.25">
      <c r="A184" t="s">
        <v>8</v>
      </c>
      <c r="B184" t="s">
        <v>127</v>
      </c>
      <c r="C184" t="s">
        <v>305</v>
      </c>
      <c r="D184" t="s">
        <v>305</v>
      </c>
      <c r="E184">
        <v>0</v>
      </c>
    </row>
    <row r="185" spans="1:5" x14ac:dyDescent="0.25">
      <c r="A185" t="s">
        <v>8</v>
      </c>
      <c r="B185" t="s">
        <v>175</v>
      </c>
      <c r="C185" t="s">
        <v>262</v>
      </c>
      <c r="D185" t="s">
        <v>262</v>
      </c>
      <c r="E185">
        <v>0</v>
      </c>
    </row>
    <row r="186" spans="1:5" x14ac:dyDescent="0.25">
      <c r="A186" t="s">
        <v>8</v>
      </c>
      <c r="B186" t="s">
        <v>330</v>
      </c>
      <c r="C186" t="s">
        <v>439</v>
      </c>
      <c r="D186" t="s">
        <v>439</v>
      </c>
      <c r="E186">
        <v>0</v>
      </c>
    </row>
    <row r="187" spans="1:5" x14ac:dyDescent="0.25">
      <c r="A187" t="s">
        <v>8</v>
      </c>
      <c r="B187" t="s">
        <v>252</v>
      </c>
      <c r="C187" t="s">
        <v>269</v>
      </c>
      <c r="D187" t="s">
        <v>269</v>
      </c>
      <c r="E187">
        <v>0</v>
      </c>
    </row>
    <row r="188" spans="1:5" x14ac:dyDescent="0.25">
      <c r="A188" t="s">
        <v>8</v>
      </c>
      <c r="B188" t="s">
        <v>272</v>
      </c>
      <c r="C188" t="s">
        <v>339</v>
      </c>
      <c r="D188" t="s">
        <v>339</v>
      </c>
      <c r="E188">
        <v>0</v>
      </c>
    </row>
    <row r="189" spans="1:5" x14ac:dyDescent="0.25">
      <c r="A189" t="s">
        <v>8</v>
      </c>
      <c r="B189" t="s">
        <v>165</v>
      </c>
      <c r="C189" t="s">
        <v>283</v>
      </c>
      <c r="D189" t="s">
        <v>283</v>
      </c>
      <c r="E189">
        <v>0</v>
      </c>
    </row>
    <row r="190" spans="1:5" x14ac:dyDescent="0.25">
      <c r="A190" t="s">
        <v>8</v>
      </c>
      <c r="B190" t="s">
        <v>207</v>
      </c>
      <c r="C190" t="s">
        <v>422</v>
      </c>
      <c r="D190" t="s">
        <v>422</v>
      </c>
      <c r="E190">
        <v>0</v>
      </c>
    </row>
    <row r="191" spans="1:5" x14ac:dyDescent="0.25">
      <c r="A191" t="s">
        <v>8</v>
      </c>
      <c r="B191" t="s">
        <v>191</v>
      </c>
      <c r="C191" t="s">
        <v>189</v>
      </c>
      <c r="D191" t="s">
        <v>189</v>
      </c>
      <c r="E191">
        <v>0</v>
      </c>
    </row>
    <row r="192" spans="1:5" x14ac:dyDescent="0.25">
      <c r="A192" t="s">
        <v>8</v>
      </c>
      <c r="B192" t="s">
        <v>171</v>
      </c>
      <c r="C192" t="s">
        <v>319</v>
      </c>
      <c r="D192" t="s">
        <v>319</v>
      </c>
      <c r="E192">
        <v>0</v>
      </c>
    </row>
    <row r="193" spans="1:5" x14ac:dyDescent="0.25">
      <c r="A193" t="s">
        <v>8</v>
      </c>
      <c r="B193" t="s">
        <v>256</v>
      </c>
      <c r="C193" t="s">
        <v>426</v>
      </c>
      <c r="D193" t="s">
        <v>426</v>
      </c>
      <c r="E193">
        <v>0</v>
      </c>
    </row>
    <row r="194" spans="1:5" x14ac:dyDescent="0.25">
      <c r="A194" t="s">
        <v>8</v>
      </c>
      <c r="B194" t="s">
        <v>29</v>
      </c>
      <c r="C194" t="s">
        <v>30</v>
      </c>
      <c r="D194" t="s">
        <v>30</v>
      </c>
      <c r="E194">
        <v>0</v>
      </c>
    </row>
    <row r="195" spans="1:5" x14ac:dyDescent="0.25">
      <c r="A195" t="s">
        <v>8</v>
      </c>
      <c r="B195" t="s">
        <v>109</v>
      </c>
      <c r="C195" t="s">
        <v>432</v>
      </c>
      <c r="D195" t="s">
        <v>432</v>
      </c>
      <c r="E195">
        <v>0</v>
      </c>
    </row>
    <row r="196" spans="1:5" x14ac:dyDescent="0.25">
      <c r="A196" t="s">
        <v>8</v>
      </c>
      <c r="B196" t="s">
        <v>59</v>
      </c>
      <c r="C196" t="s">
        <v>344</v>
      </c>
      <c r="D196" t="s">
        <v>344</v>
      </c>
      <c r="E196">
        <v>0</v>
      </c>
    </row>
    <row r="197" spans="1:5" x14ac:dyDescent="0.25">
      <c r="A197" t="s">
        <v>8</v>
      </c>
      <c r="B197" t="s">
        <v>118</v>
      </c>
      <c r="C197" t="s">
        <v>318</v>
      </c>
      <c r="D197" t="s">
        <v>318</v>
      </c>
      <c r="E197">
        <v>0</v>
      </c>
    </row>
    <row r="198" spans="1:5" x14ac:dyDescent="0.25">
      <c r="A198" t="s">
        <v>8</v>
      </c>
      <c r="B198" t="s">
        <v>282</v>
      </c>
      <c r="C198" t="s">
        <v>326</v>
      </c>
      <c r="D198" t="s">
        <v>326</v>
      </c>
      <c r="E198">
        <v>0</v>
      </c>
    </row>
    <row r="199" spans="1:5" x14ac:dyDescent="0.25">
      <c r="A199" t="s">
        <v>8</v>
      </c>
      <c r="B199" t="s">
        <v>300</v>
      </c>
      <c r="C199" t="s">
        <v>399</v>
      </c>
      <c r="D199" t="s">
        <v>399</v>
      </c>
      <c r="E199">
        <v>0</v>
      </c>
    </row>
    <row r="200" spans="1:5" x14ac:dyDescent="0.25">
      <c r="A200" t="s">
        <v>8</v>
      </c>
      <c r="B200" t="s">
        <v>61</v>
      </c>
      <c r="C200" t="s">
        <v>211</v>
      </c>
      <c r="D200" t="s">
        <v>211</v>
      </c>
      <c r="E200">
        <v>0</v>
      </c>
    </row>
    <row r="201" spans="1:5" x14ac:dyDescent="0.25">
      <c r="A201" t="s">
        <v>8</v>
      </c>
      <c r="B201" t="s">
        <v>185</v>
      </c>
      <c r="C201" t="s">
        <v>269</v>
      </c>
      <c r="D201" t="s">
        <v>269</v>
      </c>
      <c r="E201">
        <v>0</v>
      </c>
    </row>
    <row r="202" spans="1:5" x14ac:dyDescent="0.25">
      <c r="A202" t="s">
        <v>8</v>
      </c>
      <c r="B202" t="s">
        <v>101</v>
      </c>
      <c r="C202" t="s">
        <v>100</v>
      </c>
      <c r="D202" t="s">
        <v>100</v>
      </c>
      <c r="E202">
        <v>0</v>
      </c>
    </row>
    <row r="203" spans="1:5" x14ac:dyDescent="0.25">
      <c r="A203" t="s">
        <v>8</v>
      </c>
      <c r="B203" t="s">
        <v>296</v>
      </c>
      <c r="C203" t="s">
        <v>413</v>
      </c>
      <c r="D203" t="s">
        <v>413</v>
      </c>
      <c r="E203">
        <v>0</v>
      </c>
    </row>
    <row r="204" spans="1:5" x14ac:dyDescent="0.25">
      <c r="A204" t="s">
        <v>8</v>
      </c>
      <c r="B204" t="s">
        <v>160</v>
      </c>
      <c r="C204" t="s">
        <v>358</v>
      </c>
      <c r="D204" t="s">
        <v>358</v>
      </c>
      <c r="E204">
        <v>0</v>
      </c>
    </row>
    <row r="205" spans="1:5" x14ac:dyDescent="0.25">
      <c r="A205" t="s">
        <v>8</v>
      </c>
      <c r="B205" t="s">
        <v>206</v>
      </c>
      <c r="C205" t="s">
        <v>205</v>
      </c>
      <c r="D205" t="s">
        <v>205</v>
      </c>
      <c r="E205">
        <v>0</v>
      </c>
    </row>
    <row r="206" spans="1:5" x14ac:dyDescent="0.25">
      <c r="A206" t="s">
        <v>8</v>
      </c>
      <c r="B206" t="s">
        <v>328</v>
      </c>
      <c r="C206" t="s">
        <v>365</v>
      </c>
      <c r="D206" t="s">
        <v>365</v>
      </c>
      <c r="E206">
        <v>0</v>
      </c>
    </row>
    <row r="207" spans="1:5" x14ac:dyDescent="0.25">
      <c r="A207" t="s">
        <v>8</v>
      </c>
      <c r="B207" t="s">
        <v>108</v>
      </c>
      <c r="C207" t="s">
        <v>371</v>
      </c>
      <c r="D207" t="s">
        <v>371</v>
      </c>
      <c r="E207">
        <v>0</v>
      </c>
    </row>
    <row r="208" spans="1:5" x14ac:dyDescent="0.25">
      <c r="A208" t="s">
        <v>8</v>
      </c>
      <c r="B208" t="s">
        <v>172</v>
      </c>
      <c r="C208" t="s">
        <v>334</v>
      </c>
      <c r="D208" t="s">
        <v>334</v>
      </c>
      <c r="E208">
        <v>0</v>
      </c>
    </row>
    <row r="209" spans="1:5" x14ac:dyDescent="0.25">
      <c r="A209" t="s">
        <v>8</v>
      </c>
      <c r="B209" t="s">
        <v>136</v>
      </c>
      <c r="C209" t="s">
        <v>174</v>
      </c>
      <c r="D209" t="s">
        <v>174</v>
      </c>
      <c r="E209">
        <v>0</v>
      </c>
    </row>
    <row r="210" spans="1:5" x14ac:dyDescent="0.25">
      <c r="A210" t="s">
        <v>8</v>
      </c>
      <c r="B210" t="s">
        <v>157</v>
      </c>
      <c r="C210" t="s">
        <v>411</v>
      </c>
      <c r="D210" t="s">
        <v>411</v>
      </c>
      <c r="E210">
        <v>0</v>
      </c>
    </row>
    <row r="211" spans="1:5" x14ac:dyDescent="0.25">
      <c r="A211" t="s">
        <v>8</v>
      </c>
      <c r="B211" t="s">
        <v>107</v>
      </c>
      <c r="C211" t="s">
        <v>291</v>
      </c>
      <c r="D211" t="s">
        <v>291</v>
      </c>
      <c r="E211">
        <v>0</v>
      </c>
    </row>
    <row r="212" spans="1:5" x14ac:dyDescent="0.25">
      <c r="A212" t="s">
        <v>8</v>
      </c>
      <c r="B212" t="s">
        <v>31</v>
      </c>
      <c r="C212" t="s">
        <v>128</v>
      </c>
      <c r="D212" t="s">
        <v>128</v>
      </c>
      <c r="E212">
        <v>0</v>
      </c>
    </row>
    <row r="213" spans="1:5" x14ac:dyDescent="0.25">
      <c r="A213" t="s">
        <v>8</v>
      </c>
      <c r="B213" t="s">
        <v>292</v>
      </c>
      <c r="C213" t="s">
        <v>291</v>
      </c>
      <c r="D213" t="s">
        <v>291</v>
      </c>
      <c r="E213">
        <v>0</v>
      </c>
    </row>
    <row r="214" spans="1:5" x14ac:dyDescent="0.25">
      <c r="A214" t="s">
        <v>15</v>
      </c>
      <c r="B214" t="s">
        <v>168</v>
      </c>
      <c r="C214" t="s">
        <v>368</v>
      </c>
      <c r="D214" t="s">
        <v>368</v>
      </c>
      <c r="E214">
        <v>0</v>
      </c>
    </row>
    <row r="215" spans="1:5" x14ac:dyDescent="0.25">
      <c r="A215" t="s">
        <v>15</v>
      </c>
      <c r="B215" t="s">
        <v>195</v>
      </c>
      <c r="C215" t="s">
        <v>370</v>
      </c>
      <c r="D215" t="s">
        <v>370</v>
      </c>
      <c r="E215">
        <v>0</v>
      </c>
    </row>
    <row r="216" spans="1:5" x14ac:dyDescent="0.25">
      <c r="A216" t="s">
        <v>15</v>
      </c>
      <c r="B216" t="s">
        <v>60</v>
      </c>
      <c r="C216" t="s">
        <v>340</v>
      </c>
      <c r="D216" t="s">
        <v>340</v>
      </c>
      <c r="E216">
        <v>0</v>
      </c>
    </row>
    <row r="217" spans="1:5" x14ac:dyDescent="0.25">
      <c r="A217" t="s">
        <v>15</v>
      </c>
      <c r="B217" t="s">
        <v>243</v>
      </c>
      <c r="C217" t="s">
        <v>439</v>
      </c>
      <c r="D217" t="s">
        <v>439</v>
      </c>
      <c r="E217">
        <v>0</v>
      </c>
    </row>
    <row r="218" spans="1:5" x14ac:dyDescent="0.25">
      <c r="A218" t="s">
        <v>15</v>
      </c>
      <c r="B218" t="s">
        <v>148</v>
      </c>
      <c r="C218" t="s">
        <v>411</v>
      </c>
      <c r="D218" t="s">
        <v>411</v>
      </c>
      <c r="E218">
        <v>0</v>
      </c>
    </row>
    <row r="219" spans="1:5" x14ac:dyDescent="0.25">
      <c r="A219" t="s">
        <v>15</v>
      </c>
      <c r="B219" t="s">
        <v>116</v>
      </c>
      <c r="C219" t="s">
        <v>427</v>
      </c>
      <c r="D219" t="s">
        <v>427</v>
      </c>
      <c r="E219">
        <v>0</v>
      </c>
    </row>
    <row r="220" spans="1:5" x14ac:dyDescent="0.25">
      <c r="A220" t="s">
        <v>15</v>
      </c>
      <c r="B220" t="s">
        <v>37</v>
      </c>
      <c r="C220" t="s">
        <v>389</v>
      </c>
      <c r="D220" t="s">
        <v>389</v>
      </c>
      <c r="E220">
        <v>0</v>
      </c>
    </row>
    <row r="221" spans="1:5" x14ac:dyDescent="0.25">
      <c r="A221" t="s">
        <v>15</v>
      </c>
      <c r="B221" t="s">
        <v>75</v>
      </c>
      <c r="C221" t="s">
        <v>76</v>
      </c>
      <c r="D221" t="s">
        <v>76</v>
      </c>
      <c r="E221">
        <v>0</v>
      </c>
    </row>
    <row r="222" spans="1:5" x14ac:dyDescent="0.25">
      <c r="A222" t="s">
        <v>15</v>
      </c>
      <c r="B222" t="s">
        <v>19</v>
      </c>
      <c r="C222" t="s">
        <v>276</v>
      </c>
      <c r="D222" t="s">
        <v>276</v>
      </c>
      <c r="E222">
        <v>0</v>
      </c>
    </row>
    <row r="223" spans="1:5" x14ac:dyDescent="0.25">
      <c r="A223" t="s">
        <v>15</v>
      </c>
      <c r="B223" t="s">
        <v>229</v>
      </c>
      <c r="C223" t="s">
        <v>452</v>
      </c>
      <c r="D223" t="s">
        <v>452</v>
      </c>
      <c r="E223">
        <v>0</v>
      </c>
    </row>
    <row r="224" spans="1:5" x14ac:dyDescent="0.25">
      <c r="A224" t="s">
        <v>15</v>
      </c>
      <c r="B224" t="s">
        <v>74</v>
      </c>
      <c r="C224" t="s">
        <v>416</v>
      </c>
      <c r="D224" t="s">
        <v>416</v>
      </c>
      <c r="E224">
        <v>0</v>
      </c>
    </row>
    <row r="225" spans="1:5" x14ac:dyDescent="0.25">
      <c r="A225" t="s">
        <v>15</v>
      </c>
      <c r="B225" t="s">
        <v>63</v>
      </c>
      <c r="C225" t="s">
        <v>179</v>
      </c>
      <c r="D225" t="s">
        <v>179</v>
      </c>
      <c r="E225">
        <v>0</v>
      </c>
    </row>
    <row r="226" spans="1:5" x14ac:dyDescent="0.25">
      <c r="A226" t="s">
        <v>15</v>
      </c>
      <c r="B226" t="s">
        <v>67</v>
      </c>
      <c r="C226" t="s">
        <v>321</v>
      </c>
      <c r="D226" t="s">
        <v>321</v>
      </c>
      <c r="E226">
        <v>0</v>
      </c>
    </row>
    <row r="227" spans="1:5" x14ac:dyDescent="0.25">
      <c r="A227" t="s">
        <v>15</v>
      </c>
      <c r="B227" t="s">
        <v>188</v>
      </c>
      <c r="C227" t="s">
        <v>189</v>
      </c>
      <c r="D227" t="s">
        <v>189</v>
      </c>
      <c r="E227">
        <v>0</v>
      </c>
    </row>
    <row r="228" spans="1:5" x14ac:dyDescent="0.25">
      <c r="A228" t="s">
        <v>15</v>
      </c>
      <c r="B228" t="s">
        <v>320</v>
      </c>
      <c r="C228" t="s">
        <v>319</v>
      </c>
      <c r="D228" t="s">
        <v>319</v>
      </c>
      <c r="E228">
        <v>0</v>
      </c>
    </row>
    <row r="229" spans="1:5" x14ac:dyDescent="0.25">
      <c r="A229" t="s">
        <v>15</v>
      </c>
      <c r="B229" t="s">
        <v>325</v>
      </c>
      <c r="C229" t="s">
        <v>416</v>
      </c>
      <c r="D229" t="s">
        <v>416</v>
      </c>
      <c r="E229">
        <v>0</v>
      </c>
    </row>
    <row r="230" spans="1:5" x14ac:dyDescent="0.25">
      <c r="A230" t="s">
        <v>15</v>
      </c>
      <c r="B230" t="s">
        <v>258</v>
      </c>
      <c r="C230" t="s">
        <v>257</v>
      </c>
      <c r="D230" t="s">
        <v>257</v>
      </c>
      <c r="E230">
        <v>0</v>
      </c>
    </row>
    <row r="231" spans="1:5" x14ac:dyDescent="0.25">
      <c r="A231" t="s">
        <v>15</v>
      </c>
      <c r="B231" t="s">
        <v>302</v>
      </c>
      <c r="C231" t="s">
        <v>443</v>
      </c>
      <c r="D231" t="s">
        <v>443</v>
      </c>
      <c r="E231">
        <v>0</v>
      </c>
    </row>
    <row r="232" spans="1:5" x14ac:dyDescent="0.25">
      <c r="A232" t="s">
        <v>15</v>
      </c>
      <c r="B232" t="s">
        <v>187</v>
      </c>
      <c r="C232" t="s">
        <v>445</v>
      </c>
      <c r="D232" t="s">
        <v>445</v>
      </c>
      <c r="E232">
        <v>0</v>
      </c>
    </row>
    <row r="233" spans="1:5" x14ac:dyDescent="0.25">
      <c r="A233" t="s">
        <v>15</v>
      </c>
      <c r="B233" t="s">
        <v>150</v>
      </c>
      <c r="C233" t="s">
        <v>217</v>
      </c>
      <c r="D233" t="s">
        <v>217</v>
      </c>
      <c r="E233">
        <v>0</v>
      </c>
    </row>
    <row r="234" spans="1:5" x14ac:dyDescent="0.25">
      <c r="A234" t="s">
        <v>15</v>
      </c>
      <c r="B234" t="s">
        <v>125</v>
      </c>
      <c r="C234" t="s">
        <v>310</v>
      </c>
      <c r="D234" t="s">
        <v>310</v>
      </c>
      <c r="E234">
        <v>0</v>
      </c>
    </row>
    <row r="235" spans="1:5" x14ac:dyDescent="0.25">
      <c r="A235" t="s">
        <v>15</v>
      </c>
      <c r="B235" t="s">
        <v>133</v>
      </c>
      <c r="C235" t="s">
        <v>132</v>
      </c>
      <c r="D235" t="s">
        <v>132</v>
      </c>
      <c r="E235">
        <v>0</v>
      </c>
    </row>
    <row r="236" spans="1:5" x14ac:dyDescent="0.25">
      <c r="A236" t="s">
        <v>15</v>
      </c>
      <c r="B236" t="s">
        <v>144</v>
      </c>
      <c r="C236" t="s">
        <v>145</v>
      </c>
      <c r="D236" t="s">
        <v>145</v>
      </c>
      <c r="E236">
        <v>0</v>
      </c>
    </row>
    <row r="237" spans="1:5" x14ac:dyDescent="0.25">
      <c r="A237" t="s">
        <v>15</v>
      </c>
      <c r="B237" t="s">
        <v>80</v>
      </c>
      <c r="C237" t="s">
        <v>259</v>
      </c>
      <c r="D237" t="s">
        <v>259</v>
      </c>
      <c r="E237">
        <v>0</v>
      </c>
    </row>
    <row r="238" spans="1:5" x14ac:dyDescent="0.25">
      <c r="A238" t="s">
        <v>15</v>
      </c>
      <c r="B238" t="s">
        <v>129</v>
      </c>
      <c r="C238" t="s">
        <v>412</v>
      </c>
      <c r="D238" t="s">
        <v>412</v>
      </c>
      <c r="E238">
        <v>0</v>
      </c>
    </row>
    <row r="239" spans="1:5" x14ac:dyDescent="0.25">
      <c r="A239" t="s">
        <v>15</v>
      </c>
      <c r="B239" t="s">
        <v>127</v>
      </c>
      <c r="C239" t="s">
        <v>128</v>
      </c>
      <c r="D239" t="s">
        <v>128</v>
      </c>
      <c r="E239">
        <v>0</v>
      </c>
    </row>
    <row r="240" spans="1:5" x14ac:dyDescent="0.25">
      <c r="A240" t="s">
        <v>15</v>
      </c>
      <c r="B240" t="s">
        <v>66</v>
      </c>
      <c r="C240" t="s">
        <v>413</v>
      </c>
      <c r="D240" t="s">
        <v>413</v>
      </c>
      <c r="E240">
        <v>0</v>
      </c>
    </row>
    <row r="241" spans="1:5" x14ac:dyDescent="0.25">
      <c r="A241" t="s">
        <v>15</v>
      </c>
      <c r="B241" t="s">
        <v>121</v>
      </c>
      <c r="C241" t="s">
        <v>324</v>
      </c>
      <c r="D241" t="s">
        <v>324</v>
      </c>
      <c r="E241">
        <v>0</v>
      </c>
    </row>
    <row r="242" spans="1:5" x14ac:dyDescent="0.25">
      <c r="A242" t="s">
        <v>15</v>
      </c>
      <c r="B242" t="s">
        <v>312</v>
      </c>
      <c r="C242" t="s">
        <v>390</v>
      </c>
      <c r="D242" t="s">
        <v>390</v>
      </c>
      <c r="E242">
        <v>0</v>
      </c>
    </row>
    <row r="243" spans="1:5" x14ac:dyDescent="0.25">
      <c r="A243" t="s">
        <v>15</v>
      </c>
      <c r="B243" t="s">
        <v>252</v>
      </c>
      <c r="C243" t="s">
        <v>444</v>
      </c>
      <c r="D243" t="s">
        <v>444</v>
      </c>
      <c r="E243">
        <v>0</v>
      </c>
    </row>
    <row r="244" spans="1:5" x14ac:dyDescent="0.25">
      <c r="A244" t="s">
        <v>15</v>
      </c>
      <c r="B244" t="s">
        <v>34</v>
      </c>
      <c r="C244" t="s">
        <v>220</v>
      </c>
      <c r="D244" t="s">
        <v>220</v>
      </c>
      <c r="E244">
        <v>0</v>
      </c>
    </row>
    <row r="245" spans="1:5" x14ac:dyDescent="0.25">
      <c r="A245" t="s">
        <v>15</v>
      </c>
      <c r="B245" t="s">
        <v>81</v>
      </c>
      <c r="C245" t="s">
        <v>251</v>
      </c>
      <c r="D245" t="s">
        <v>251</v>
      </c>
      <c r="E245">
        <v>0</v>
      </c>
    </row>
    <row r="246" spans="1:5" x14ac:dyDescent="0.25">
      <c r="A246" t="s">
        <v>15</v>
      </c>
      <c r="B246" t="s">
        <v>70</v>
      </c>
      <c r="C246" t="s">
        <v>137</v>
      </c>
      <c r="D246" t="s">
        <v>137</v>
      </c>
      <c r="E246">
        <v>0</v>
      </c>
    </row>
    <row r="247" spans="1:5" x14ac:dyDescent="0.25">
      <c r="A247" t="s">
        <v>15</v>
      </c>
      <c r="B247" t="s">
        <v>109</v>
      </c>
      <c r="C247" t="s">
        <v>351</v>
      </c>
      <c r="D247" t="s">
        <v>351</v>
      </c>
      <c r="E247">
        <v>0</v>
      </c>
    </row>
    <row r="248" spans="1:5" x14ac:dyDescent="0.25">
      <c r="A248" t="s">
        <v>15</v>
      </c>
      <c r="B248" t="s">
        <v>203</v>
      </c>
      <c r="C248" t="s">
        <v>204</v>
      </c>
      <c r="D248" t="s">
        <v>204</v>
      </c>
      <c r="E248">
        <v>0</v>
      </c>
    </row>
    <row r="249" spans="1:5" x14ac:dyDescent="0.25">
      <c r="A249" t="s">
        <v>15</v>
      </c>
      <c r="B249" t="s">
        <v>271</v>
      </c>
      <c r="C249" t="s">
        <v>329</v>
      </c>
      <c r="D249" t="s">
        <v>329</v>
      </c>
      <c r="E249">
        <v>0</v>
      </c>
    </row>
    <row r="250" spans="1:5" x14ac:dyDescent="0.25">
      <c r="A250" t="s">
        <v>15</v>
      </c>
      <c r="B250" t="s">
        <v>118</v>
      </c>
      <c r="C250" t="s">
        <v>413</v>
      </c>
      <c r="D250" t="s">
        <v>413</v>
      </c>
      <c r="E250">
        <v>0</v>
      </c>
    </row>
    <row r="251" spans="1:5" x14ac:dyDescent="0.25">
      <c r="A251" t="s">
        <v>15</v>
      </c>
      <c r="B251" t="s">
        <v>9</v>
      </c>
      <c r="C251" t="s">
        <v>321</v>
      </c>
      <c r="D251" t="s">
        <v>321</v>
      </c>
      <c r="E251">
        <v>0</v>
      </c>
    </row>
    <row r="252" spans="1:5" x14ac:dyDescent="0.25">
      <c r="A252" t="s">
        <v>15</v>
      </c>
      <c r="B252" t="s">
        <v>316</v>
      </c>
      <c r="C252" t="s">
        <v>442</v>
      </c>
      <c r="D252" t="s">
        <v>442</v>
      </c>
      <c r="E252">
        <v>0</v>
      </c>
    </row>
    <row r="253" spans="1:5" x14ac:dyDescent="0.25">
      <c r="A253" t="s">
        <v>15</v>
      </c>
      <c r="B253" t="s">
        <v>280</v>
      </c>
      <c r="C253" t="s">
        <v>355</v>
      </c>
      <c r="D253" t="s">
        <v>355</v>
      </c>
      <c r="E253">
        <v>0</v>
      </c>
    </row>
    <row r="254" spans="1:5" x14ac:dyDescent="0.25">
      <c r="A254" t="s">
        <v>15</v>
      </c>
      <c r="B254" t="s">
        <v>293</v>
      </c>
      <c r="C254" t="s">
        <v>294</v>
      </c>
      <c r="D254" t="s">
        <v>294</v>
      </c>
      <c r="E254">
        <v>0</v>
      </c>
    </row>
    <row r="255" spans="1:5" x14ac:dyDescent="0.25">
      <c r="A255" t="s">
        <v>15</v>
      </c>
      <c r="B255" t="s">
        <v>61</v>
      </c>
      <c r="C255" t="s">
        <v>230</v>
      </c>
      <c r="D255" t="s">
        <v>230</v>
      </c>
      <c r="E255">
        <v>0</v>
      </c>
    </row>
    <row r="256" spans="1:5" x14ac:dyDescent="0.25">
      <c r="A256" t="s">
        <v>15</v>
      </c>
      <c r="B256" t="s">
        <v>73</v>
      </c>
      <c r="C256" t="s">
        <v>418</v>
      </c>
      <c r="D256" t="s">
        <v>418</v>
      </c>
      <c r="E256">
        <v>0</v>
      </c>
    </row>
    <row r="257" spans="1:5" x14ac:dyDescent="0.25">
      <c r="A257" t="s">
        <v>15</v>
      </c>
      <c r="B257" t="s">
        <v>212</v>
      </c>
      <c r="C257" t="s">
        <v>423</v>
      </c>
      <c r="D257" t="s">
        <v>423</v>
      </c>
      <c r="E257">
        <v>0</v>
      </c>
    </row>
    <row r="258" spans="1:5" x14ac:dyDescent="0.25">
      <c r="A258" t="s">
        <v>15</v>
      </c>
      <c r="B258" t="s">
        <v>297</v>
      </c>
      <c r="C258" t="s">
        <v>298</v>
      </c>
      <c r="D258" t="s">
        <v>298</v>
      </c>
      <c r="E258">
        <v>0</v>
      </c>
    </row>
    <row r="259" spans="1:5" x14ac:dyDescent="0.25">
      <c r="A259" t="s">
        <v>15</v>
      </c>
      <c r="B259" t="s">
        <v>41</v>
      </c>
      <c r="C259" t="s">
        <v>308</v>
      </c>
      <c r="D259" t="s">
        <v>308</v>
      </c>
      <c r="E259">
        <v>0</v>
      </c>
    </row>
    <row r="260" spans="1:5" x14ac:dyDescent="0.25">
      <c r="A260" t="s">
        <v>15</v>
      </c>
      <c r="B260" t="s">
        <v>136</v>
      </c>
      <c r="C260" t="s">
        <v>447</v>
      </c>
      <c r="D260" t="s">
        <v>447</v>
      </c>
      <c r="E260">
        <v>0</v>
      </c>
    </row>
    <row r="261" spans="1:5" x14ac:dyDescent="0.25">
      <c r="A261" t="s">
        <v>15</v>
      </c>
      <c r="B261" t="s">
        <v>157</v>
      </c>
      <c r="C261" t="s">
        <v>303</v>
      </c>
      <c r="D261" t="s">
        <v>303</v>
      </c>
      <c r="E261">
        <v>0</v>
      </c>
    </row>
    <row r="262" spans="1:5" x14ac:dyDescent="0.25">
      <c r="A262" t="s">
        <v>15</v>
      </c>
      <c r="B262" t="s">
        <v>107</v>
      </c>
      <c r="C262" t="s">
        <v>408</v>
      </c>
      <c r="D262" t="s">
        <v>408</v>
      </c>
      <c r="E262">
        <v>0</v>
      </c>
    </row>
    <row r="263" spans="1:5" x14ac:dyDescent="0.25">
      <c r="A263" t="s">
        <v>48</v>
      </c>
      <c r="B263" t="s">
        <v>317</v>
      </c>
      <c r="C263" t="s">
        <v>315</v>
      </c>
      <c r="D263" t="s">
        <v>315</v>
      </c>
      <c r="E263">
        <v>0</v>
      </c>
    </row>
    <row r="264" spans="1:5" x14ac:dyDescent="0.25">
      <c r="A264" t="s">
        <v>48</v>
      </c>
      <c r="B264" t="s">
        <v>64</v>
      </c>
      <c r="C264" t="s">
        <v>409</v>
      </c>
      <c r="D264" t="s">
        <v>409</v>
      </c>
      <c r="E264">
        <v>0</v>
      </c>
    </row>
    <row r="265" spans="1:5" x14ac:dyDescent="0.25">
      <c r="A265" t="s">
        <v>48</v>
      </c>
      <c r="B265" t="s">
        <v>195</v>
      </c>
      <c r="C265" t="s">
        <v>454</v>
      </c>
      <c r="D265" t="s">
        <v>454</v>
      </c>
      <c r="E265">
        <v>0</v>
      </c>
    </row>
    <row r="266" spans="1:5" x14ac:dyDescent="0.25">
      <c r="A266" t="s">
        <v>48</v>
      </c>
      <c r="B266" t="s">
        <v>184</v>
      </c>
      <c r="C266" t="s">
        <v>422</v>
      </c>
      <c r="D266" t="s">
        <v>422</v>
      </c>
      <c r="E266">
        <v>0</v>
      </c>
    </row>
    <row r="267" spans="1:5" x14ac:dyDescent="0.25">
      <c r="A267" t="s">
        <v>48</v>
      </c>
      <c r="B267" t="s">
        <v>158</v>
      </c>
      <c r="C267" t="s">
        <v>439</v>
      </c>
      <c r="D267" t="s">
        <v>439</v>
      </c>
      <c r="E267">
        <v>0</v>
      </c>
    </row>
    <row r="268" spans="1:5" x14ac:dyDescent="0.25">
      <c r="A268" t="s">
        <v>48</v>
      </c>
      <c r="B268" t="s">
        <v>77</v>
      </c>
      <c r="C268" t="s">
        <v>221</v>
      </c>
      <c r="D268" t="s">
        <v>221</v>
      </c>
      <c r="E268">
        <v>0</v>
      </c>
    </row>
    <row r="269" spans="1:5" x14ac:dyDescent="0.25">
      <c r="A269" t="s">
        <v>48</v>
      </c>
      <c r="B269" t="s">
        <v>47</v>
      </c>
      <c r="C269" t="s">
        <v>437</v>
      </c>
      <c r="D269" t="s">
        <v>437</v>
      </c>
      <c r="E269">
        <v>0</v>
      </c>
    </row>
    <row r="270" spans="1:5" x14ac:dyDescent="0.25">
      <c r="A270" t="s">
        <v>48</v>
      </c>
      <c r="B270" t="s">
        <v>304</v>
      </c>
      <c r="C270" t="s">
        <v>427</v>
      </c>
      <c r="D270" t="s">
        <v>427</v>
      </c>
      <c r="E270">
        <v>0</v>
      </c>
    </row>
    <row r="271" spans="1:5" x14ac:dyDescent="0.25">
      <c r="A271" t="s">
        <v>48</v>
      </c>
      <c r="B271" t="s">
        <v>116</v>
      </c>
      <c r="C271" t="s">
        <v>226</v>
      </c>
      <c r="D271" t="s">
        <v>226</v>
      </c>
      <c r="E271">
        <v>0</v>
      </c>
    </row>
    <row r="272" spans="1:5" x14ac:dyDescent="0.25">
      <c r="A272" t="s">
        <v>48</v>
      </c>
      <c r="B272" t="s">
        <v>111</v>
      </c>
      <c r="C272" t="s">
        <v>344</v>
      </c>
      <c r="D272" t="s">
        <v>344</v>
      </c>
      <c r="E272">
        <v>0</v>
      </c>
    </row>
    <row r="273" spans="1:5" x14ac:dyDescent="0.25">
      <c r="A273" t="s">
        <v>48</v>
      </c>
      <c r="B273" t="s">
        <v>240</v>
      </c>
      <c r="C273" t="s">
        <v>288</v>
      </c>
      <c r="D273" t="s">
        <v>288</v>
      </c>
      <c r="E273">
        <v>0</v>
      </c>
    </row>
    <row r="274" spans="1:5" x14ac:dyDescent="0.25">
      <c r="A274" t="s">
        <v>48</v>
      </c>
      <c r="B274" t="s">
        <v>55</v>
      </c>
      <c r="C274" t="s">
        <v>234</v>
      </c>
      <c r="D274" t="s">
        <v>234</v>
      </c>
      <c r="E274">
        <v>0</v>
      </c>
    </row>
    <row r="275" spans="1:5" x14ac:dyDescent="0.25">
      <c r="A275" t="s">
        <v>48</v>
      </c>
      <c r="B275" t="s">
        <v>115</v>
      </c>
      <c r="C275" t="s">
        <v>303</v>
      </c>
      <c r="D275" t="s">
        <v>303</v>
      </c>
      <c r="E275">
        <v>0</v>
      </c>
    </row>
    <row r="276" spans="1:5" x14ac:dyDescent="0.25">
      <c r="A276" t="s">
        <v>48</v>
      </c>
      <c r="B276" t="s">
        <v>130</v>
      </c>
      <c r="C276" t="s">
        <v>186</v>
      </c>
      <c r="D276" t="s">
        <v>186</v>
      </c>
      <c r="E276">
        <v>0</v>
      </c>
    </row>
    <row r="277" spans="1:5" x14ac:dyDescent="0.25">
      <c r="A277" t="s">
        <v>48</v>
      </c>
      <c r="B277" t="s">
        <v>281</v>
      </c>
      <c r="C277" t="s">
        <v>452</v>
      </c>
      <c r="D277" t="s">
        <v>452</v>
      </c>
      <c r="E277">
        <v>0</v>
      </c>
    </row>
    <row r="278" spans="1:5" x14ac:dyDescent="0.25">
      <c r="A278" t="s">
        <v>48</v>
      </c>
      <c r="B278" t="s">
        <v>74</v>
      </c>
      <c r="C278" t="s">
        <v>183</v>
      </c>
      <c r="D278" t="s">
        <v>183</v>
      </c>
      <c r="E278">
        <v>0</v>
      </c>
    </row>
    <row r="279" spans="1:5" x14ac:dyDescent="0.25">
      <c r="A279" t="s">
        <v>48</v>
      </c>
      <c r="B279" t="s">
        <v>149</v>
      </c>
      <c r="C279" t="s">
        <v>147</v>
      </c>
      <c r="D279" t="s">
        <v>147</v>
      </c>
      <c r="E279">
        <v>0</v>
      </c>
    </row>
    <row r="280" spans="1:5" x14ac:dyDescent="0.25">
      <c r="A280" t="s">
        <v>48</v>
      </c>
      <c r="B280" t="s">
        <v>113</v>
      </c>
      <c r="C280" t="s">
        <v>360</v>
      </c>
      <c r="D280" t="s">
        <v>360</v>
      </c>
      <c r="E280">
        <v>0</v>
      </c>
    </row>
    <row r="281" spans="1:5" x14ac:dyDescent="0.25">
      <c r="A281" t="s">
        <v>48</v>
      </c>
      <c r="B281" t="s">
        <v>63</v>
      </c>
      <c r="C281" t="s">
        <v>211</v>
      </c>
      <c r="D281" t="s">
        <v>211</v>
      </c>
      <c r="E281">
        <v>0</v>
      </c>
    </row>
    <row r="282" spans="1:5" x14ac:dyDescent="0.25">
      <c r="A282" t="s">
        <v>48</v>
      </c>
      <c r="B282" t="s">
        <v>350</v>
      </c>
      <c r="C282" t="s">
        <v>349</v>
      </c>
      <c r="D282" t="s">
        <v>349</v>
      </c>
      <c r="E282">
        <v>0</v>
      </c>
    </row>
    <row r="283" spans="1:5" x14ac:dyDescent="0.25">
      <c r="A283" t="s">
        <v>48</v>
      </c>
      <c r="B283" t="s">
        <v>173</v>
      </c>
      <c r="C283" t="s">
        <v>360</v>
      </c>
      <c r="D283" t="s">
        <v>360</v>
      </c>
      <c r="E283">
        <v>0</v>
      </c>
    </row>
    <row r="284" spans="1:5" x14ac:dyDescent="0.25">
      <c r="A284" t="s">
        <v>48</v>
      </c>
      <c r="B284" t="s">
        <v>188</v>
      </c>
      <c r="C284" t="s">
        <v>230</v>
      </c>
      <c r="D284" t="s">
        <v>230</v>
      </c>
      <c r="E284">
        <v>0</v>
      </c>
    </row>
    <row r="285" spans="1:5" x14ac:dyDescent="0.25">
      <c r="A285" t="s">
        <v>48</v>
      </c>
      <c r="B285" t="s">
        <v>320</v>
      </c>
      <c r="C285" t="s">
        <v>339</v>
      </c>
      <c r="D285" t="s">
        <v>339</v>
      </c>
      <c r="E285">
        <v>0</v>
      </c>
    </row>
    <row r="286" spans="1:5" x14ac:dyDescent="0.25">
      <c r="A286" t="s">
        <v>48</v>
      </c>
      <c r="B286" t="s">
        <v>6</v>
      </c>
      <c r="C286" t="s">
        <v>211</v>
      </c>
      <c r="D286" t="s">
        <v>211</v>
      </c>
      <c r="E286">
        <v>0</v>
      </c>
    </row>
    <row r="287" spans="1:5" x14ac:dyDescent="0.25">
      <c r="A287" t="s">
        <v>48</v>
      </c>
      <c r="B287" t="s">
        <v>91</v>
      </c>
      <c r="C287" t="s">
        <v>262</v>
      </c>
      <c r="D287" t="s">
        <v>262</v>
      </c>
      <c r="E287">
        <v>0</v>
      </c>
    </row>
    <row r="288" spans="1:5" x14ac:dyDescent="0.25">
      <c r="A288" t="s">
        <v>48</v>
      </c>
      <c r="B288" t="s">
        <v>335</v>
      </c>
      <c r="C288" t="s">
        <v>442</v>
      </c>
      <c r="D288" t="s">
        <v>442</v>
      </c>
      <c r="E288">
        <v>0</v>
      </c>
    </row>
    <row r="289" spans="1:5" x14ac:dyDescent="0.25">
      <c r="A289" t="s">
        <v>48</v>
      </c>
      <c r="B289" t="s">
        <v>150</v>
      </c>
      <c r="C289" t="s">
        <v>147</v>
      </c>
      <c r="D289" t="s">
        <v>147</v>
      </c>
      <c r="E289">
        <v>0</v>
      </c>
    </row>
    <row r="290" spans="1:5" x14ac:dyDescent="0.25">
      <c r="A290" t="s">
        <v>48</v>
      </c>
      <c r="B290" t="s">
        <v>133</v>
      </c>
      <c r="C290" t="s">
        <v>431</v>
      </c>
      <c r="D290" t="s">
        <v>431</v>
      </c>
      <c r="E290">
        <v>0</v>
      </c>
    </row>
    <row r="291" spans="1:5" x14ac:dyDescent="0.25">
      <c r="A291" t="s">
        <v>48</v>
      </c>
      <c r="B291" t="s">
        <v>200</v>
      </c>
      <c r="C291" t="s">
        <v>384</v>
      </c>
      <c r="D291" t="s">
        <v>384</v>
      </c>
      <c r="E291">
        <v>0</v>
      </c>
    </row>
    <row r="292" spans="1:5" x14ac:dyDescent="0.25">
      <c r="A292" t="s">
        <v>48</v>
      </c>
      <c r="B292" t="s">
        <v>140</v>
      </c>
      <c r="C292" t="s">
        <v>344</v>
      </c>
      <c r="D292" t="s">
        <v>344</v>
      </c>
      <c r="E292">
        <v>0</v>
      </c>
    </row>
    <row r="293" spans="1:5" x14ac:dyDescent="0.25">
      <c r="A293" t="s">
        <v>48</v>
      </c>
      <c r="B293" t="s">
        <v>51</v>
      </c>
      <c r="C293" t="s">
        <v>436</v>
      </c>
      <c r="D293" t="s">
        <v>436</v>
      </c>
      <c r="E293">
        <v>0</v>
      </c>
    </row>
    <row r="294" spans="1:5" x14ac:dyDescent="0.25">
      <c r="A294" t="s">
        <v>48</v>
      </c>
      <c r="B294" t="s">
        <v>129</v>
      </c>
      <c r="C294" t="s">
        <v>303</v>
      </c>
      <c r="D294" t="s">
        <v>303</v>
      </c>
      <c r="E294">
        <v>0</v>
      </c>
    </row>
    <row r="295" spans="1:5" x14ac:dyDescent="0.25">
      <c r="A295" t="s">
        <v>48</v>
      </c>
      <c r="B295" t="s">
        <v>175</v>
      </c>
      <c r="C295" t="s">
        <v>176</v>
      </c>
      <c r="D295" t="s">
        <v>176</v>
      </c>
      <c r="E295">
        <v>0</v>
      </c>
    </row>
    <row r="296" spans="1:5" x14ac:dyDescent="0.25">
      <c r="A296" t="s">
        <v>48</v>
      </c>
      <c r="B296" t="s">
        <v>235</v>
      </c>
      <c r="C296" t="s">
        <v>418</v>
      </c>
      <c r="D296" t="s">
        <v>418</v>
      </c>
      <c r="E296">
        <v>0</v>
      </c>
    </row>
    <row r="297" spans="1:5" x14ac:dyDescent="0.25">
      <c r="A297" t="s">
        <v>48</v>
      </c>
      <c r="B297" t="s">
        <v>202</v>
      </c>
      <c r="C297" t="s">
        <v>384</v>
      </c>
      <c r="D297" t="s">
        <v>384</v>
      </c>
      <c r="E297">
        <v>0</v>
      </c>
    </row>
    <row r="298" spans="1:5" x14ac:dyDescent="0.25">
      <c r="A298" t="s">
        <v>48</v>
      </c>
      <c r="B298" t="s">
        <v>66</v>
      </c>
      <c r="C298" t="s">
        <v>425</v>
      </c>
      <c r="D298" t="s">
        <v>425</v>
      </c>
      <c r="E298">
        <v>0</v>
      </c>
    </row>
    <row r="299" spans="1:5" x14ac:dyDescent="0.25">
      <c r="A299" t="s">
        <v>48</v>
      </c>
      <c r="B299" t="s">
        <v>268</v>
      </c>
      <c r="C299" t="s">
        <v>324</v>
      </c>
      <c r="D299" t="s">
        <v>324</v>
      </c>
      <c r="E299">
        <v>0</v>
      </c>
    </row>
    <row r="300" spans="1:5" x14ac:dyDescent="0.25">
      <c r="A300" t="s">
        <v>48</v>
      </c>
      <c r="B300" t="s">
        <v>197</v>
      </c>
      <c r="C300" t="s">
        <v>349</v>
      </c>
      <c r="D300" t="s">
        <v>349</v>
      </c>
      <c r="E300">
        <v>0</v>
      </c>
    </row>
    <row r="301" spans="1:5" x14ac:dyDescent="0.25">
      <c r="A301" t="s">
        <v>48</v>
      </c>
      <c r="B301" t="s">
        <v>138</v>
      </c>
      <c r="C301" t="s">
        <v>213</v>
      </c>
      <c r="D301" t="s">
        <v>213</v>
      </c>
      <c r="E301">
        <v>0</v>
      </c>
    </row>
    <row r="302" spans="1:5" x14ac:dyDescent="0.25">
      <c r="A302" t="s">
        <v>48</v>
      </c>
      <c r="B302" t="s">
        <v>272</v>
      </c>
      <c r="C302" t="s">
        <v>342</v>
      </c>
      <c r="D302" t="s">
        <v>342</v>
      </c>
      <c r="E302">
        <v>0</v>
      </c>
    </row>
    <row r="303" spans="1:5" x14ac:dyDescent="0.25">
      <c r="A303" t="s">
        <v>48</v>
      </c>
      <c r="B303" t="s">
        <v>239</v>
      </c>
      <c r="C303" t="s">
        <v>236</v>
      </c>
      <c r="D303" t="s">
        <v>236</v>
      </c>
      <c r="E303">
        <v>0</v>
      </c>
    </row>
    <row r="304" spans="1:5" x14ac:dyDescent="0.25">
      <c r="A304" t="s">
        <v>48</v>
      </c>
      <c r="B304" t="s">
        <v>34</v>
      </c>
      <c r="C304" t="s">
        <v>380</v>
      </c>
      <c r="D304" t="s">
        <v>380</v>
      </c>
      <c r="E304">
        <v>0</v>
      </c>
    </row>
    <row r="305" spans="1:5" x14ac:dyDescent="0.25">
      <c r="A305" t="s">
        <v>48</v>
      </c>
      <c r="B305" t="s">
        <v>103</v>
      </c>
      <c r="C305" t="s">
        <v>277</v>
      </c>
      <c r="D305" t="s">
        <v>277</v>
      </c>
      <c r="E305">
        <v>0</v>
      </c>
    </row>
    <row r="306" spans="1:5" x14ac:dyDescent="0.25">
      <c r="A306" t="s">
        <v>48</v>
      </c>
      <c r="B306" t="s">
        <v>207</v>
      </c>
      <c r="C306" t="s">
        <v>332</v>
      </c>
      <c r="D306" t="s">
        <v>332</v>
      </c>
      <c r="E306">
        <v>0</v>
      </c>
    </row>
    <row r="307" spans="1:5" x14ac:dyDescent="0.25">
      <c r="A307" t="s">
        <v>48</v>
      </c>
      <c r="B307" t="s">
        <v>134</v>
      </c>
      <c r="C307" t="s">
        <v>395</v>
      </c>
      <c r="D307" t="s">
        <v>395</v>
      </c>
      <c r="E307">
        <v>0</v>
      </c>
    </row>
    <row r="308" spans="1:5" x14ac:dyDescent="0.25">
      <c r="A308" t="s">
        <v>48</v>
      </c>
      <c r="B308" t="s">
        <v>219</v>
      </c>
      <c r="C308" t="s">
        <v>289</v>
      </c>
      <c r="D308" t="s">
        <v>289</v>
      </c>
      <c r="E308">
        <v>0</v>
      </c>
    </row>
    <row r="309" spans="1:5" x14ac:dyDescent="0.25">
      <c r="A309" t="s">
        <v>48</v>
      </c>
      <c r="B309" t="s">
        <v>151</v>
      </c>
      <c r="C309" t="s">
        <v>341</v>
      </c>
      <c r="D309" t="s">
        <v>341</v>
      </c>
      <c r="E309">
        <v>0</v>
      </c>
    </row>
    <row r="310" spans="1:5" x14ac:dyDescent="0.25">
      <c r="A310" t="s">
        <v>48</v>
      </c>
      <c r="B310" t="s">
        <v>198</v>
      </c>
      <c r="C310" t="s">
        <v>201</v>
      </c>
      <c r="D310" t="s">
        <v>201</v>
      </c>
      <c r="E310">
        <v>0</v>
      </c>
    </row>
    <row r="311" spans="1:5" x14ac:dyDescent="0.25">
      <c r="A311" t="s">
        <v>48</v>
      </c>
      <c r="B311" t="s">
        <v>105</v>
      </c>
      <c r="C311" t="s">
        <v>104</v>
      </c>
      <c r="D311" t="s">
        <v>104</v>
      </c>
      <c r="E311">
        <v>0</v>
      </c>
    </row>
    <row r="312" spans="1:5" x14ac:dyDescent="0.25">
      <c r="A312" t="s">
        <v>48</v>
      </c>
      <c r="B312" t="s">
        <v>118</v>
      </c>
      <c r="C312" t="s">
        <v>437</v>
      </c>
      <c r="D312" t="s">
        <v>437</v>
      </c>
      <c r="E312">
        <v>0</v>
      </c>
    </row>
    <row r="313" spans="1:5" x14ac:dyDescent="0.25">
      <c r="A313" t="s">
        <v>48</v>
      </c>
      <c r="B313" t="s">
        <v>282</v>
      </c>
      <c r="C313" t="s">
        <v>334</v>
      </c>
      <c r="D313" t="s">
        <v>334</v>
      </c>
      <c r="E313">
        <v>0</v>
      </c>
    </row>
    <row r="314" spans="1:5" x14ac:dyDescent="0.25">
      <c r="A314" t="s">
        <v>48</v>
      </c>
      <c r="B314" t="s">
        <v>11</v>
      </c>
      <c r="C314" t="s">
        <v>324</v>
      </c>
      <c r="D314" t="s">
        <v>324</v>
      </c>
      <c r="E314">
        <v>0</v>
      </c>
    </row>
    <row r="315" spans="1:5" x14ac:dyDescent="0.25">
      <c r="A315" t="s">
        <v>48</v>
      </c>
      <c r="B315" t="s">
        <v>9</v>
      </c>
      <c r="C315" t="s">
        <v>378</v>
      </c>
      <c r="D315" t="s">
        <v>378</v>
      </c>
      <c r="E315">
        <v>0</v>
      </c>
    </row>
    <row r="316" spans="1:5" x14ac:dyDescent="0.25">
      <c r="A316" t="s">
        <v>48</v>
      </c>
      <c r="B316" t="s">
        <v>280</v>
      </c>
      <c r="C316" t="s">
        <v>384</v>
      </c>
      <c r="D316" t="s">
        <v>384</v>
      </c>
      <c r="E316">
        <v>0</v>
      </c>
    </row>
    <row r="317" spans="1:5" x14ac:dyDescent="0.25">
      <c r="A317" t="s">
        <v>48</v>
      </c>
      <c r="B317" t="s">
        <v>93</v>
      </c>
      <c r="C317" t="s">
        <v>448</v>
      </c>
      <c r="D317" t="s">
        <v>448</v>
      </c>
      <c r="E317">
        <v>0</v>
      </c>
    </row>
    <row r="318" spans="1:5" x14ac:dyDescent="0.25">
      <c r="A318" t="s">
        <v>48</v>
      </c>
      <c r="B318" t="s">
        <v>300</v>
      </c>
      <c r="C318" t="s">
        <v>362</v>
      </c>
      <c r="D318" t="s">
        <v>362</v>
      </c>
      <c r="E318">
        <v>0</v>
      </c>
    </row>
    <row r="319" spans="1:5" x14ac:dyDescent="0.25">
      <c r="A319" t="s">
        <v>48</v>
      </c>
      <c r="B319" t="s">
        <v>141</v>
      </c>
      <c r="C319" t="s">
        <v>366</v>
      </c>
      <c r="D319" t="s">
        <v>366</v>
      </c>
      <c r="E319">
        <v>0</v>
      </c>
    </row>
    <row r="320" spans="1:5" x14ac:dyDescent="0.25">
      <c r="A320" t="s">
        <v>48</v>
      </c>
      <c r="B320" t="s">
        <v>185</v>
      </c>
      <c r="C320" t="s">
        <v>454</v>
      </c>
      <c r="D320" t="s">
        <v>454</v>
      </c>
      <c r="E320">
        <v>0</v>
      </c>
    </row>
    <row r="321" spans="1:5" x14ac:dyDescent="0.25">
      <c r="A321" t="s">
        <v>48</v>
      </c>
      <c r="B321" t="s">
        <v>146</v>
      </c>
      <c r="C321" t="s">
        <v>427</v>
      </c>
      <c r="D321" t="s">
        <v>427</v>
      </c>
      <c r="E321">
        <v>0</v>
      </c>
    </row>
    <row r="322" spans="1:5" x14ac:dyDescent="0.25">
      <c r="A322" t="s">
        <v>48</v>
      </c>
      <c r="B322" t="s">
        <v>85</v>
      </c>
      <c r="C322" t="s">
        <v>251</v>
      </c>
      <c r="D322" t="s">
        <v>251</v>
      </c>
      <c r="E322">
        <v>0</v>
      </c>
    </row>
    <row r="323" spans="1:5" x14ac:dyDescent="0.25">
      <c r="A323" t="s">
        <v>48</v>
      </c>
      <c r="B323" t="s">
        <v>97</v>
      </c>
      <c r="C323" t="s">
        <v>96</v>
      </c>
      <c r="D323" t="s">
        <v>96</v>
      </c>
      <c r="E323">
        <v>0</v>
      </c>
    </row>
    <row r="324" spans="1:5" x14ac:dyDescent="0.25">
      <c r="A324" t="s">
        <v>48</v>
      </c>
      <c r="B324" t="s">
        <v>206</v>
      </c>
      <c r="C324" t="s">
        <v>349</v>
      </c>
      <c r="D324" t="s">
        <v>349</v>
      </c>
      <c r="E324">
        <v>0</v>
      </c>
    </row>
    <row r="325" spans="1:5" x14ac:dyDescent="0.25">
      <c r="A325" t="s">
        <v>48</v>
      </c>
      <c r="B325" t="s">
        <v>41</v>
      </c>
      <c r="C325" t="s">
        <v>49</v>
      </c>
      <c r="D325" t="s">
        <v>49</v>
      </c>
      <c r="E325">
        <v>0</v>
      </c>
    </row>
    <row r="326" spans="1:5" x14ac:dyDescent="0.25">
      <c r="A326" t="s">
        <v>48</v>
      </c>
      <c r="B326" t="s">
        <v>157</v>
      </c>
      <c r="C326" t="s">
        <v>411</v>
      </c>
      <c r="D326" t="s">
        <v>411</v>
      </c>
      <c r="E326">
        <v>0</v>
      </c>
    </row>
    <row r="327" spans="1:5" x14ac:dyDescent="0.25">
      <c r="A327" t="s">
        <v>48</v>
      </c>
      <c r="B327" t="s">
        <v>107</v>
      </c>
      <c r="C327" t="s">
        <v>361</v>
      </c>
      <c r="D327" t="s">
        <v>361</v>
      </c>
      <c r="E327">
        <v>0</v>
      </c>
    </row>
    <row r="328" spans="1:5" x14ac:dyDescent="0.25">
      <c r="A328" t="s">
        <v>23</v>
      </c>
      <c r="B328" t="s">
        <v>317</v>
      </c>
      <c r="C328" t="s">
        <v>361</v>
      </c>
      <c r="D328" t="s">
        <v>361</v>
      </c>
      <c r="E328">
        <v>0</v>
      </c>
    </row>
    <row r="329" spans="1:5" x14ac:dyDescent="0.25">
      <c r="A329" t="s">
        <v>23</v>
      </c>
      <c r="B329" t="s">
        <v>92</v>
      </c>
      <c r="C329" t="s">
        <v>88</v>
      </c>
      <c r="D329" t="s">
        <v>88</v>
      </c>
      <c r="E329">
        <v>0</v>
      </c>
    </row>
    <row r="330" spans="1:5" x14ac:dyDescent="0.25">
      <c r="A330" t="s">
        <v>23</v>
      </c>
      <c r="B330" t="s">
        <v>89</v>
      </c>
      <c r="C330" t="s">
        <v>439</v>
      </c>
      <c r="D330" t="s">
        <v>439</v>
      </c>
      <c r="E330">
        <v>0</v>
      </c>
    </row>
    <row r="331" spans="1:5" x14ac:dyDescent="0.25">
      <c r="A331" t="s">
        <v>23</v>
      </c>
      <c r="B331" t="s">
        <v>60</v>
      </c>
      <c r="C331" t="s">
        <v>386</v>
      </c>
      <c r="D331" t="s">
        <v>386</v>
      </c>
      <c r="E331">
        <v>0</v>
      </c>
    </row>
    <row r="332" spans="1:5" x14ac:dyDescent="0.25">
      <c r="A332" t="s">
        <v>23</v>
      </c>
      <c r="B332" t="s">
        <v>243</v>
      </c>
      <c r="C332" t="s">
        <v>266</v>
      </c>
      <c r="D332" t="s">
        <v>266</v>
      </c>
      <c r="E332">
        <v>0</v>
      </c>
    </row>
    <row r="333" spans="1:5" x14ac:dyDescent="0.25">
      <c r="A333" t="s">
        <v>23</v>
      </c>
      <c r="B333" t="s">
        <v>47</v>
      </c>
      <c r="C333" t="s">
        <v>224</v>
      </c>
      <c r="D333" t="s">
        <v>224</v>
      </c>
      <c r="E333">
        <v>0</v>
      </c>
    </row>
    <row r="334" spans="1:5" x14ac:dyDescent="0.25">
      <c r="A334" t="s">
        <v>23</v>
      </c>
      <c r="B334" t="s">
        <v>22</v>
      </c>
      <c r="C334" t="s">
        <v>251</v>
      </c>
      <c r="D334" t="s">
        <v>251</v>
      </c>
      <c r="E334">
        <v>0</v>
      </c>
    </row>
    <row r="335" spans="1:5" x14ac:dyDescent="0.25">
      <c r="A335" t="s">
        <v>23</v>
      </c>
      <c r="B335" t="s">
        <v>39</v>
      </c>
      <c r="C335" t="s">
        <v>346</v>
      </c>
      <c r="D335" t="s">
        <v>346</v>
      </c>
      <c r="E335">
        <v>0</v>
      </c>
    </row>
    <row r="336" spans="1:5" x14ac:dyDescent="0.25">
      <c r="A336" t="s">
        <v>23</v>
      </c>
      <c r="B336" t="s">
        <v>170</v>
      </c>
      <c r="C336" t="s">
        <v>169</v>
      </c>
      <c r="D336" t="s">
        <v>169</v>
      </c>
      <c r="E336">
        <v>0</v>
      </c>
    </row>
    <row r="337" spans="1:5" x14ac:dyDescent="0.25">
      <c r="A337" t="s">
        <v>23</v>
      </c>
      <c r="B337" t="s">
        <v>227</v>
      </c>
      <c r="C337" t="s">
        <v>226</v>
      </c>
      <c r="D337" t="s">
        <v>226</v>
      </c>
      <c r="E337">
        <v>0</v>
      </c>
    </row>
    <row r="338" spans="1:5" x14ac:dyDescent="0.25">
      <c r="A338" t="s">
        <v>23</v>
      </c>
      <c r="B338" t="s">
        <v>264</v>
      </c>
      <c r="C338" t="s">
        <v>363</v>
      </c>
      <c r="D338" t="s">
        <v>363</v>
      </c>
      <c r="E338">
        <v>0</v>
      </c>
    </row>
    <row r="339" spans="1:5" x14ac:dyDescent="0.25">
      <c r="A339" t="s">
        <v>23</v>
      </c>
      <c r="B339" t="s">
        <v>281</v>
      </c>
      <c r="C339" t="s">
        <v>452</v>
      </c>
      <c r="D339" t="s">
        <v>452</v>
      </c>
      <c r="E339">
        <v>0</v>
      </c>
    </row>
    <row r="340" spans="1:5" x14ac:dyDescent="0.25">
      <c r="A340" t="s">
        <v>23</v>
      </c>
      <c r="B340" t="s">
        <v>131</v>
      </c>
      <c r="C340" t="s">
        <v>414</v>
      </c>
      <c r="D340" t="s">
        <v>414</v>
      </c>
      <c r="E340">
        <v>0</v>
      </c>
    </row>
    <row r="341" spans="1:5" x14ac:dyDescent="0.25">
      <c r="A341" t="s">
        <v>23</v>
      </c>
      <c r="B341" t="s">
        <v>74</v>
      </c>
      <c r="C341" t="s">
        <v>339</v>
      </c>
      <c r="D341" t="s">
        <v>339</v>
      </c>
      <c r="E341">
        <v>0</v>
      </c>
    </row>
    <row r="342" spans="1:5" x14ac:dyDescent="0.25">
      <c r="A342" t="s">
        <v>23</v>
      </c>
      <c r="B342" t="s">
        <v>67</v>
      </c>
      <c r="C342" t="s">
        <v>413</v>
      </c>
      <c r="D342" t="s">
        <v>413</v>
      </c>
      <c r="E342">
        <v>0</v>
      </c>
    </row>
    <row r="343" spans="1:5" x14ac:dyDescent="0.25">
      <c r="A343" t="s">
        <v>23</v>
      </c>
      <c r="B343" t="s">
        <v>228</v>
      </c>
      <c r="C343" t="s">
        <v>346</v>
      </c>
      <c r="D343" t="s">
        <v>346</v>
      </c>
      <c r="E343">
        <v>0</v>
      </c>
    </row>
    <row r="344" spans="1:5" x14ac:dyDescent="0.25">
      <c r="A344" t="s">
        <v>23</v>
      </c>
      <c r="B344" t="s">
        <v>188</v>
      </c>
      <c r="C344" t="s">
        <v>186</v>
      </c>
      <c r="D344" t="s">
        <v>186</v>
      </c>
      <c r="E344">
        <v>0</v>
      </c>
    </row>
    <row r="345" spans="1:5" x14ac:dyDescent="0.25">
      <c r="A345" t="s">
        <v>23</v>
      </c>
      <c r="B345" t="s">
        <v>209</v>
      </c>
      <c r="C345" t="s">
        <v>373</v>
      </c>
      <c r="D345" t="s">
        <v>373</v>
      </c>
      <c r="E345">
        <v>0</v>
      </c>
    </row>
    <row r="346" spans="1:5" x14ac:dyDescent="0.25">
      <c r="A346" t="s">
        <v>23</v>
      </c>
      <c r="B346" t="s">
        <v>32</v>
      </c>
      <c r="C346" t="s">
        <v>373</v>
      </c>
      <c r="D346" t="s">
        <v>373</v>
      </c>
      <c r="E346">
        <v>0</v>
      </c>
    </row>
    <row r="347" spans="1:5" x14ac:dyDescent="0.25">
      <c r="A347" t="s">
        <v>23</v>
      </c>
      <c r="B347" t="s">
        <v>91</v>
      </c>
      <c r="C347" t="s">
        <v>406</v>
      </c>
      <c r="D347" t="s">
        <v>406</v>
      </c>
      <c r="E347">
        <v>0</v>
      </c>
    </row>
    <row r="348" spans="1:5" x14ac:dyDescent="0.25">
      <c r="A348" t="s">
        <v>23</v>
      </c>
      <c r="B348" t="s">
        <v>150</v>
      </c>
      <c r="C348" t="s">
        <v>310</v>
      </c>
      <c r="D348" t="s">
        <v>310</v>
      </c>
      <c r="E348">
        <v>0</v>
      </c>
    </row>
    <row r="349" spans="1:5" x14ac:dyDescent="0.25">
      <c r="A349" t="s">
        <v>23</v>
      </c>
      <c r="B349" t="s">
        <v>69</v>
      </c>
      <c r="C349" t="s">
        <v>88</v>
      </c>
      <c r="D349" t="s">
        <v>88</v>
      </c>
      <c r="E349">
        <v>0</v>
      </c>
    </row>
    <row r="350" spans="1:5" x14ac:dyDescent="0.25">
      <c r="A350" t="s">
        <v>23</v>
      </c>
      <c r="B350" t="s">
        <v>144</v>
      </c>
      <c r="C350" t="s">
        <v>444</v>
      </c>
      <c r="D350" t="s">
        <v>444</v>
      </c>
      <c r="E350">
        <v>0</v>
      </c>
    </row>
    <row r="351" spans="1:5" x14ac:dyDescent="0.25">
      <c r="A351" t="s">
        <v>23</v>
      </c>
      <c r="B351" t="s">
        <v>66</v>
      </c>
      <c r="C351" t="s">
        <v>381</v>
      </c>
      <c r="D351" t="s">
        <v>381</v>
      </c>
      <c r="E351">
        <v>0</v>
      </c>
    </row>
    <row r="352" spans="1:5" x14ac:dyDescent="0.25">
      <c r="A352" t="s">
        <v>23</v>
      </c>
      <c r="B352" t="s">
        <v>330</v>
      </c>
      <c r="C352" t="s">
        <v>442</v>
      </c>
      <c r="D352" t="s">
        <v>442</v>
      </c>
      <c r="E352">
        <v>0</v>
      </c>
    </row>
    <row r="353" spans="1:5" x14ac:dyDescent="0.25">
      <c r="A353" t="s">
        <v>23</v>
      </c>
      <c r="B353" t="s">
        <v>153</v>
      </c>
      <c r="C353" t="s">
        <v>415</v>
      </c>
      <c r="D353" t="s">
        <v>415</v>
      </c>
      <c r="E353">
        <v>0</v>
      </c>
    </row>
    <row r="354" spans="1:5" x14ac:dyDescent="0.25">
      <c r="A354" t="s">
        <v>23</v>
      </c>
      <c r="B354" t="s">
        <v>53</v>
      </c>
      <c r="C354" t="s">
        <v>230</v>
      </c>
      <c r="D354" t="s">
        <v>230</v>
      </c>
      <c r="E354">
        <v>0</v>
      </c>
    </row>
    <row r="355" spans="1:5" x14ac:dyDescent="0.25">
      <c r="A355" t="s">
        <v>23</v>
      </c>
      <c r="B355" t="s">
        <v>252</v>
      </c>
      <c r="C355" t="s">
        <v>391</v>
      </c>
      <c r="D355" t="s">
        <v>391</v>
      </c>
      <c r="E355">
        <v>0</v>
      </c>
    </row>
    <row r="356" spans="1:5" x14ac:dyDescent="0.25">
      <c r="A356" t="s">
        <v>23</v>
      </c>
      <c r="B356" t="s">
        <v>79</v>
      </c>
      <c r="C356" t="s">
        <v>226</v>
      </c>
      <c r="D356" t="s">
        <v>226</v>
      </c>
      <c r="E356">
        <v>0</v>
      </c>
    </row>
    <row r="357" spans="1:5" x14ac:dyDescent="0.25">
      <c r="A357" t="s">
        <v>23</v>
      </c>
      <c r="B357" t="s">
        <v>223</v>
      </c>
      <c r="C357" t="s">
        <v>307</v>
      </c>
      <c r="D357" t="s">
        <v>307</v>
      </c>
      <c r="E357">
        <v>0</v>
      </c>
    </row>
    <row r="358" spans="1:5" x14ac:dyDescent="0.25">
      <c r="A358" t="s">
        <v>23</v>
      </c>
      <c r="B358" t="s">
        <v>232</v>
      </c>
      <c r="C358" t="s">
        <v>233</v>
      </c>
      <c r="D358" t="s">
        <v>233</v>
      </c>
      <c r="E358">
        <v>0</v>
      </c>
    </row>
    <row r="359" spans="1:5" x14ac:dyDescent="0.25">
      <c r="A359" t="s">
        <v>23</v>
      </c>
      <c r="B359" t="s">
        <v>338</v>
      </c>
      <c r="C359" t="s">
        <v>339</v>
      </c>
      <c r="D359" t="s">
        <v>339</v>
      </c>
      <c r="E359">
        <v>0</v>
      </c>
    </row>
    <row r="360" spans="1:5" x14ac:dyDescent="0.25">
      <c r="A360" t="s">
        <v>23</v>
      </c>
      <c r="B360" t="s">
        <v>24</v>
      </c>
      <c r="C360" t="s">
        <v>21</v>
      </c>
      <c r="D360" t="s">
        <v>21</v>
      </c>
      <c r="E360">
        <v>0</v>
      </c>
    </row>
    <row r="361" spans="1:5" x14ac:dyDescent="0.25">
      <c r="A361" t="s">
        <v>23</v>
      </c>
      <c r="B361" t="s">
        <v>198</v>
      </c>
      <c r="C361" t="s">
        <v>199</v>
      </c>
      <c r="D361" t="s">
        <v>199</v>
      </c>
      <c r="E361">
        <v>0</v>
      </c>
    </row>
    <row r="362" spans="1:5" x14ac:dyDescent="0.25">
      <c r="A362" t="s">
        <v>23</v>
      </c>
      <c r="B362" t="s">
        <v>29</v>
      </c>
      <c r="C362" t="s">
        <v>177</v>
      </c>
      <c r="D362" t="s">
        <v>177</v>
      </c>
      <c r="E362">
        <v>0</v>
      </c>
    </row>
    <row r="363" spans="1:5" x14ac:dyDescent="0.25">
      <c r="A363" t="s">
        <v>23</v>
      </c>
      <c r="B363" t="s">
        <v>70</v>
      </c>
      <c r="C363" t="s">
        <v>65</v>
      </c>
      <c r="D363" t="s">
        <v>65</v>
      </c>
      <c r="E363">
        <v>0</v>
      </c>
    </row>
    <row r="364" spans="1:5" x14ac:dyDescent="0.25">
      <c r="A364" t="s">
        <v>23</v>
      </c>
      <c r="B364" t="s">
        <v>105</v>
      </c>
      <c r="C364" t="s">
        <v>424</v>
      </c>
      <c r="D364" t="s">
        <v>424</v>
      </c>
      <c r="E364">
        <v>0</v>
      </c>
    </row>
    <row r="365" spans="1:5" x14ac:dyDescent="0.25">
      <c r="A365" t="s">
        <v>23</v>
      </c>
      <c r="B365" t="s">
        <v>11</v>
      </c>
      <c r="C365" t="s">
        <v>393</v>
      </c>
      <c r="D365" t="s">
        <v>393</v>
      </c>
      <c r="E365">
        <v>0</v>
      </c>
    </row>
    <row r="366" spans="1:5" x14ac:dyDescent="0.25">
      <c r="A366" t="s">
        <v>23</v>
      </c>
      <c r="B366" t="s">
        <v>316</v>
      </c>
      <c r="C366" t="s">
        <v>420</v>
      </c>
      <c r="D366" t="s">
        <v>420</v>
      </c>
      <c r="E366">
        <v>0</v>
      </c>
    </row>
    <row r="367" spans="1:5" x14ac:dyDescent="0.25">
      <c r="A367" t="s">
        <v>23</v>
      </c>
      <c r="B367" t="s">
        <v>141</v>
      </c>
      <c r="C367" t="s">
        <v>319</v>
      </c>
      <c r="D367" t="s">
        <v>319</v>
      </c>
      <c r="E367">
        <v>0</v>
      </c>
    </row>
    <row r="368" spans="1:5" x14ac:dyDescent="0.25">
      <c r="A368" t="s">
        <v>23</v>
      </c>
      <c r="B368" t="s">
        <v>212</v>
      </c>
      <c r="C368" t="s">
        <v>211</v>
      </c>
      <c r="D368" t="s">
        <v>211</v>
      </c>
      <c r="E368">
        <v>0</v>
      </c>
    </row>
    <row r="369" spans="1:5" x14ac:dyDescent="0.25">
      <c r="A369" t="s">
        <v>23</v>
      </c>
      <c r="B369" t="s">
        <v>296</v>
      </c>
      <c r="C369" t="s">
        <v>358</v>
      </c>
      <c r="D369" t="s">
        <v>358</v>
      </c>
      <c r="E369">
        <v>0</v>
      </c>
    </row>
    <row r="370" spans="1:5" x14ac:dyDescent="0.25">
      <c r="A370" t="s">
        <v>23</v>
      </c>
      <c r="B370" t="s">
        <v>28</v>
      </c>
      <c r="C370" t="s">
        <v>236</v>
      </c>
      <c r="D370" t="s">
        <v>236</v>
      </c>
      <c r="E370">
        <v>0</v>
      </c>
    </row>
    <row r="371" spans="1:5" x14ac:dyDescent="0.25">
      <c r="A371" t="s">
        <v>23</v>
      </c>
      <c r="B371" t="s">
        <v>25</v>
      </c>
      <c r="C371" t="s">
        <v>403</v>
      </c>
      <c r="D371" t="s">
        <v>403</v>
      </c>
      <c r="E371">
        <v>0</v>
      </c>
    </row>
    <row r="372" spans="1:5" x14ac:dyDescent="0.25">
      <c r="A372" t="s">
        <v>23</v>
      </c>
      <c r="B372" t="s">
        <v>97</v>
      </c>
      <c r="C372" t="s">
        <v>267</v>
      </c>
      <c r="D372" t="s">
        <v>267</v>
      </c>
      <c r="E372">
        <v>0</v>
      </c>
    </row>
    <row r="373" spans="1:5" x14ac:dyDescent="0.25">
      <c r="A373" t="s">
        <v>23</v>
      </c>
      <c r="B373" t="s">
        <v>108</v>
      </c>
      <c r="C373" t="s">
        <v>106</v>
      </c>
      <c r="D373" t="s">
        <v>106</v>
      </c>
      <c r="E373">
        <v>0</v>
      </c>
    </row>
    <row r="374" spans="1:5" x14ac:dyDescent="0.25">
      <c r="A374" t="s">
        <v>23</v>
      </c>
      <c r="B374" t="s">
        <v>172</v>
      </c>
      <c r="C374" t="s">
        <v>169</v>
      </c>
      <c r="D374" t="s">
        <v>169</v>
      </c>
      <c r="E374">
        <v>0</v>
      </c>
    </row>
    <row r="375" spans="1:5" x14ac:dyDescent="0.25">
      <c r="A375" t="s">
        <v>23</v>
      </c>
      <c r="B375" t="s">
        <v>31</v>
      </c>
      <c r="C375" t="s">
        <v>326</v>
      </c>
      <c r="D375" t="s">
        <v>326</v>
      </c>
      <c r="E375">
        <v>0</v>
      </c>
    </row>
    <row r="376" spans="1:5" x14ac:dyDescent="0.25">
      <c r="A376" t="s">
        <v>10</v>
      </c>
      <c r="B376" t="s">
        <v>184</v>
      </c>
      <c r="C376" t="s">
        <v>416</v>
      </c>
      <c r="D376" t="s">
        <v>416</v>
      </c>
      <c r="E376">
        <v>0</v>
      </c>
    </row>
    <row r="377" spans="1:5" x14ac:dyDescent="0.25">
      <c r="A377" t="s">
        <v>10</v>
      </c>
      <c r="B377" t="s">
        <v>77</v>
      </c>
      <c r="C377" t="s">
        <v>339</v>
      </c>
      <c r="D377" t="s">
        <v>339</v>
      </c>
      <c r="E377">
        <v>0</v>
      </c>
    </row>
    <row r="378" spans="1:5" x14ac:dyDescent="0.25">
      <c r="A378" t="s">
        <v>10</v>
      </c>
      <c r="B378" t="s">
        <v>243</v>
      </c>
      <c r="C378" t="s">
        <v>366</v>
      </c>
      <c r="D378" t="s">
        <v>366</v>
      </c>
      <c r="E378">
        <v>0</v>
      </c>
    </row>
    <row r="379" spans="1:5" x14ac:dyDescent="0.25">
      <c r="A379" t="s">
        <v>10</v>
      </c>
      <c r="B379" t="s">
        <v>148</v>
      </c>
      <c r="C379" t="s">
        <v>437</v>
      </c>
      <c r="D379" t="s">
        <v>437</v>
      </c>
      <c r="E379">
        <v>0</v>
      </c>
    </row>
    <row r="380" spans="1:5" x14ac:dyDescent="0.25">
      <c r="A380" t="s">
        <v>10</v>
      </c>
      <c r="B380" t="s">
        <v>95</v>
      </c>
      <c r="C380" t="s">
        <v>192</v>
      </c>
      <c r="D380" t="s">
        <v>192</v>
      </c>
      <c r="E380">
        <v>0</v>
      </c>
    </row>
    <row r="381" spans="1:5" x14ac:dyDescent="0.25">
      <c r="A381" t="s">
        <v>10</v>
      </c>
      <c r="B381" t="s">
        <v>47</v>
      </c>
      <c r="C381" t="s">
        <v>367</v>
      </c>
      <c r="D381" t="s">
        <v>367</v>
      </c>
      <c r="E381">
        <v>0</v>
      </c>
    </row>
    <row r="382" spans="1:5" x14ac:dyDescent="0.25">
      <c r="A382" t="s">
        <v>10</v>
      </c>
      <c r="B382" t="s">
        <v>75</v>
      </c>
      <c r="C382" t="s">
        <v>119</v>
      </c>
      <c r="D382" t="s">
        <v>119</v>
      </c>
      <c r="E382">
        <v>0</v>
      </c>
    </row>
    <row r="383" spans="1:5" x14ac:dyDescent="0.25">
      <c r="A383" t="s">
        <v>10</v>
      </c>
      <c r="B383" t="s">
        <v>40</v>
      </c>
      <c r="C383" t="s">
        <v>33</v>
      </c>
      <c r="D383" t="s">
        <v>33</v>
      </c>
      <c r="E383">
        <v>0</v>
      </c>
    </row>
    <row r="384" spans="1:5" x14ac:dyDescent="0.25">
      <c r="A384" t="s">
        <v>10</v>
      </c>
      <c r="B384" t="s">
        <v>22</v>
      </c>
      <c r="C384" t="s">
        <v>21</v>
      </c>
      <c r="D384" t="s">
        <v>21</v>
      </c>
      <c r="E384">
        <v>0</v>
      </c>
    </row>
    <row r="385" spans="1:5" x14ac:dyDescent="0.25">
      <c r="A385" t="s">
        <v>10</v>
      </c>
      <c r="B385" t="s">
        <v>39</v>
      </c>
      <c r="C385" t="s">
        <v>201</v>
      </c>
      <c r="D385" t="s">
        <v>201</v>
      </c>
      <c r="E385">
        <v>0</v>
      </c>
    </row>
    <row r="386" spans="1:5" x14ac:dyDescent="0.25">
      <c r="A386" t="s">
        <v>10</v>
      </c>
      <c r="B386" t="s">
        <v>130</v>
      </c>
      <c r="C386" t="s">
        <v>128</v>
      </c>
      <c r="D386" t="s">
        <v>128</v>
      </c>
      <c r="E386">
        <v>0</v>
      </c>
    </row>
    <row r="387" spans="1:5" x14ac:dyDescent="0.25">
      <c r="A387" t="s">
        <v>10</v>
      </c>
      <c r="B387" t="s">
        <v>229</v>
      </c>
      <c r="C387" t="s">
        <v>226</v>
      </c>
      <c r="D387" t="s">
        <v>226</v>
      </c>
      <c r="E387">
        <v>0</v>
      </c>
    </row>
    <row r="388" spans="1:5" x14ac:dyDescent="0.25">
      <c r="A388" t="s">
        <v>10</v>
      </c>
      <c r="B388" t="s">
        <v>227</v>
      </c>
      <c r="C388" t="s">
        <v>318</v>
      </c>
      <c r="D388" t="s">
        <v>318</v>
      </c>
      <c r="E388">
        <v>0</v>
      </c>
    </row>
    <row r="389" spans="1:5" x14ac:dyDescent="0.25">
      <c r="A389" t="s">
        <v>10</v>
      </c>
      <c r="B389" t="s">
        <v>122</v>
      </c>
      <c r="C389" t="s">
        <v>119</v>
      </c>
      <c r="D389" t="s">
        <v>119</v>
      </c>
      <c r="E389">
        <v>0</v>
      </c>
    </row>
    <row r="390" spans="1:5" x14ac:dyDescent="0.25">
      <c r="A390" t="s">
        <v>10</v>
      </c>
      <c r="B390" t="s">
        <v>166</v>
      </c>
      <c r="C390" t="s">
        <v>167</v>
      </c>
      <c r="D390" t="s">
        <v>167</v>
      </c>
      <c r="E390">
        <v>0</v>
      </c>
    </row>
    <row r="391" spans="1:5" x14ac:dyDescent="0.25">
      <c r="A391" t="s">
        <v>10</v>
      </c>
      <c r="B391" t="s">
        <v>320</v>
      </c>
      <c r="C391" t="s">
        <v>360</v>
      </c>
      <c r="D391" t="s">
        <v>360</v>
      </c>
      <c r="E391">
        <v>0</v>
      </c>
    </row>
    <row r="392" spans="1:5" x14ac:dyDescent="0.25">
      <c r="A392" t="s">
        <v>10</v>
      </c>
      <c r="B392" t="s">
        <v>71</v>
      </c>
      <c r="C392" t="s">
        <v>315</v>
      </c>
      <c r="D392" t="s">
        <v>315</v>
      </c>
      <c r="E392">
        <v>0</v>
      </c>
    </row>
    <row r="393" spans="1:5" x14ac:dyDescent="0.25">
      <c r="A393" t="s">
        <v>10</v>
      </c>
      <c r="B393" t="s">
        <v>86</v>
      </c>
      <c r="C393" t="s">
        <v>230</v>
      </c>
      <c r="D393" t="s">
        <v>230</v>
      </c>
      <c r="E393">
        <v>0</v>
      </c>
    </row>
    <row r="394" spans="1:5" x14ac:dyDescent="0.25">
      <c r="A394" t="s">
        <v>10</v>
      </c>
      <c r="B394" t="s">
        <v>6</v>
      </c>
      <c r="C394" t="s">
        <v>404</v>
      </c>
      <c r="D394" t="s">
        <v>404</v>
      </c>
      <c r="E394">
        <v>0</v>
      </c>
    </row>
    <row r="395" spans="1:5" x14ac:dyDescent="0.25">
      <c r="A395" t="s">
        <v>10</v>
      </c>
      <c r="B395" t="s">
        <v>238</v>
      </c>
      <c r="C395" t="s">
        <v>236</v>
      </c>
      <c r="D395" t="s">
        <v>236</v>
      </c>
      <c r="E395">
        <v>0</v>
      </c>
    </row>
    <row r="396" spans="1:5" x14ac:dyDescent="0.25">
      <c r="A396" t="s">
        <v>10</v>
      </c>
      <c r="B396" t="s">
        <v>69</v>
      </c>
      <c r="C396" t="s">
        <v>395</v>
      </c>
      <c r="D396" t="s">
        <v>395</v>
      </c>
      <c r="E396">
        <v>0</v>
      </c>
    </row>
    <row r="397" spans="1:5" x14ac:dyDescent="0.25">
      <c r="A397" t="s">
        <v>10</v>
      </c>
      <c r="B397" t="s">
        <v>125</v>
      </c>
      <c r="C397" t="s">
        <v>135</v>
      </c>
      <c r="D397" t="s">
        <v>135</v>
      </c>
      <c r="E397">
        <v>0</v>
      </c>
    </row>
    <row r="398" spans="1:5" x14ac:dyDescent="0.25">
      <c r="A398" t="s">
        <v>10</v>
      </c>
      <c r="B398" t="s">
        <v>140</v>
      </c>
      <c r="C398" t="s">
        <v>388</v>
      </c>
      <c r="D398" t="s">
        <v>388</v>
      </c>
      <c r="E398">
        <v>0</v>
      </c>
    </row>
    <row r="399" spans="1:5" x14ac:dyDescent="0.25">
      <c r="A399" t="s">
        <v>10</v>
      </c>
      <c r="B399" t="s">
        <v>202</v>
      </c>
      <c r="C399" t="s">
        <v>442</v>
      </c>
      <c r="D399" t="s">
        <v>442</v>
      </c>
      <c r="E399">
        <v>0</v>
      </c>
    </row>
    <row r="400" spans="1:5" x14ac:dyDescent="0.25">
      <c r="A400" t="s">
        <v>10</v>
      </c>
      <c r="B400" t="s">
        <v>66</v>
      </c>
      <c r="C400" t="s">
        <v>349</v>
      </c>
      <c r="D400" t="s">
        <v>349</v>
      </c>
      <c r="E400">
        <v>0</v>
      </c>
    </row>
    <row r="401" spans="1:5" x14ac:dyDescent="0.25">
      <c r="A401" t="s">
        <v>10</v>
      </c>
      <c r="B401" t="s">
        <v>268</v>
      </c>
      <c r="C401" t="s">
        <v>267</v>
      </c>
      <c r="D401" t="s">
        <v>267</v>
      </c>
      <c r="E401">
        <v>0</v>
      </c>
    </row>
    <row r="402" spans="1:5" x14ac:dyDescent="0.25">
      <c r="A402" t="s">
        <v>10</v>
      </c>
      <c r="B402" t="s">
        <v>53</v>
      </c>
      <c r="C402" t="s">
        <v>443</v>
      </c>
      <c r="D402" t="s">
        <v>443</v>
      </c>
      <c r="E402">
        <v>0</v>
      </c>
    </row>
    <row r="403" spans="1:5" x14ac:dyDescent="0.25">
      <c r="A403" t="s">
        <v>10</v>
      </c>
      <c r="B403" t="s">
        <v>272</v>
      </c>
      <c r="C403" t="s">
        <v>377</v>
      </c>
      <c r="D403" t="s">
        <v>377</v>
      </c>
      <c r="E403">
        <v>0</v>
      </c>
    </row>
    <row r="404" spans="1:5" x14ac:dyDescent="0.25">
      <c r="A404" t="s">
        <v>10</v>
      </c>
      <c r="B404" t="s">
        <v>79</v>
      </c>
      <c r="C404" t="s">
        <v>78</v>
      </c>
      <c r="D404" t="s">
        <v>78</v>
      </c>
      <c r="E404">
        <v>0</v>
      </c>
    </row>
    <row r="405" spans="1:5" x14ac:dyDescent="0.25">
      <c r="A405" t="s">
        <v>10</v>
      </c>
      <c r="B405" t="s">
        <v>34</v>
      </c>
      <c r="C405" t="s">
        <v>255</v>
      </c>
      <c r="D405" t="s">
        <v>255</v>
      </c>
      <c r="E405">
        <v>0</v>
      </c>
    </row>
    <row r="406" spans="1:5" x14ac:dyDescent="0.25">
      <c r="A406" t="s">
        <v>10</v>
      </c>
      <c r="B406" t="s">
        <v>165</v>
      </c>
      <c r="C406" t="s">
        <v>261</v>
      </c>
      <c r="D406" t="s">
        <v>261</v>
      </c>
      <c r="E406">
        <v>0</v>
      </c>
    </row>
    <row r="407" spans="1:5" x14ac:dyDescent="0.25">
      <c r="A407" t="s">
        <v>10</v>
      </c>
      <c r="B407" t="s">
        <v>232</v>
      </c>
      <c r="C407" t="s">
        <v>274</v>
      </c>
      <c r="D407" t="s">
        <v>274</v>
      </c>
      <c r="E407">
        <v>0</v>
      </c>
    </row>
    <row r="408" spans="1:5" x14ac:dyDescent="0.25">
      <c r="A408" t="s">
        <v>10</v>
      </c>
      <c r="B408" t="s">
        <v>103</v>
      </c>
      <c r="C408" t="s">
        <v>349</v>
      </c>
      <c r="D408" t="s">
        <v>349</v>
      </c>
      <c r="E408">
        <v>0</v>
      </c>
    </row>
    <row r="409" spans="1:5" x14ac:dyDescent="0.25">
      <c r="A409" t="s">
        <v>10</v>
      </c>
      <c r="B409" t="s">
        <v>207</v>
      </c>
      <c r="C409" t="s">
        <v>208</v>
      </c>
      <c r="D409" t="s">
        <v>208</v>
      </c>
      <c r="E409">
        <v>0</v>
      </c>
    </row>
    <row r="410" spans="1:5" x14ac:dyDescent="0.25">
      <c r="A410" t="s">
        <v>10</v>
      </c>
      <c r="B410" t="s">
        <v>214</v>
      </c>
      <c r="C410" t="s">
        <v>376</v>
      </c>
      <c r="D410" t="s">
        <v>376</v>
      </c>
      <c r="E410">
        <v>0</v>
      </c>
    </row>
    <row r="411" spans="1:5" x14ac:dyDescent="0.25">
      <c r="A411" t="s">
        <v>10</v>
      </c>
      <c r="B411" t="s">
        <v>191</v>
      </c>
      <c r="C411" t="s">
        <v>398</v>
      </c>
      <c r="D411" t="s">
        <v>398</v>
      </c>
      <c r="E411">
        <v>0</v>
      </c>
    </row>
    <row r="412" spans="1:5" x14ac:dyDescent="0.25">
      <c r="A412" t="s">
        <v>10</v>
      </c>
      <c r="B412" t="s">
        <v>171</v>
      </c>
      <c r="C412" t="s">
        <v>384</v>
      </c>
      <c r="D412" t="s">
        <v>384</v>
      </c>
      <c r="E412">
        <v>0</v>
      </c>
    </row>
    <row r="413" spans="1:5" x14ac:dyDescent="0.25">
      <c r="A413" t="s">
        <v>10</v>
      </c>
      <c r="B413" t="s">
        <v>198</v>
      </c>
      <c r="C413" t="s">
        <v>340</v>
      </c>
      <c r="D413" t="s">
        <v>340</v>
      </c>
      <c r="E413">
        <v>0</v>
      </c>
    </row>
    <row r="414" spans="1:5" x14ac:dyDescent="0.25">
      <c r="A414" t="s">
        <v>10</v>
      </c>
      <c r="B414" t="s">
        <v>282</v>
      </c>
      <c r="C414" t="s">
        <v>279</v>
      </c>
      <c r="D414" t="s">
        <v>279</v>
      </c>
      <c r="E414">
        <v>0</v>
      </c>
    </row>
    <row r="415" spans="1:5" x14ac:dyDescent="0.25">
      <c r="A415" t="s">
        <v>10</v>
      </c>
      <c r="B415" t="s">
        <v>11</v>
      </c>
      <c r="C415" t="s">
        <v>7</v>
      </c>
      <c r="D415" t="s">
        <v>7</v>
      </c>
      <c r="E415">
        <v>0</v>
      </c>
    </row>
    <row r="416" spans="1:5" x14ac:dyDescent="0.25">
      <c r="A416" t="s">
        <v>10</v>
      </c>
      <c r="B416" t="s">
        <v>316</v>
      </c>
      <c r="C416" t="s">
        <v>385</v>
      </c>
      <c r="D416" t="s">
        <v>385</v>
      </c>
      <c r="E416">
        <v>0</v>
      </c>
    </row>
    <row r="417" spans="1:5" x14ac:dyDescent="0.25">
      <c r="A417" t="s">
        <v>10</v>
      </c>
      <c r="B417" t="s">
        <v>280</v>
      </c>
      <c r="C417" t="s">
        <v>279</v>
      </c>
      <c r="D417" t="s">
        <v>279</v>
      </c>
      <c r="E417">
        <v>0</v>
      </c>
    </row>
    <row r="418" spans="1:5" x14ac:dyDescent="0.25">
      <c r="A418" t="s">
        <v>10</v>
      </c>
      <c r="B418" t="s">
        <v>300</v>
      </c>
      <c r="C418" t="s">
        <v>331</v>
      </c>
      <c r="D418" t="s">
        <v>331</v>
      </c>
      <c r="E418">
        <v>0</v>
      </c>
    </row>
    <row r="419" spans="1:5" x14ac:dyDescent="0.25">
      <c r="A419" t="s">
        <v>10</v>
      </c>
      <c r="B419" t="s">
        <v>61</v>
      </c>
      <c r="C419" t="s">
        <v>58</v>
      </c>
      <c r="D419" t="s">
        <v>58</v>
      </c>
      <c r="E419">
        <v>0</v>
      </c>
    </row>
    <row r="420" spans="1:5" x14ac:dyDescent="0.25">
      <c r="A420" t="s">
        <v>10</v>
      </c>
      <c r="B420" t="s">
        <v>13</v>
      </c>
      <c r="C420" t="s">
        <v>104</v>
      </c>
      <c r="D420" t="s">
        <v>104</v>
      </c>
      <c r="E420">
        <v>0</v>
      </c>
    </row>
    <row r="421" spans="1:5" x14ac:dyDescent="0.25">
      <c r="A421" t="s">
        <v>10</v>
      </c>
      <c r="B421" t="s">
        <v>18</v>
      </c>
      <c r="C421" t="s">
        <v>128</v>
      </c>
      <c r="D421" t="s">
        <v>128</v>
      </c>
      <c r="E421">
        <v>0</v>
      </c>
    </row>
    <row r="422" spans="1:5" x14ac:dyDescent="0.25">
      <c r="A422" t="s">
        <v>10</v>
      </c>
      <c r="B422" t="s">
        <v>101</v>
      </c>
      <c r="C422" t="s">
        <v>368</v>
      </c>
      <c r="D422" t="s">
        <v>368</v>
      </c>
      <c r="E422">
        <v>0</v>
      </c>
    </row>
    <row r="423" spans="1:5" x14ac:dyDescent="0.25">
      <c r="A423" t="s">
        <v>10</v>
      </c>
      <c r="B423" t="s">
        <v>296</v>
      </c>
      <c r="C423" t="s">
        <v>295</v>
      </c>
      <c r="D423" t="s">
        <v>295</v>
      </c>
      <c r="E423">
        <v>0</v>
      </c>
    </row>
    <row r="424" spans="1:5" x14ac:dyDescent="0.25">
      <c r="A424" t="s">
        <v>10</v>
      </c>
      <c r="B424" t="s">
        <v>25</v>
      </c>
      <c r="C424" t="s">
        <v>285</v>
      </c>
      <c r="D424" t="s">
        <v>285</v>
      </c>
      <c r="E424">
        <v>0</v>
      </c>
    </row>
    <row r="425" spans="1:5" x14ac:dyDescent="0.25">
      <c r="A425" t="s">
        <v>10</v>
      </c>
      <c r="B425" t="s">
        <v>68</v>
      </c>
      <c r="C425" t="s">
        <v>117</v>
      </c>
      <c r="D425" t="s">
        <v>117</v>
      </c>
      <c r="E425">
        <v>0</v>
      </c>
    </row>
    <row r="426" spans="1:5" x14ac:dyDescent="0.25">
      <c r="A426" t="s">
        <v>10</v>
      </c>
      <c r="B426" t="s">
        <v>108</v>
      </c>
      <c r="C426" t="s">
        <v>396</v>
      </c>
      <c r="D426" t="s">
        <v>396</v>
      </c>
      <c r="E426">
        <v>0</v>
      </c>
    </row>
    <row r="427" spans="1:5" x14ac:dyDescent="0.25">
      <c r="A427" t="s">
        <v>10</v>
      </c>
      <c r="B427" t="s">
        <v>107</v>
      </c>
      <c r="C427" t="s">
        <v>427</v>
      </c>
      <c r="D427" t="s">
        <v>427</v>
      </c>
      <c r="E427">
        <v>0</v>
      </c>
    </row>
    <row r="428" spans="1:5" x14ac:dyDescent="0.25">
      <c r="A428" t="s">
        <v>10</v>
      </c>
      <c r="B428" t="s">
        <v>244</v>
      </c>
      <c r="C428" t="s">
        <v>453</v>
      </c>
      <c r="D428" t="s">
        <v>453</v>
      </c>
      <c r="E428">
        <v>0</v>
      </c>
    </row>
    <row r="429" spans="1:5" x14ac:dyDescent="0.25">
      <c r="A429" t="s">
        <v>17</v>
      </c>
      <c r="B429" t="s">
        <v>438</v>
      </c>
      <c r="C429" t="s">
        <v>437</v>
      </c>
      <c r="D429" t="s">
        <v>437</v>
      </c>
      <c r="E429">
        <v>0</v>
      </c>
    </row>
    <row r="430" spans="1:5" x14ac:dyDescent="0.25">
      <c r="A430" t="s">
        <v>17</v>
      </c>
      <c r="B430" t="s">
        <v>64</v>
      </c>
      <c r="C430" t="s">
        <v>261</v>
      </c>
      <c r="D430" t="s">
        <v>261</v>
      </c>
      <c r="E430">
        <v>0</v>
      </c>
    </row>
    <row r="431" spans="1:5" x14ac:dyDescent="0.25">
      <c r="A431" t="s">
        <v>17</v>
      </c>
      <c r="B431" t="s">
        <v>126</v>
      </c>
      <c r="C431" t="s">
        <v>213</v>
      </c>
      <c r="D431" t="s">
        <v>213</v>
      </c>
      <c r="E431">
        <v>0</v>
      </c>
    </row>
    <row r="432" spans="1:5" x14ac:dyDescent="0.25">
      <c r="A432" t="s">
        <v>17</v>
      </c>
      <c r="B432" t="s">
        <v>180</v>
      </c>
      <c r="C432" t="s">
        <v>211</v>
      </c>
      <c r="D432" t="s">
        <v>211</v>
      </c>
      <c r="E432">
        <v>0</v>
      </c>
    </row>
    <row r="433" spans="1:5" x14ac:dyDescent="0.25">
      <c r="A433" t="s">
        <v>17</v>
      </c>
      <c r="B433" t="s">
        <v>158</v>
      </c>
      <c r="C433" t="s">
        <v>233</v>
      </c>
      <c r="D433" t="s">
        <v>233</v>
      </c>
      <c r="E433">
        <v>0</v>
      </c>
    </row>
    <row r="434" spans="1:5" x14ac:dyDescent="0.25">
      <c r="A434" t="s">
        <v>17</v>
      </c>
      <c r="B434" t="s">
        <v>47</v>
      </c>
      <c r="C434" t="s">
        <v>392</v>
      </c>
      <c r="D434" t="s">
        <v>392</v>
      </c>
      <c r="E434">
        <v>0</v>
      </c>
    </row>
    <row r="435" spans="1:5" x14ac:dyDescent="0.25">
      <c r="A435" t="s">
        <v>17</v>
      </c>
      <c r="B435" t="s">
        <v>216</v>
      </c>
      <c r="C435" t="s">
        <v>241</v>
      </c>
      <c r="D435" t="s">
        <v>241</v>
      </c>
      <c r="E435">
        <v>0</v>
      </c>
    </row>
    <row r="436" spans="1:5" x14ac:dyDescent="0.25">
      <c r="A436" t="s">
        <v>17</v>
      </c>
      <c r="B436" t="s">
        <v>304</v>
      </c>
      <c r="C436" t="s">
        <v>303</v>
      </c>
      <c r="D436" t="s">
        <v>303</v>
      </c>
      <c r="E436">
        <v>0</v>
      </c>
    </row>
    <row r="437" spans="1:5" x14ac:dyDescent="0.25">
      <c r="A437" t="s">
        <v>17</v>
      </c>
      <c r="B437" t="s">
        <v>116</v>
      </c>
      <c r="C437" t="s">
        <v>337</v>
      </c>
      <c r="D437" t="s">
        <v>337</v>
      </c>
      <c r="E437">
        <v>0</v>
      </c>
    </row>
    <row r="438" spans="1:5" x14ac:dyDescent="0.25">
      <c r="A438" t="s">
        <v>17</v>
      </c>
      <c r="B438" t="s">
        <v>55</v>
      </c>
      <c r="C438" t="s">
        <v>409</v>
      </c>
      <c r="D438" t="s">
        <v>409</v>
      </c>
      <c r="E438">
        <v>0</v>
      </c>
    </row>
    <row r="439" spans="1:5" x14ac:dyDescent="0.25">
      <c r="A439" t="s">
        <v>17</v>
      </c>
      <c r="B439" t="s">
        <v>417</v>
      </c>
      <c r="C439" t="s">
        <v>416</v>
      </c>
      <c r="D439" t="s">
        <v>416</v>
      </c>
      <c r="E439">
        <v>0</v>
      </c>
    </row>
    <row r="440" spans="1:5" x14ac:dyDescent="0.25">
      <c r="A440" t="s">
        <v>17</v>
      </c>
      <c r="B440" t="s">
        <v>130</v>
      </c>
      <c r="C440" t="s">
        <v>196</v>
      </c>
      <c r="D440" t="s">
        <v>196</v>
      </c>
      <c r="E440">
        <v>0</v>
      </c>
    </row>
    <row r="441" spans="1:5" x14ac:dyDescent="0.25">
      <c r="A441" t="s">
        <v>17</v>
      </c>
      <c r="B441" t="s">
        <v>264</v>
      </c>
      <c r="C441" t="s">
        <v>385</v>
      </c>
      <c r="D441" t="s">
        <v>385</v>
      </c>
      <c r="E441">
        <v>0</v>
      </c>
    </row>
    <row r="442" spans="1:5" x14ac:dyDescent="0.25">
      <c r="A442" t="s">
        <v>17</v>
      </c>
      <c r="B442" t="s">
        <v>281</v>
      </c>
      <c r="C442" t="s">
        <v>374</v>
      </c>
      <c r="D442" t="s">
        <v>374</v>
      </c>
      <c r="E442">
        <v>0</v>
      </c>
    </row>
    <row r="443" spans="1:5" x14ac:dyDescent="0.25">
      <c r="A443" t="s">
        <v>17</v>
      </c>
      <c r="B443" t="s">
        <v>74</v>
      </c>
      <c r="C443" t="s">
        <v>72</v>
      </c>
      <c r="D443" t="s">
        <v>72</v>
      </c>
      <c r="E443">
        <v>0</v>
      </c>
    </row>
    <row r="444" spans="1:5" x14ac:dyDescent="0.25">
      <c r="A444" t="s">
        <v>17</v>
      </c>
      <c r="B444" t="s">
        <v>156</v>
      </c>
      <c r="C444" t="s">
        <v>315</v>
      </c>
      <c r="D444" t="s">
        <v>315</v>
      </c>
      <c r="E444">
        <v>0</v>
      </c>
    </row>
    <row r="445" spans="1:5" x14ac:dyDescent="0.25">
      <c r="A445" t="s">
        <v>17</v>
      </c>
      <c r="B445" t="s">
        <v>248</v>
      </c>
      <c r="C445" t="s">
        <v>279</v>
      </c>
      <c r="D445" t="s">
        <v>279</v>
      </c>
      <c r="E445">
        <v>0</v>
      </c>
    </row>
    <row r="446" spans="1:5" x14ac:dyDescent="0.25">
      <c r="A446" t="s">
        <v>17</v>
      </c>
      <c r="B446" t="s">
        <v>209</v>
      </c>
      <c r="C446" t="s">
        <v>210</v>
      </c>
      <c r="D446" t="s">
        <v>210</v>
      </c>
      <c r="E446">
        <v>0</v>
      </c>
    </row>
    <row r="447" spans="1:5" x14ac:dyDescent="0.25">
      <c r="A447" t="s">
        <v>17</v>
      </c>
      <c r="B447" t="s">
        <v>120</v>
      </c>
      <c r="C447" t="s">
        <v>422</v>
      </c>
      <c r="D447" t="s">
        <v>422</v>
      </c>
      <c r="E447">
        <v>0</v>
      </c>
    </row>
    <row r="448" spans="1:5" x14ac:dyDescent="0.25">
      <c r="A448" t="s">
        <v>17</v>
      </c>
      <c r="B448" t="s">
        <v>6</v>
      </c>
      <c r="C448" t="s">
        <v>332</v>
      </c>
      <c r="D448" t="s">
        <v>332</v>
      </c>
      <c r="E448">
        <v>0</v>
      </c>
    </row>
    <row r="449" spans="1:5" x14ac:dyDescent="0.25">
      <c r="A449" t="s">
        <v>17</v>
      </c>
      <c r="B449" t="s">
        <v>38</v>
      </c>
      <c r="C449" t="s">
        <v>427</v>
      </c>
      <c r="D449" t="s">
        <v>427</v>
      </c>
      <c r="E449">
        <v>0</v>
      </c>
    </row>
    <row r="450" spans="1:5" x14ac:dyDescent="0.25">
      <c r="A450" t="s">
        <v>17</v>
      </c>
      <c r="B450" t="s">
        <v>150</v>
      </c>
      <c r="C450" t="s">
        <v>341</v>
      </c>
      <c r="D450" t="s">
        <v>341</v>
      </c>
      <c r="E450">
        <v>0</v>
      </c>
    </row>
    <row r="451" spans="1:5" x14ac:dyDescent="0.25">
      <c r="A451" t="s">
        <v>17</v>
      </c>
      <c r="B451" t="s">
        <v>69</v>
      </c>
      <c r="C451" t="s">
        <v>65</v>
      </c>
      <c r="D451" t="s">
        <v>65</v>
      </c>
      <c r="E451">
        <v>0</v>
      </c>
    </row>
    <row r="452" spans="1:5" x14ac:dyDescent="0.25">
      <c r="A452" t="s">
        <v>17</v>
      </c>
      <c r="B452" t="s">
        <v>144</v>
      </c>
      <c r="C452" t="s">
        <v>286</v>
      </c>
      <c r="D452" t="s">
        <v>286</v>
      </c>
      <c r="E452">
        <v>0</v>
      </c>
    </row>
    <row r="453" spans="1:5" x14ac:dyDescent="0.25">
      <c r="A453" t="s">
        <v>17</v>
      </c>
      <c r="B453" t="s">
        <v>140</v>
      </c>
      <c r="C453" t="s">
        <v>374</v>
      </c>
      <c r="D453" t="s">
        <v>374</v>
      </c>
      <c r="E453">
        <v>0</v>
      </c>
    </row>
    <row r="454" spans="1:5" x14ac:dyDescent="0.25">
      <c r="A454" t="s">
        <v>17</v>
      </c>
      <c r="B454" t="s">
        <v>129</v>
      </c>
      <c r="C454" t="s">
        <v>391</v>
      </c>
      <c r="D454" t="s">
        <v>391</v>
      </c>
      <c r="E454">
        <v>0</v>
      </c>
    </row>
    <row r="455" spans="1:5" x14ac:dyDescent="0.25">
      <c r="A455" t="s">
        <v>17</v>
      </c>
      <c r="B455" t="s">
        <v>268</v>
      </c>
      <c r="C455" t="s">
        <v>437</v>
      </c>
      <c r="D455" t="s">
        <v>437</v>
      </c>
      <c r="E455">
        <v>0</v>
      </c>
    </row>
    <row r="456" spans="1:5" x14ac:dyDescent="0.25">
      <c r="A456" t="s">
        <v>17</v>
      </c>
      <c r="B456" t="s">
        <v>16</v>
      </c>
      <c r="C456" t="s">
        <v>434</v>
      </c>
      <c r="D456" t="s">
        <v>434</v>
      </c>
      <c r="E456">
        <v>0</v>
      </c>
    </row>
    <row r="457" spans="1:5" x14ac:dyDescent="0.25">
      <c r="A457" t="s">
        <v>17</v>
      </c>
      <c r="B457" t="s">
        <v>102</v>
      </c>
      <c r="C457" t="s">
        <v>349</v>
      </c>
      <c r="D457" t="s">
        <v>349</v>
      </c>
      <c r="E457">
        <v>0</v>
      </c>
    </row>
    <row r="458" spans="1:5" x14ac:dyDescent="0.25">
      <c r="A458" t="s">
        <v>17</v>
      </c>
      <c r="B458" t="s">
        <v>312</v>
      </c>
      <c r="C458" t="s">
        <v>397</v>
      </c>
      <c r="D458" t="s">
        <v>397</v>
      </c>
      <c r="E458">
        <v>0</v>
      </c>
    </row>
    <row r="459" spans="1:5" x14ac:dyDescent="0.25">
      <c r="A459" t="s">
        <v>17</v>
      </c>
      <c r="B459" t="s">
        <v>53</v>
      </c>
      <c r="C459" t="s">
        <v>174</v>
      </c>
      <c r="D459" t="s">
        <v>174</v>
      </c>
      <c r="E459">
        <v>0</v>
      </c>
    </row>
    <row r="460" spans="1:5" x14ac:dyDescent="0.25">
      <c r="A460" t="s">
        <v>17</v>
      </c>
      <c r="B460" t="s">
        <v>239</v>
      </c>
      <c r="C460" t="s">
        <v>298</v>
      </c>
      <c r="D460" t="s">
        <v>298</v>
      </c>
      <c r="E460">
        <v>0</v>
      </c>
    </row>
    <row r="461" spans="1:5" x14ac:dyDescent="0.25">
      <c r="A461" t="s">
        <v>17</v>
      </c>
      <c r="B461" t="s">
        <v>223</v>
      </c>
      <c r="C461" t="s">
        <v>257</v>
      </c>
      <c r="D461" t="s">
        <v>257</v>
      </c>
      <c r="E461">
        <v>0</v>
      </c>
    </row>
    <row r="462" spans="1:5" x14ac:dyDescent="0.25">
      <c r="A462" t="s">
        <v>17</v>
      </c>
      <c r="B462" t="s">
        <v>232</v>
      </c>
      <c r="C462" t="s">
        <v>452</v>
      </c>
      <c r="D462" t="s">
        <v>452</v>
      </c>
      <c r="E462">
        <v>0</v>
      </c>
    </row>
    <row r="463" spans="1:5" x14ac:dyDescent="0.25">
      <c r="A463" t="s">
        <v>17</v>
      </c>
      <c r="B463" t="s">
        <v>207</v>
      </c>
      <c r="C463" t="s">
        <v>377</v>
      </c>
      <c r="D463" t="s">
        <v>377</v>
      </c>
      <c r="E463">
        <v>0</v>
      </c>
    </row>
    <row r="464" spans="1:5" x14ac:dyDescent="0.25">
      <c r="A464" t="s">
        <v>17</v>
      </c>
      <c r="B464" t="s">
        <v>134</v>
      </c>
      <c r="C464" t="s">
        <v>435</v>
      </c>
      <c r="D464" t="s">
        <v>435</v>
      </c>
      <c r="E464">
        <v>0</v>
      </c>
    </row>
    <row r="465" spans="1:5" x14ac:dyDescent="0.25">
      <c r="A465" t="s">
        <v>17</v>
      </c>
      <c r="B465" t="s">
        <v>191</v>
      </c>
      <c r="C465" t="s">
        <v>332</v>
      </c>
      <c r="D465" t="s">
        <v>332</v>
      </c>
      <c r="E465">
        <v>0</v>
      </c>
    </row>
    <row r="466" spans="1:5" x14ac:dyDescent="0.25">
      <c r="A466" t="s">
        <v>17</v>
      </c>
      <c r="B466" t="s">
        <v>57</v>
      </c>
      <c r="C466" t="s">
        <v>211</v>
      </c>
      <c r="D466" t="s">
        <v>211</v>
      </c>
      <c r="E466">
        <v>0</v>
      </c>
    </row>
    <row r="467" spans="1:5" x14ac:dyDescent="0.25">
      <c r="A467" t="s">
        <v>17</v>
      </c>
      <c r="B467" t="s">
        <v>112</v>
      </c>
      <c r="C467" t="s">
        <v>413</v>
      </c>
      <c r="D467" t="s">
        <v>413</v>
      </c>
      <c r="E467">
        <v>0</v>
      </c>
    </row>
    <row r="468" spans="1:5" x14ac:dyDescent="0.25">
      <c r="A468" t="s">
        <v>17</v>
      </c>
      <c r="B468" t="s">
        <v>219</v>
      </c>
      <c r="C468" t="s">
        <v>251</v>
      </c>
      <c r="D468" t="s">
        <v>251</v>
      </c>
      <c r="E468">
        <v>0</v>
      </c>
    </row>
    <row r="469" spans="1:5" x14ac:dyDescent="0.25">
      <c r="A469" t="s">
        <v>17</v>
      </c>
      <c r="B469" t="s">
        <v>198</v>
      </c>
      <c r="C469" t="s">
        <v>308</v>
      </c>
      <c r="D469" t="s">
        <v>308</v>
      </c>
      <c r="E469">
        <v>0</v>
      </c>
    </row>
    <row r="470" spans="1:5" x14ac:dyDescent="0.25">
      <c r="A470" t="s">
        <v>17</v>
      </c>
      <c r="B470" t="s">
        <v>29</v>
      </c>
      <c r="C470" t="s">
        <v>378</v>
      </c>
      <c r="D470" t="s">
        <v>378</v>
      </c>
      <c r="E470">
        <v>0</v>
      </c>
    </row>
    <row r="471" spans="1:5" x14ac:dyDescent="0.25">
      <c r="A471" t="s">
        <v>17</v>
      </c>
      <c r="B471" t="s">
        <v>275</v>
      </c>
      <c r="C471" t="s">
        <v>274</v>
      </c>
      <c r="D471" t="s">
        <v>274</v>
      </c>
      <c r="E471">
        <v>0</v>
      </c>
    </row>
    <row r="472" spans="1:5" x14ac:dyDescent="0.25">
      <c r="A472" t="s">
        <v>17</v>
      </c>
      <c r="B472" t="s">
        <v>203</v>
      </c>
      <c r="C472" t="s">
        <v>298</v>
      </c>
      <c r="D472" t="s">
        <v>298</v>
      </c>
      <c r="E472">
        <v>0</v>
      </c>
    </row>
    <row r="473" spans="1:5" x14ac:dyDescent="0.25">
      <c r="A473" t="s">
        <v>17</v>
      </c>
      <c r="B473" t="s">
        <v>9</v>
      </c>
      <c r="C473" t="s">
        <v>443</v>
      </c>
      <c r="D473" t="s">
        <v>443</v>
      </c>
      <c r="E473">
        <v>0</v>
      </c>
    </row>
    <row r="474" spans="1:5" x14ac:dyDescent="0.25">
      <c r="A474" t="s">
        <v>17</v>
      </c>
      <c r="B474" t="s">
        <v>449</v>
      </c>
      <c r="C474" t="s">
        <v>448</v>
      </c>
      <c r="D474" t="s">
        <v>448</v>
      </c>
      <c r="E474">
        <v>0</v>
      </c>
    </row>
    <row r="475" spans="1:5" x14ac:dyDescent="0.25">
      <c r="A475" t="s">
        <v>17</v>
      </c>
      <c r="B475" t="s">
        <v>300</v>
      </c>
      <c r="C475" t="s">
        <v>311</v>
      </c>
      <c r="D475" t="s">
        <v>311</v>
      </c>
      <c r="E475">
        <v>0</v>
      </c>
    </row>
    <row r="476" spans="1:5" x14ac:dyDescent="0.25">
      <c r="A476" t="s">
        <v>17</v>
      </c>
      <c r="B476" t="s">
        <v>141</v>
      </c>
      <c r="C476" t="s">
        <v>154</v>
      </c>
      <c r="D476" t="s">
        <v>154</v>
      </c>
      <c r="E476">
        <v>0</v>
      </c>
    </row>
    <row r="477" spans="1:5" x14ac:dyDescent="0.25">
      <c r="A477" t="s">
        <v>17</v>
      </c>
      <c r="B477" t="s">
        <v>287</v>
      </c>
      <c r="C477" t="s">
        <v>288</v>
      </c>
      <c r="D477" t="s">
        <v>288</v>
      </c>
      <c r="E477">
        <v>0</v>
      </c>
    </row>
    <row r="478" spans="1:5" x14ac:dyDescent="0.25">
      <c r="A478" t="s">
        <v>17</v>
      </c>
      <c r="B478" t="s">
        <v>20</v>
      </c>
      <c r="C478" t="s">
        <v>104</v>
      </c>
      <c r="D478" t="s">
        <v>104</v>
      </c>
      <c r="E478">
        <v>0</v>
      </c>
    </row>
    <row r="479" spans="1:5" x14ac:dyDescent="0.25">
      <c r="A479" t="s">
        <v>17</v>
      </c>
      <c r="B479" t="s">
        <v>146</v>
      </c>
      <c r="C479" t="s">
        <v>145</v>
      </c>
      <c r="D479" t="s">
        <v>145</v>
      </c>
      <c r="E479">
        <v>0</v>
      </c>
    </row>
    <row r="480" spans="1:5" x14ac:dyDescent="0.25">
      <c r="A480" t="s">
        <v>17</v>
      </c>
      <c r="B480" t="s">
        <v>28</v>
      </c>
      <c r="C480" t="s">
        <v>128</v>
      </c>
      <c r="D480" t="s">
        <v>128</v>
      </c>
      <c r="E480">
        <v>0</v>
      </c>
    </row>
    <row r="481" spans="1:5" x14ac:dyDescent="0.25">
      <c r="A481" t="s">
        <v>17</v>
      </c>
      <c r="B481" t="s">
        <v>25</v>
      </c>
      <c r="C481" t="s">
        <v>289</v>
      </c>
      <c r="D481" t="s">
        <v>289</v>
      </c>
      <c r="E481">
        <v>0</v>
      </c>
    </row>
    <row r="482" spans="1:5" x14ac:dyDescent="0.25">
      <c r="A482" t="s">
        <v>17</v>
      </c>
      <c r="B482" t="s">
        <v>108</v>
      </c>
      <c r="C482" t="s">
        <v>162</v>
      </c>
      <c r="D482" t="s">
        <v>162</v>
      </c>
      <c r="E482">
        <v>0</v>
      </c>
    </row>
    <row r="483" spans="1:5" x14ac:dyDescent="0.25">
      <c r="A483" t="s">
        <v>17</v>
      </c>
      <c r="B483" t="s">
        <v>136</v>
      </c>
      <c r="C483" t="s">
        <v>399</v>
      </c>
      <c r="D483" t="s">
        <v>399</v>
      </c>
      <c r="E483">
        <v>0</v>
      </c>
    </row>
    <row r="484" spans="1:5" x14ac:dyDescent="0.25">
      <c r="A484" t="s">
        <v>17</v>
      </c>
      <c r="B484" t="s">
        <v>31</v>
      </c>
      <c r="C484" t="s">
        <v>30</v>
      </c>
      <c r="D484" t="s">
        <v>30</v>
      </c>
      <c r="E484">
        <v>0</v>
      </c>
    </row>
    <row r="485" spans="1:5" x14ac:dyDescent="0.25">
      <c r="A485" t="s">
        <v>36</v>
      </c>
      <c r="B485" t="s">
        <v>168</v>
      </c>
      <c r="C485" t="s">
        <v>167</v>
      </c>
      <c r="D485" t="s">
        <v>167</v>
      </c>
      <c r="E485">
        <v>0</v>
      </c>
    </row>
    <row r="486" spans="1:5" x14ac:dyDescent="0.25">
      <c r="A486" t="s">
        <v>36</v>
      </c>
      <c r="B486" t="s">
        <v>89</v>
      </c>
      <c r="C486" t="s">
        <v>88</v>
      </c>
      <c r="D486" t="s">
        <v>88</v>
      </c>
      <c r="E486">
        <v>0</v>
      </c>
    </row>
    <row r="487" spans="1:5" x14ac:dyDescent="0.25">
      <c r="A487" t="s">
        <v>36</v>
      </c>
      <c r="B487" t="s">
        <v>64</v>
      </c>
      <c r="C487" t="s">
        <v>155</v>
      </c>
      <c r="D487" t="s">
        <v>155</v>
      </c>
      <c r="E487">
        <v>0</v>
      </c>
    </row>
    <row r="488" spans="1:5" x14ac:dyDescent="0.25">
      <c r="A488" t="s">
        <v>36</v>
      </c>
      <c r="B488" t="s">
        <v>60</v>
      </c>
      <c r="C488" t="s">
        <v>294</v>
      </c>
      <c r="D488" t="s">
        <v>294</v>
      </c>
      <c r="E488">
        <v>0</v>
      </c>
    </row>
    <row r="489" spans="1:5" x14ac:dyDescent="0.25">
      <c r="A489" t="s">
        <v>36</v>
      </c>
      <c r="B489" t="s">
        <v>148</v>
      </c>
      <c r="C489" t="s">
        <v>291</v>
      </c>
      <c r="D489" t="s">
        <v>291</v>
      </c>
      <c r="E489">
        <v>0</v>
      </c>
    </row>
    <row r="490" spans="1:5" x14ac:dyDescent="0.25">
      <c r="A490" t="s">
        <v>36</v>
      </c>
      <c r="B490" t="s">
        <v>116</v>
      </c>
      <c r="C490" t="s">
        <v>381</v>
      </c>
      <c r="D490" t="s">
        <v>381</v>
      </c>
      <c r="E490">
        <v>0</v>
      </c>
    </row>
    <row r="491" spans="1:5" x14ac:dyDescent="0.25">
      <c r="A491" t="s">
        <v>36</v>
      </c>
      <c r="B491" t="s">
        <v>37</v>
      </c>
      <c r="C491" t="s">
        <v>33</v>
      </c>
      <c r="D491" t="s">
        <v>33</v>
      </c>
      <c r="E491">
        <v>0</v>
      </c>
    </row>
    <row r="492" spans="1:5" x14ac:dyDescent="0.25">
      <c r="A492" t="s">
        <v>36</v>
      </c>
      <c r="B492" t="s">
        <v>111</v>
      </c>
      <c r="C492" t="s">
        <v>110</v>
      </c>
      <c r="D492" t="s">
        <v>110</v>
      </c>
      <c r="E492">
        <v>0</v>
      </c>
    </row>
    <row r="493" spans="1:5" x14ac:dyDescent="0.25">
      <c r="A493" t="s">
        <v>36</v>
      </c>
      <c r="B493" t="s">
        <v>40</v>
      </c>
      <c r="C493" t="s">
        <v>370</v>
      </c>
      <c r="D493" t="s">
        <v>370</v>
      </c>
      <c r="E493">
        <v>0</v>
      </c>
    </row>
    <row r="494" spans="1:5" x14ac:dyDescent="0.25">
      <c r="A494" t="s">
        <v>36</v>
      </c>
      <c r="B494" t="s">
        <v>115</v>
      </c>
      <c r="C494" t="s">
        <v>114</v>
      </c>
      <c r="D494" t="s">
        <v>114</v>
      </c>
      <c r="E494">
        <v>0</v>
      </c>
    </row>
    <row r="495" spans="1:5" x14ac:dyDescent="0.25">
      <c r="A495" t="s">
        <v>36</v>
      </c>
      <c r="B495" t="s">
        <v>170</v>
      </c>
      <c r="C495" t="s">
        <v>404</v>
      </c>
      <c r="D495" t="s">
        <v>404</v>
      </c>
      <c r="E495">
        <v>0</v>
      </c>
    </row>
    <row r="496" spans="1:5" x14ac:dyDescent="0.25">
      <c r="A496" t="s">
        <v>36</v>
      </c>
      <c r="B496" t="s">
        <v>264</v>
      </c>
      <c r="C496" t="s">
        <v>333</v>
      </c>
      <c r="D496" t="s">
        <v>333</v>
      </c>
      <c r="E496">
        <v>0</v>
      </c>
    </row>
    <row r="497" spans="1:5" x14ac:dyDescent="0.25">
      <c r="A497" t="s">
        <v>36</v>
      </c>
      <c r="B497" t="s">
        <v>63</v>
      </c>
      <c r="C497" t="s">
        <v>169</v>
      </c>
      <c r="D497" t="s">
        <v>169</v>
      </c>
      <c r="E497">
        <v>0</v>
      </c>
    </row>
    <row r="498" spans="1:5" x14ac:dyDescent="0.25">
      <c r="A498" t="s">
        <v>36</v>
      </c>
      <c r="B498" t="s">
        <v>156</v>
      </c>
      <c r="C498" t="s">
        <v>397</v>
      </c>
      <c r="D498" t="s">
        <v>397</v>
      </c>
      <c r="E498">
        <v>0</v>
      </c>
    </row>
    <row r="499" spans="1:5" x14ac:dyDescent="0.25">
      <c r="A499" t="s">
        <v>36</v>
      </c>
      <c r="B499" t="s">
        <v>122</v>
      </c>
      <c r="C499" t="s">
        <v>415</v>
      </c>
      <c r="D499" t="s">
        <v>415</v>
      </c>
      <c r="E499">
        <v>0</v>
      </c>
    </row>
    <row r="500" spans="1:5" x14ac:dyDescent="0.25">
      <c r="A500" t="s">
        <v>36</v>
      </c>
      <c r="B500" t="s">
        <v>209</v>
      </c>
      <c r="C500" t="s">
        <v>288</v>
      </c>
      <c r="D500" t="s">
        <v>288</v>
      </c>
      <c r="E500">
        <v>0</v>
      </c>
    </row>
    <row r="501" spans="1:5" x14ac:dyDescent="0.25">
      <c r="A501" t="s">
        <v>36</v>
      </c>
      <c r="B501" t="s">
        <v>71</v>
      </c>
      <c r="C501" t="s">
        <v>176</v>
      </c>
      <c r="D501" t="s">
        <v>176</v>
      </c>
      <c r="E501">
        <v>0</v>
      </c>
    </row>
    <row r="502" spans="1:5" x14ac:dyDescent="0.25">
      <c r="A502" t="s">
        <v>36</v>
      </c>
      <c r="B502" t="s">
        <v>86</v>
      </c>
      <c r="C502" t="s">
        <v>255</v>
      </c>
      <c r="D502" t="s">
        <v>255</v>
      </c>
      <c r="E502">
        <v>0</v>
      </c>
    </row>
    <row r="503" spans="1:5" x14ac:dyDescent="0.25">
      <c r="A503" t="s">
        <v>36</v>
      </c>
      <c r="B503" t="s">
        <v>237</v>
      </c>
      <c r="C503" t="s">
        <v>383</v>
      </c>
      <c r="D503" t="s">
        <v>383</v>
      </c>
      <c r="E503">
        <v>0</v>
      </c>
    </row>
    <row r="504" spans="1:5" x14ac:dyDescent="0.25">
      <c r="A504" t="s">
        <v>36</v>
      </c>
      <c r="B504" t="s">
        <v>278</v>
      </c>
      <c r="C504" t="s">
        <v>277</v>
      </c>
      <c r="D504" t="s">
        <v>277</v>
      </c>
      <c r="E504">
        <v>0</v>
      </c>
    </row>
    <row r="505" spans="1:5" x14ac:dyDescent="0.25">
      <c r="A505" t="s">
        <v>36</v>
      </c>
      <c r="B505" t="s">
        <v>38</v>
      </c>
      <c r="C505" t="s">
        <v>222</v>
      </c>
      <c r="D505" t="s">
        <v>222</v>
      </c>
      <c r="E505">
        <v>0</v>
      </c>
    </row>
    <row r="506" spans="1:5" x14ac:dyDescent="0.25">
      <c r="A506" t="s">
        <v>36</v>
      </c>
      <c r="B506" t="s">
        <v>231</v>
      </c>
      <c r="C506" t="s">
        <v>230</v>
      </c>
      <c r="D506" t="s">
        <v>230</v>
      </c>
      <c r="E506">
        <v>0</v>
      </c>
    </row>
    <row r="507" spans="1:5" x14ac:dyDescent="0.25">
      <c r="A507" t="s">
        <v>36</v>
      </c>
      <c r="B507" t="s">
        <v>91</v>
      </c>
      <c r="C507" t="s">
        <v>88</v>
      </c>
      <c r="D507" t="s">
        <v>88</v>
      </c>
      <c r="E507">
        <v>0</v>
      </c>
    </row>
    <row r="508" spans="1:5" x14ac:dyDescent="0.25">
      <c r="A508" t="s">
        <v>36</v>
      </c>
      <c r="B508" t="s">
        <v>153</v>
      </c>
      <c r="C508" t="s">
        <v>152</v>
      </c>
      <c r="D508" t="s">
        <v>152</v>
      </c>
      <c r="E508">
        <v>0</v>
      </c>
    </row>
    <row r="509" spans="1:5" x14ac:dyDescent="0.25">
      <c r="A509" t="s">
        <v>36</v>
      </c>
      <c r="B509" t="s">
        <v>138</v>
      </c>
      <c r="C509" t="s">
        <v>265</v>
      </c>
      <c r="D509" t="s">
        <v>265</v>
      </c>
      <c r="E509">
        <v>0</v>
      </c>
    </row>
    <row r="510" spans="1:5" x14ac:dyDescent="0.25">
      <c r="A510" t="s">
        <v>36</v>
      </c>
      <c r="B510" t="s">
        <v>53</v>
      </c>
      <c r="C510" t="s">
        <v>279</v>
      </c>
      <c r="D510" t="s">
        <v>279</v>
      </c>
      <c r="E510">
        <v>0</v>
      </c>
    </row>
    <row r="511" spans="1:5" x14ac:dyDescent="0.25">
      <c r="A511" t="s">
        <v>36</v>
      </c>
      <c r="B511" t="s">
        <v>359</v>
      </c>
      <c r="C511" t="s">
        <v>358</v>
      </c>
      <c r="D511" t="s">
        <v>358</v>
      </c>
      <c r="E511">
        <v>0</v>
      </c>
    </row>
    <row r="512" spans="1:5" x14ac:dyDescent="0.25">
      <c r="A512" t="s">
        <v>36</v>
      </c>
      <c r="B512" t="s">
        <v>134</v>
      </c>
      <c r="C512" t="s">
        <v>167</v>
      </c>
      <c r="D512" t="s">
        <v>167</v>
      </c>
      <c r="E512">
        <v>0</v>
      </c>
    </row>
    <row r="513" spans="1:5" x14ac:dyDescent="0.25">
      <c r="A513" t="s">
        <v>36</v>
      </c>
      <c r="B513" t="s">
        <v>57</v>
      </c>
      <c r="C513" t="s">
        <v>201</v>
      </c>
      <c r="D513" t="s">
        <v>201</v>
      </c>
      <c r="E513">
        <v>0</v>
      </c>
    </row>
    <row r="514" spans="1:5" x14ac:dyDescent="0.25">
      <c r="A514" t="s">
        <v>36</v>
      </c>
      <c r="B514" t="s">
        <v>429</v>
      </c>
      <c r="C514" t="s">
        <v>427</v>
      </c>
      <c r="D514" t="s">
        <v>427</v>
      </c>
      <c r="E514">
        <v>0</v>
      </c>
    </row>
    <row r="515" spans="1:5" x14ac:dyDescent="0.25">
      <c r="A515" t="s">
        <v>36</v>
      </c>
      <c r="B515" t="s">
        <v>338</v>
      </c>
      <c r="C515" t="s">
        <v>365</v>
      </c>
      <c r="D515" t="s">
        <v>365</v>
      </c>
      <c r="E515">
        <v>0</v>
      </c>
    </row>
    <row r="516" spans="1:5" x14ac:dyDescent="0.25">
      <c r="A516" t="s">
        <v>36</v>
      </c>
      <c r="B516" t="s">
        <v>70</v>
      </c>
      <c r="C516" t="s">
        <v>247</v>
      </c>
      <c r="D516" t="s">
        <v>247</v>
      </c>
      <c r="E516">
        <v>0</v>
      </c>
    </row>
    <row r="517" spans="1:5" x14ac:dyDescent="0.25">
      <c r="A517" t="s">
        <v>36</v>
      </c>
      <c r="B517" t="s">
        <v>109</v>
      </c>
      <c r="C517" t="s">
        <v>106</v>
      </c>
      <c r="D517" t="s">
        <v>106</v>
      </c>
      <c r="E517">
        <v>0</v>
      </c>
    </row>
    <row r="518" spans="1:5" x14ac:dyDescent="0.25">
      <c r="A518" t="s">
        <v>36</v>
      </c>
      <c r="B518" t="s">
        <v>203</v>
      </c>
      <c r="C518" t="s">
        <v>382</v>
      </c>
      <c r="D518" t="s">
        <v>382</v>
      </c>
      <c r="E518">
        <v>0</v>
      </c>
    </row>
    <row r="519" spans="1:5" x14ac:dyDescent="0.25">
      <c r="A519" t="s">
        <v>36</v>
      </c>
      <c r="B519" t="s">
        <v>271</v>
      </c>
      <c r="C519" t="s">
        <v>441</v>
      </c>
      <c r="D519" t="s">
        <v>441</v>
      </c>
      <c r="E519">
        <v>0</v>
      </c>
    </row>
    <row r="520" spans="1:5" x14ac:dyDescent="0.25">
      <c r="A520" t="s">
        <v>36</v>
      </c>
      <c r="B520" t="s">
        <v>11</v>
      </c>
      <c r="C520" t="s">
        <v>152</v>
      </c>
      <c r="D520" t="s">
        <v>152</v>
      </c>
      <c r="E520">
        <v>0</v>
      </c>
    </row>
    <row r="521" spans="1:5" x14ac:dyDescent="0.25">
      <c r="A521" t="s">
        <v>36</v>
      </c>
      <c r="B521" t="s">
        <v>316</v>
      </c>
      <c r="C521" t="s">
        <v>315</v>
      </c>
      <c r="D521" t="s">
        <v>315</v>
      </c>
      <c r="E521">
        <v>0</v>
      </c>
    </row>
    <row r="522" spans="1:5" x14ac:dyDescent="0.25">
      <c r="A522" t="s">
        <v>36</v>
      </c>
      <c r="B522" t="s">
        <v>280</v>
      </c>
      <c r="C522" t="s">
        <v>321</v>
      </c>
      <c r="D522" t="s">
        <v>321</v>
      </c>
      <c r="E522">
        <v>0</v>
      </c>
    </row>
    <row r="523" spans="1:5" x14ac:dyDescent="0.25">
      <c r="A523" t="s">
        <v>36</v>
      </c>
      <c r="B523" t="s">
        <v>293</v>
      </c>
      <c r="C523" t="s">
        <v>437</v>
      </c>
      <c r="D523" t="s">
        <v>437</v>
      </c>
      <c r="E523">
        <v>0</v>
      </c>
    </row>
    <row r="524" spans="1:5" x14ac:dyDescent="0.25">
      <c r="A524" t="s">
        <v>36</v>
      </c>
      <c r="B524" t="s">
        <v>13</v>
      </c>
      <c r="C524" t="s">
        <v>246</v>
      </c>
      <c r="D524" t="s">
        <v>246</v>
      </c>
      <c r="E524">
        <v>0</v>
      </c>
    </row>
    <row r="525" spans="1:5" x14ac:dyDescent="0.25">
      <c r="A525" t="s">
        <v>36</v>
      </c>
      <c r="B525" t="s">
        <v>270</v>
      </c>
      <c r="C525" t="s">
        <v>269</v>
      </c>
      <c r="D525" t="s">
        <v>269</v>
      </c>
      <c r="E525">
        <v>0</v>
      </c>
    </row>
    <row r="526" spans="1:5" x14ac:dyDescent="0.25">
      <c r="A526" t="s">
        <v>36</v>
      </c>
      <c r="B526" t="s">
        <v>20</v>
      </c>
      <c r="C526" t="s">
        <v>291</v>
      </c>
      <c r="D526" t="s">
        <v>291</v>
      </c>
      <c r="E526">
        <v>0</v>
      </c>
    </row>
    <row r="527" spans="1:5" x14ac:dyDescent="0.25">
      <c r="A527" t="s">
        <v>36</v>
      </c>
      <c r="B527" t="s">
        <v>28</v>
      </c>
      <c r="C527" t="s">
        <v>361</v>
      </c>
      <c r="D527" t="s">
        <v>361</v>
      </c>
      <c r="E527">
        <v>0</v>
      </c>
    </row>
    <row r="528" spans="1:5" x14ac:dyDescent="0.25">
      <c r="A528" t="s">
        <v>36</v>
      </c>
      <c r="B528" t="s">
        <v>372</v>
      </c>
      <c r="C528" t="s">
        <v>371</v>
      </c>
      <c r="D528" t="s">
        <v>371</v>
      </c>
      <c r="E528">
        <v>0</v>
      </c>
    </row>
    <row r="529" spans="1:5" x14ac:dyDescent="0.25">
      <c r="A529" t="s">
        <v>36</v>
      </c>
      <c r="B529" t="s">
        <v>25</v>
      </c>
      <c r="C529" t="s">
        <v>246</v>
      </c>
      <c r="D529" t="s">
        <v>246</v>
      </c>
      <c r="E529">
        <v>0</v>
      </c>
    </row>
    <row r="530" spans="1:5" x14ac:dyDescent="0.25">
      <c r="A530" t="s">
        <v>36</v>
      </c>
      <c r="B530" t="s">
        <v>68</v>
      </c>
      <c r="C530" t="s">
        <v>192</v>
      </c>
      <c r="D530" t="s">
        <v>192</v>
      </c>
      <c r="E530">
        <v>0</v>
      </c>
    </row>
    <row r="531" spans="1:5" x14ac:dyDescent="0.25">
      <c r="A531" t="s">
        <v>36</v>
      </c>
      <c r="B531" t="s">
        <v>190</v>
      </c>
      <c r="C531" t="s">
        <v>377</v>
      </c>
      <c r="D531" t="s">
        <v>377</v>
      </c>
      <c r="E531">
        <v>0</v>
      </c>
    </row>
    <row r="532" spans="1:5" x14ac:dyDescent="0.25">
      <c r="A532" t="s">
        <v>36</v>
      </c>
      <c r="B532" t="s">
        <v>193</v>
      </c>
      <c r="C532" t="s">
        <v>303</v>
      </c>
      <c r="D532" t="s">
        <v>303</v>
      </c>
      <c r="E532">
        <v>0</v>
      </c>
    </row>
    <row r="533" spans="1:5" x14ac:dyDescent="0.25">
      <c r="A533" t="s">
        <v>46</v>
      </c>
      <c r="B533" t="s">
        <v>89</v>
      </c>
      <c r="C533" t="s">
        <v>142</v>
      </c>
      <c r="D533" t="s">
        <v>142</v>
      </c>
      <c r="E533">
        <v>0</v>
      </c>
    </row>
    <row r="534" spans="1:5" x14ac:dyDescent="0.25">
      <c r="A534" t="s">
        <v>46</v>
      </c>
      <c r="B534" t="s">
        <v>60</v>
      </c>
      <c r="C534" t="s">
        <v>199</v>
      </c>
      <c r="D534" t="s">
        <v>199</v>
      </c>
      <c r="E534">
        <v>0</v>
      </c>
    </row>
    <row r="535" spans="1:5" x14ac:dyDescent="0.25">
      <c r="A535" t="s">
        <v>46</v>
      </c>
      <c r="B535" t="s">
        <v>180</v>
      </c>
      <c r="C535" t="s">
        <v>361</v>
      </c>
      <c r="D535" t="s">
        <v>361</v>
      </c>
      <c r="E535">
        <v>0</v>
      </c>
    </row>
    <row r="536" spans="1:5" x14ac:dyDescent="0.25">
      <c r="A536" t="s">
        <v>46</v>
      </c>
      <c r="B536" t="s">
        <v>77</v>
      </c>
      <c r="C536" t="s">
        <v>395</v>
      </c>
      <c r="D536" t="s">
        <v>395</v>
      </c>
      <c r="E536">
        <v>0</v>
      </c>
    </row>
    <row r="537" spans="1:5" x14ac:dyDescent="0.25">
      <c r="A537" t="s">
        <v>46</v>
      </c>
      <c r="B537" t="s">
        <v>243</v>
      </c>
      <c r="C537" t="s">
        <v>412</v>
      </c>
      <c r="D537" t="s">
        <v>412</v>
      </c>
      <c r="E537">
        <v>0</v>
      </c>
    </row>
    <row r="538" spans="1:5" x14ac:dyDescent="0.25">
      <c r="A538" t="s">
        <v>46</v>
      </c>
      <c r="B538" t="s">
        <v>95</v>
      </c>
      <c r="C538" t="s">
        <v>450</v>
      </c>
      <c r="D538" t="s">
        <v>450</v>
      </c>
      <c r="E538">
        <v>0</v>
      </c>
    </row>
    <row r="539" spans="1:5" x14ac:dyDescent="0.25">
      <c r="A539" t="s">
        <v>46</v>
      </c>
      <c r="B539" t="s">
        <v>216</v>
      </c>
      <c r="C539" t="s">
        <v>409</v>
      </c>
      <c r="D539" t="s">
        <v>409</v>
      </c>
      <c r="E539">
        <v>0</v>
      </c>
    </row>
    <row r="540" spans="1:5" x14ac:dyDescent="0.25">
      <c r="A540" t="s">
        <v>46</v>
      </c>
      <c r="B540" t="s">
        <v>240</v>
      </c>
      <c r="C540" t="s">
        <v>241</v>
      </c>
      <c r="D540" t="s">
        <v>241</v>
      </c>
      <c r="E540">
        <v>0</v>
      </c>
    </row>
    <row r="541" spans="1:5" x14ac:dyDescent="0.25">
      <c r="A541" t="s">
        <v>46</v>
      </c>
      <c r="B541" t="s">
        <v>264</v>
      </c>
      <c r="C541" t="s">
        <v>263</v>
      </c>
      <c r="D541" t="s">
        <v>263</v>
      </c>
      <c r="E541">
        <v>0</v>
      </c>
    </row>
    <row r="542" spans="1:5" x14ac:dyDescent="0.25">
      <c r="A542" t="s">
        <v>46</v>
      </c>
      <c r="B542" t="s">
        <v>149</v>
      </c>
      <c r="C542" t="s">
        <v>407</v>
      </c>
      <c r="D542" t="s">
        <v>407</v>
      </c>
      <c r="E542">
        <v>0</v>
      </c>
    </row>
    <row r="543" spans="1:5" x14ac:dyDescent="0.25">
      <c r="A543" t="s">
        <v>46</v>
      </c>
      <c r="B543" t="s">
        <v>35</v>
      </c>
      <c r="C543" t="s">
        <v>387</v>
      </c>
      <c r="D543" t="s">
        <v>387</v>
      </c>
      <c r="E543">
        <v>0</v>
      </c>
    </row>
    <row r="544" spans="1:5" x14ac:dyDescent="0.25">
      <c r="A544" t="s">
        <v>46</v>
      </c>
      <c r="B544" t="s">
        <v>273</v>
      </c>
      <c r="C544" t="s">
        <v>274</v>
      </c>
      <c r="D544" t="s">
        <v>274</v>
      </c>
      <c r="E544">
        <v>0</v>
      </c>
    </row>
    <row r="545" spans="1:5" x14ac:dyDescent="0.25">
      <c r="A545" t="s">
        <v>46</v>
      </c>
      <c r="B545" t="s">
        <v>156</v>
      </c>
      <c r="C545" t="s">
        <v>155</v>
      </c>
      <c r="D545" t="s">
        <v>155</v>
      </c>
      <c r="E545">
        <v>0</v>
      </c>
    </row>
    <row r="546" spans="1:5" x14ac:dyDescent="0.25">
      <c r="A546" t="s">
        <v>46</v>
      </c>
      <c r="B546" t="s">
        <v>173</v>
      </c>
      <c r="C546" t="s">
        <v>333</v>
      </c>
      <c r="D546" t="s">
        <v>333</v>
      </c>
      <c r="E546">
        <v>0</v>
      </c>
    </row>
    <row r="547" spans="1:5" x14ac:dyDescent="0.25">
      <c r="A547" t="s">
        <v>46</v>
      </c>
      <c r="B547" t="s">
        <v>86</v>
      </c>
      <c r="C547" t="s">
        <v>416</v>
      </c>
      <c r="D547" t="s">
        <v>416</v>
      </c>
      <c r="E547">
        <v>0</v>
      </c>
    </row>
    <row r="548" spans="1:5" x14ac:dyDescent="0.25">
      <c r="A548" t="s">
        <v>46</v>
      </c>
      <c r="B548" t="s">
        <v>325</v>
      </c>
      <c r="C548" t="s">
        <v>324</v>
      </c>
      <c r="D548" t="s">
        <v>324</v>
      </c>
      <c r="E548">
        <v>0</v>
      </c>
    </row>
    <row r="549" spans="1:5" x14ac:dyDescent="0.25">
      <c r="A549" t="s">
        <v>46</v>
      </c>
      <c r="B549" t="s">
        <v>278</v>
      </c>
      <c r="C549" t="s">
        <v>283</v>
      </c>
      <c r="D549" t="s">
        <v>283</v>
      </c>
      <c r="E549">
        <v>0</v>
      </c>
    </row>
    <row r="550" spans="1:5" x14ac:dyDescent="0.25">
      <c r="A550" t="s">
        <v>46</v>
      </c>
      <c r="B550" t="s">
        <v>38</v>
      </c>
      <c r="C550" t="s">
        <v>339</v>
      </c>
      <c r="D550" t="s">
        <v>339</v>
      </c>
      <c r="E550">
        <v>0</v>
      </c>
    </row>
    <row r="551" spans="1:5" x14ac:dyDescent="0.25">
      <c r="A551" t="s">
        <v>46</v>
      </c>
      <c r="B551" t="s">
        <v>187</v>
      </c>
      <c r="C551" t="s">
        <v>186</v>
      </c>
      <c r="D551" t="s">
        <v>186</v>
      </c>
      <c r="E551">
        <v>0</v>
      </c>
    </row>
    <row r="552" spans="1:5" x14ac:dyDescent="0.25">
      <c r="A552" t="s">
        <v>46</v>
      </c>
      <c r="B552" t="s">
        <v>90</v>
      </c>
      <c r="C552" t="s">
        <v>370</v>
      </c>
      <c r="D552" t="s">
        <v>370</v>
      </c>
      <c r="E552">
        <v>0</v>
      </c>
    </row>
    <row r="553" spans="1:5" x14ac:dyDescent="0.25">
      <c r="A553" t="s">
        <v>46</v>
      </c>
      <c r="B553" t="s">
        <v>32</v>
      </c>
      <c r="C553" t="s">
        <v>276</v>
      </c>
      <c r="D553" t="s">
        <v>276</v>
      </c>
      <c r="E553">
        <v>0</v>
      </c>
    </row>
    <row r="554" spans="1:5" x14ac:dyDescent="0.25">
      <c r="A554" t="s">
        <v>46</v>
      </c>
      <c r="B554" t="s">
        <v>231</v>
      </c>
      <c r="C554" t="s">
        <v>355</v>
      </c>
      <c r="D554" t="s">
        <v>355</v>
      </c>
      <c r="E554">
        <v>0</v>
      </c>
    </row>
    <row r="555" spans="1:5" x14ac:dyDescent="0.25">
      <c r="A555" t="s">
        <v>46</v>
      </c>
      <c r="B555" t="s">
        <v>150</v>
      </c>
      <c r="C555" t="s">
        <v>413</v>
      </c>
      <c r="D555" t="s">
        <v>413</v>
      </c>
      <c r="E555">
        <v>0</v>
      </c>
    </row>
    <row r="556" spans="1:5" x14ac:dyDescent="0.25">
      <c r="A556" t="s">
        <v>46</v>
      </c>
      <c r="B556" t="s">
        <v>44</v>
      </c>
      <c r="C556" t="s">
        <v>262</v>
      </c>
      <c r="D556" t="s">
        <v>262</v>
      </c>
      <c r="E556">
        <v>0</v>
      </c>
    </row>
    <row r="557" spans="1:5" x14ac:dyDescent="0.25">
      <c r="A557" t="s">
        <v>46</v>
      </c>
      <c r="B557" t="s">
        <v>56</v>
      </c>
      <c r="C557" t="s">
        <v>211</v>
      </c>
      <c r="D557" t="s">
        <v>211</v>
      </c>
      <c r="E557">
        <v>0</v>
      </c>
    </row>
    <row r="558" spans="1:5" x14ac:dyDescent="0.25">
      <c r="A558" t="s">
        <v>46</v>
      </c>
      <c r="B558" t="s">
        <v>127</v>
      </c>
      <c r="C558" t="s">
        <v>124</v>
      </c>
      <c r="D558" t="s">
        <v>124</v>
      </c>
      <c r="E558">
        <v>0</v>
      </c>
    </row>
    <row r="559" spans="1:5" x14ac:dyDescent="0.25">
      <c r="A559" t="s">
        <v>46</v>
      </c>
      <c r="B559" t="s">
        <v>313</v>
      </c>
      <c r="C559" t="s">
        <v>311</v>
      </c>
      <c r="D559" t="s">
        <v>311</v>
      </c>
      <c r="E559">
        <v>0</v>
      </c>
    </row>
    <row r="560" spans="1:5" x14ac:dyDescent="0.25">
      <c r="A560" t="s">
        <v>46</v>
      </c>
      <c r="B560" t="s">
        <v>138</v>
      </c>
      <c r="C560" t="s">
        <v>404</v>
      </c>
      <c r="D560" t="s">
        <v>404</v>
      </c>
      <c r="E560">
        <v>0</v>
      </c>
    </row>
    <row r="561" spans="1:5" x14ac:dyDescent="0.25">
      <c r="A561" t="s">
        <v>46</v>
      </c>
      <c r="B561" t="s">
        <v>252</v>
      </c>
      <c r="C561" t="s">
        <v>253</v>
      </c>
      <c r="D561" t="s">
        <v>253</v>
      </c>
      <c r="E561">
        <v>0</v>
      </c>
    </row>
    <row r="562" spans="1:5" x14ac:dyDescent="0.25">
      <c r="A562" t="s">
        <v>46</v>
      </c>
      <c r="B562" t="s">
        <v>272</v>
      </c>
      <c r="C562" t="s">
        <v>374</v>
      </c>
      <c r="D562" t="s">
        <v>374</v>
      </c>
      <c r="E562">
        <v>0</v>
      </c>
    </row>
    <row r="563" spans="1:5" x14ac:dyDescent="0.25">
      <c r="A563" t="s">
        <v>46</v>
      </c>
      <c r="B563" t="s">
        <v>165</v>
      </c>
      <c r="C563" t="s">
        <v>164</v>
      </c>
      <c r="D563" t="s">
        <v>164</v>
      </c>
      <c r="E563">
        <v>0</v>
      </c>
    </row>
    <row r="564" spans="1:5" x14ac:dyDescent="0.25">
      <c r="A564" t="s">
        <v>46</v>
      </c>
      <c r="B564" t="s">
        <v>103</v>
      </c>
      <c r="C564" t="s">
        <v>183</v>
      </c>
      <c r="D564" t="s">
        <v>183</v>
      </c>
      <c r="E564">
        <v>0</v>
      </c>
    </row>
    <row r="565" spans="1:5" x14ac:dyDescent="0.25">
      <c r="A565" t="s">
        <v>46</v>
      </c>
      <c r="B565" t="s">
        <v>191</v>
      </c>
      <c r="C565" t="s">
        <v>434</v>
      </c>
      <c r="D565" t="s">
        <v>434</v>
      </c>
      <c r="E565">
        <v>0</v>
      </c>
    </row>
    <row r="566" spans="1:5" x14ac:dyDescent="0.25">
      <c r="A566" t="s">
        <v>46</v>
      </c>
      <c r="B566" t="s">
        <v>112</v>
      </c>
      <c r="C566" t="s">
        <v>110</v>
      </c>
      <c r="D566" t="s">
        <v>110</v>
      </c>
      <c r="E566">
        <v>0</v>
      </c>
    </row>
    <row r="567" spans="1:5" x14ac:dyDescent="0.25">
      <c r="A567" t="s">
        <v>46</v>
      </c>
      <c r="B567" t="s">
        <v>151</v>
      </c>
      <c r="C567" t="s">
        <v>226</v>
      </c>
      <c r="D567" t="s">
        <v>226</v>
      </c>
      <c r="E567">
        <v>0</v>
      </c>
    </row>
    <row r="568" spans="1:5" x14ac:dyDescent="0.25">
      <c r="A568" t="s">
        <v>46</v>
      </c>
      <c r="B568" t="s">
        <v>256</v>
      </c>
      <c r="C568" t="s">
        <v>255</v>
      </c>
      <c r="D568" t="s">
        <v>255</v>
      </c>
      <c r="E568">
        <v>0</v>
      </c>
    </row>
    <row r="569" spans="1:5" x14ac:dyDescent="0.25">
      <c r="A569" t="s">
        <v>46</v>
      </c>
      <c r="B569" t="s">
        <v>24</v>
      </c>
      <c r="C569" t="s">
        <v>124</v>
      </c>
      <c r="D569" t="s">
        <v>124</v>
      </c>
      <c r="E569">
        <v>0</v>
      </c>
    </row>
    <row r="570" spans="1:5" x14ac:dyDescent="0.25">
      <c r="A570" t="s">
        <v>46</v>
      </c>
      <c r="B570" t="s">
        <v>198</v>
      </c>
      <c r="C570" t="s">
        <v>257</v>
      </c>
      <c r="D570" t="s">
        <v>257</v>
      </c>
      <c r="E570">
        <v>0</v>
      </c>
    </row>
    <row r="571" spans="1:5" x14ac:dyDescent="0.25">
      <c r="A571" t="s">
        <v>46</v>
      </c>
      <c r="B571" t="s">
        <v>70</v>
      </c>
      <c r="C571" t="s">
        <v>143</v>
      </c>
      <c r="D571" t="s">
        <v>143</v>
      </c>
      <c r="E571">
        <v>0</v>
      </c>
    </row>
    <row r="572" spans="1:5" x14ac:dyDescent="0.25">
      <c r="A572" t="s">
        <v>46</v>
      </c>
      <c r="B572" t="s">
        <v>109</v>
      </c>
      <c r="C572" t="s">
        <v>324</v>
      </c>
      <c r="D572" t="s">
        <v>324</v>
      </c>
      <c r="E572">
        <v>0</v>
      </c>
    </row>
    <row r="573" spans="1:5" x14ac:dyDescent="0.25">
      <c r="A573" t="s">
        <v>46</v>
      </c>
      <c r="B573" t="s">
        <v>59</v>
      </c>
      <c r="C573" t="s">
        <v>327</v>
      </c>
      <c r="D573" t="s">
        <v>327</v>
      </c>
      <c r="E573">
        <v>0</v>
      </c>
    </row>
    <row r="574" spans="1:5" x14ac:dyDescent="0.25">
      <c r="A574" t="s">
        <v>46</v>
      </c>
      <c r="B574" t="s">
        <v>275</v>
      </c>
      <c r="C574" t="s">
        <v>424</v>
      </c>
      <c r="D574" t="s">
        <v>424</v>
      </c>
      <c r="E574">
        <v>0</v>
      </c>
    </row>
    <row r="575" spans="1:5" x14ac:dyDescent="0.25">
      <c r="A575" t="s">
        <v>46</v>
      </c>
      <c r="B575" t="s">
        <v>203</v>
      </c>
      <c r="C575" t="s">
        <v>418</v>
      </c>
      <c r="D575" t="s">
        <v>418</v>
      </c>
      <c r="E575">
        <v>0</v>
      </c>
    </row>
    <row r="576" spans="1:5" x14ac:dyDescent="0.25">
      <c r="A576" t="s">
        <v>46</v>
      </c>
      <c r="B576" t="s">
        <v>105</v>
      </c>
      <c r="C576" t="s">
        <v>307</v>
      </c>
      <c r="D576" t="s">
        <v>307</v>
      </c>
      <c r="E576">
        <v>0</v>
      </c>
    </row>
    <row r="577" spans="1:5" x14ac:dyDescent="0.25">
      <c r="A577" t="s">
        <v>46</v>
      </c>
      <c r="B577" t="s">
        <v>118</v>
      </c>
      <c r="C577" t="s">
        <v>373</v>
      </c>
      <c r="D577" t="s">
        <v>373</v>
      </c>
      <c r="E577">
        <v>0</v>
      </c>
    </row>
    <row r="578" spans="1:5" x14ac:dyDescent="0.25">
      <c r="A578" t="s">
        <v>46</v>
      </c>
      <c r="B578" t="s">
        <v>300</v>
      </c>
      <c r="C578" t="s">
        <v>430</v>
      </c>
      <c r="D578" t="s">
        <v>430</v>
      </c>
      <c r="E578">
        <v>0</v>
      </c>
    </row>
    <row r="579" spans="1:5" x14ac:dyDescent="0.25">
      <c r="A579" t="s">
        <v>46</v>
      </c>
      <c r="B579" t="s">
        <v>61</v>
      </c>
      <c r="C579" t="s">
        <v>386</v>
      </c>
      <c r="D579" t="s">
        <v>386</v>
      </c>
      <c r="E579">
        <v>0</v>
      </c>
    </row>
    <row r="580" spans="1:5" x14ac:dyDescent="0.25">
      <c r="A580" t="s">
        <v>46</v>
      </c>
      <c r="B580" t="s">
        <v>73</v>
      </c>
      <c r="C580" t="s">
        <v>262</v>
      </c>
      <c r="D580" t="s">
        <v>262</v>
      </c>
      <c r="E580">
        <v>0</v>
      </c>
    </row>
    <row r="581" spans="1:5" x14ac:dyDescent="0.25">
      <c r="A581" t="s">
        <v>46</v>
      </c>
      <c r="B581" t="s">
        <v>212</v>
      </c>
      <c r="C581" t="s">
        <v>339</v>
      </c>
      <c r="D581" t="s">
        <v>339</v>
      </c>
      <c r="E581">
        <v>0</v>
      </c>
    </row>
    <row r="582" spans="1:5" x14ac:dyDescent="0.25">
      <c r="A582" t="s">
        <v>46</v>
      </c>
      <c r="B582" t="s">
        <v>163</v>
      </c>
      <c r="C582" t="s">
        <v>162</v>
      </c>
      <c r="D582" t="s">
        <v>162</v>
      </c>
      <c r="E582">
        <v>0</v>
      </c>
    </row>
    <row r="583" spans="1:5" x14ac:dyDescent="0.25">
      <c r="A583" t="s">
        <v>46</v>
      </c>
      <c r="B583" t="s">
        <v>18</v>
      </c>
      <c r="C583" t="s">
        <v>137</v>
      </c>
      <c r="D583" t="s">
        <v>137</v>
      </c>
      <c r="E583">
        <v>0</v>
      </c>
    </row>
    <row r="584" spans="1:5" x14ac:dyDescent="0.25">
      <c r="A584" t="s">
        <v>46</v>
      </c>
      <c r="B584" t="s">
        <v>101</v>
      </c>
      <c r="C584" t="s">
        <v>119</v>
      </c>
      <c r="D584" t="s">
        <v>119</v>
      </c>
      <c r="E584">
        <v>0</v>
      </c>
    </row>
    <row r="585" spans="1:5" x14ac:dyDescent="0.25">
      <c r="A585" t="s">
        <v>46</v>
      </c>
      <c r="B585" t="s">
        <v>20</v>
      </c>
      <c r="C585" t="s">
        <v>169</v>
      </c>
      <c r="D585" t="s">
        <v>169</v>
      </c>
      <c r="E585">
        <v>0</v>
      </c>
    </row>
    <row r="586" spans="1:5" x14ac:dyDescent="0.25">
      <c r="A586" t="s">
        <v>46</v>
      </c>
      <c r="B586" t="s">
        <v>296</v>
      </c>
      <c r="C586" t="s">
        <v>305</v>
      </c>
      <c r="D586" t="s">
        <v>305</v>
      </c>
      <c r="E586">
        <v>0</v>
      </c>
    </row>
    <row r="587" spans="1:5" x14ac:dyDescent="0.25">
      <c r="A587" t="s">
        <v>46</v>
      </c>
      <c r="B587" t="s">
        <v>85</v>
      </c>
      <c r="C587" t="s">
        <v>440</v>
      </c>
      <c r="D587" t="s">
        <v>440</v>
      </c>
      <c r="E587">
        <v>0</v>
      </c>
    </row>
    <row r="588" spans="1:5" x14ac:dyDescent="0.25">
      <c r="A588" t="s">
        <v>46</v>
      </c>
      <c r="B588" t="s">
        <v>97</v>
      </c>
      <c r="C588" t="s">
        <v>218</v>
      </c>
      <c r="D588" t="s">
        <v>218</v>
      </c>
      <c r="E588">
        <v>0</v>
      </c>
    </row>
    <row r="589" spans="1:5" x14ac:dyDescent="0.25">
      <c r="A589" t="s">
        <v>46</v>
      </c>
      <c r="B589" t="s">
        <v>328</v>
      </c>
      <c r="C589" t="s">
        <v>367</v>
      </c>
      <c r="D589" t="s">
        <v>367</v>
      </c>
      <c r="E589">
        <v>0</v>
      </c>
    </row>
    <row r="590" spans="1:5" x14ac:dyDescent="0.25">
      <c r="A590" t="s">
        <v>46</v>
      </c>
      <c r="B590" t="s">
        <v>190</v>
      </c>
      <c r="C590" t="s">
        <v>189</v>
      </c>
      <c r="D590" t="s">
        <v>189</v>
      </c>
      <c r="E590">
        <v>0</v>
      </c>
    </row>
    <row r="591" spans="1:5" x14ac:dyDescent="0.25">
      <c r="A591" t="s">
        <v>46</v>
      </c>
      <c r="B591" t="s">
        <v>108</v>
      </c>
      <c r="C591" t="s">
        <v>250</v>
      </c>
      <c r="D591" t="s">
        <v>250</v>
      </c>
      <c r="E591">
        <v>0</v>
      </c>
    </row>
    <row r="592" spans="1:5" x14ac:dyDescent="0.25">
      <c r="A592" t="s">
        <v>46</v>
      </c>
      <c r="B592" t="s">
        <v>157</v>
      </c>
      <c r="C592" t="s">
        <v>155</v>
      </c>
      <c r="D592" t="s">
        <v>155</v>
      </c>
      <c r="E592">
        <v>0</v>
      </c>
    </row>
    <row r="593" spans="1:5" x14ac:dyDescent="0.25">
      <c r="A593" t="s">
        <v>46</v>
      </c>
      <c r="B593" t="s">
        <v>107</v>
      </c>
      <c r="C593" t="s">
        <v>345</v>
      </c>
      <c r="D593" t="s">
        <v>345</v>
      </c>
      <c r="E593">
        <v>0</v>
      </c>
    </row>
    <row r="594" spans="1:5" x14ac:dyDescent="0.25">
      <c r="A594" t="s">
        <v>12</v>
      </c>
      <c r="B594" t="s">
        <v>195</v>
      </c>
      <c r="C594" t="s">
        <v>409</v>
      </c>
      <c r="D594" t="s">
        <v>409</v>
      </c>
      <c r="E594">
        <v>0</v>
      </c>
    </row>
    <row r="595" spans="1:5" x14ac:dyDescent="0.25">
      <c r="A595" t="s">
        <v>12</v>
      </c>
      <c r="B595" t="s">
        <v>184</v>
      </c>
      <c r="C595" t="s">
        <v>201</v>
      </c>
      <c r="D595" t="s">
        <v>201</v>
      </c>
      <c r="E595">
        <v>0</v>
      </c>
    </row>
    <row r="596" spans="1:5" x14ac:dyDescent="0.25">
      <c r="A596" t="s">
        <v>12</v>
      </c>
      <c r="B596" t="s">
        <v>60</v>
      </c>
      <c r="C596" t="s">
        <v>392</v>
      </c>
      <c r="D596" t="s">
        <v>392</v>
      </c>
      <c r="E596">
        <v>0</v>
      </c>
    </row>
    <row r="597" spans="1:5" x14ac:dyDescent="0.25">
      <c r="A597" t="s">
        <v>12</v>
      </c>
      <c r="B597" t="s">
        <v>180</v>
      </c>
      <c r="C597" t="s">
        <v>380</v>
      </c>
      <c r="D597" t="s">
        <v>380</v>
      </c>
      <c r="E597">
        <v>0</v>
      </c>
    </row>
    <row r="598" spans="1:5" x14ac:dyDescent="0.25">
      <c r="A598" t="s">
        <v>12</v>
      </c>
      <c r="B598" t="s">
        <v>161</v>
      </c>
      <c r="C598" t="s">
        <v>395</v>
      </c>
      <c r="D598" t="s">
        <v>395</v>
      </c>
      <c r="E598">
        <v>0</v>
      </c>
    </row>
    <row r="599" spans="1:5" x14ac:dyDescent="0.25">
      <c r="A599" t="s">
        <v>12</v>
      </c>
      <c r="B599" t="s">
        <v>243</v>
      </c>
      <c r="C599" t="s">
        <v>291</v>
      </c>
      <c r="D599" t="s">
        <v>291</v>
      </c>
      <c r="E599">
        <v>0</v>
      </c>
    </row>
    <row r="600" spans="1:5" x14ac:dyDescent="0.25">
      <c r="A600" t="s">
        <v>12</v>
      </c>
      <c r="B600" t="s">
        <v>148</v>
      </c>
      <c r="C600" t="s">
        <v>147</v>
      </c>
      <c r="D600" t="s">
        <v>147</v>
      </c>
      <c r="E600">
        <v>0</v>
      </c>
    </row>
    <row r="601" spans="1:5" x14ac:dyDescent="0.25">
      <c r="A601" t="s">
        <v>12</v>
      </c>
      <c r="B601" t="s">
        <v>47</v>
      </c>
      <c r="C601" t="s">
        <v>299</v>
      </c>
      <c r="D601" t="s">
        <v>299</v>
      </c>
      <c r="E601">
        <v>0</v>
      </c>
    </row>
    <row r="602" spans="1:5" x14ac:dyDescent="0.25">
      <c r="A602" t="s">
        <v>12</v>
      </c>
      <c r="B602" t="s">
        <v>37</v>
      </c>
      <c r="C602" t="s">
        <v>65</v>
      </c>
      <c r="D602" t="s">
        <v>65</v>
      </c>
      <c r="E602">
        <v>0</v>
      </c>
    </row>
    <row r="603" spans="1:5" x14ac:dyDescent="0.25">
      <c r="A603" t="s">
        <v>12</v>
      </c>
      <c r="B603" t="s">
        <v>84</v>
      </c>
      <c r="C603" t="s">
        <v>286</v>
      </c>
      <c r="D603" t="s">
        <v>286</v>
      </c>
      <c r="E603">
        <v>0</v>
      </c>
    </row>
    <row r="604" spans="1:5" x14ac:dyDescent="0.25">
      <c r="A604" t="s">
        <v>12</v>
      </c>
      <c r="B604" t="s">
        <v>240</v>
      </c>
      <c r="C604" t="s">
        <v>257</v>
      </c>
      <c r="D604" t="s">
        <v>257</v>
      </c>
      <c r="E604">
        <v>0</v>
      </c>
    </row>
    <row r="605" spans="1:5" x14ac:dyDescent="0.25">
      <c r="A605" t="s">
        <v>12</v>
      </c>
      <c r="B605" t="s">
        <v>115</v>
      </c>
      <c r="C605" t="s">
        <v>399</v>
      </c>
      <c r="D605" t="s">
        <v>399</v>
      </c>
      <c r="E605">
        <v>0</v>
      </c>
    </row>
    <row r="606" spans="1:5" x14ac:dyDescent="0.25">
      <c r="A606" t="s">
        <v>12</v>
      </c>
      <c r="B606" t="s">
        <v>39</v>
      </c>
      <c r="C606" t="s">
        <v>33</v>
      </c>
      <c r="D606" t="s">
        <v>33</v>
      </c>
      <c r="E606">
        <v>0</v>
      </c>
    </row>
    <row r="607" spans="1:5" x14ac:dyDescent="0.25">
      <c r="A607" t="s">
        <v>12</v>
      </c>
      <c r="B607" t="s">
        <v>264</v>
      </c>
      <c r="C607" t="s">
        <v>398</v>
      </c>
      <c r="D607" t="s">
        <v>398</v>
      </c>
      <c r="E607">
        <v>0</v>
      </c>
    </row>
    <row r="608" spans="1:5" x14ac:dyDescent="0.25">
      <c r="A608" t="s">
        <v>12</v>
      </c>
      <c r="B608" t="s">
        <v>149</v>
      </c>
      <c r="C608" t="s">
        <v>437</v>
      </c>
      <c r="D608" t="s">
        <v>437</v>
      </c>
      <c r="E608">
        <v>0</v>
      </c>
    </row>
    <row r="609" spans="1:5" x14ac:dyDescent="0.25">
      <c r="A609" t="s">
        <v>12</v>
      </c>
      <c r="B609" t="s">
        <v>35</v>
      </c>
      <c r="C609" t="s">
        <v>33</v>
      </c>
      <c r="D609" t="s">
        <v>33</v>
      </c>
      <c r="E609">
        <v>0</v>
      </c>
    </row>
    <row r="610" spans="1:5" x14ac:dyDescent="0.25">
      <c r="A610" t="s">
        <v>12</v>
      </c>
      <c r="B610" t="s">
        <v>350</v>
      </c>
      <c r="C610" t="s">
        <v>384</v>
      </c>
      <c r="D610" t="s">
        <v>384</v>
      </c>
      <c r="E610">
        <v>0</v>
      </c>
    </row>
    <row r="611" spans="1:5" x14ac:dyDescent="0.25">
      <c r="A611" t="s">
        <v>12</v>
      </c>
      <c r="B611" t="s">
        <v>156</v>
      </c>
      <c r="C611" t="s">
        <v>236</v>
      </c>
      <c r="D611" t="s">
        <v>236</v>
      </c>
      <c r="E611">
        <v>0</v>
      </c>
    </row>
    <row r="612" spans="1:5" x14ac:dyDescent="0.25">
      <c r="A612" t="s">
        <v>12</v>
      </c>
      <c r="B612" t="s">
        <v>67</v>
      </c>
      <c r="C612" t="s">
        <v>65</v>
      </c>
      <c r="D612" t="s">
        <v>65</v>
      </c>
      <c r="E612">
        <v>0</v>
      </c>
    </row>
    <row r="613" spans="1:5" x14ac:dyDescent="0.25">
      <c r="A613" t="s">
        <v>12</v>
      </c>
      <c r="B613" t="s">
        <v>228</v>
      </c>
      <c r="C613" t="s">
        <v>226</v>
      </c>
      <c r="D613" t="s">
        <v>226</v>
      </c>
      <c r="E613">
        <v>0</v>
      </c>
    </row>
    <row r="614" spans="1:5" x14ac:dyDescent="0.25">
      <c r="A614" t="s">
        <v>12</v>
      </c>
      <c r="B614" t="s">
        <v>71</v>
      </c>
      <c r="C614" t="s">
        <v>346</v>
      </c>
      <c r="D614" t="s">
        <v>346</v>
      </c>
      <c r="E614">
        <v>0</v>
      </c>
    </row>
    <row r="615" spans="1:5" x14ac:dyDescent="0.25">
      <c r="A615" t="s">
        <v>12</v>
      </c>
      <c r="B615" t="s">
        <v>32</v>
      </c>
      <c r="C615" t="s">
        <v>321</v>
      </c>
      <c r="D615" t="s">
        <v>321</v>
      </c>
      <c r="E615">
        <v>0</v>
      </c>
    </row>
    <row r="616" spans="1:5" x14ac:dyDescent="0.25">
      <c r="A616" t="s">
        <v>12</v>
      </c>
      <c r="B616" t="s">
        <v>235</v>
      </c>
      <c r="C616" t="s">
        <v>371</v>
      </c>
      <c r="D616" t="s">
        <v>371</v>
      </c>
      <c r="E616">
        <v>0</v>
      </c>
    </row>
    <row r="617" spans="1:5" x14ac:dyDescent="0.25">
      <c r="A617" t="s">
        <v>12</v>
      </c>
      <c r="B617" t="s">
        <v>139</v>
      </c>
      <c r="C617" t="s">
        <v>422</v>
      </c>
      <c r="D617" t="s">
        <v>422</v>
      </c>
      <c r="E617">
        <v>0</v>
      </c>
    </row>
    <row r="618" spans="1:5" x14ac:dyDescent="0.25">
      <c r="A618" t="s">
        <v>12</v>
      </c>
      <c r="B618" t="s">
        <v>202</v>
      </c>
      <c r="C618" t="s">
        <v>201</v>
      </c>
      <c r="D618" t="s">
        <v>201</v>
      </c>
      <c r="E618">
        <v>0</v>
      </c>
    </row>
    <row r="619" spans="1:5" x14ac:dyDescent="0.25">
      <c r="A619" t="s">
        <v>12</v>
      </c>
      <c r="B619" t="s">
        <v>66</v>
      </c>
      <c r="C619" t="s">
        <v>336</v>
      </c>
      <c r="D619" t="s">
        <v>336</v>
      </c>
      <c r="E619">
        <v>0</v>
      </c>
    </row>
    <row r="620" spans="1:5" x14ac:dyDescent="0.25">
      <c r="A620" t="s">
        <v>12</v>
      </c>
      <c r="B620" t="s">
        <v>181</v>
      </c>
      <c r="C620" t="s">
        <v>424</v>
      </c>
      <c r="D620" t="s">
        <v>424</v>
      </c>
      <c r="E620">
        <v>0</v>
      </c>
    </row>
    <row r="621" spans="1:5" x14ac:dyDescent="0.25">
      <c r="A621" t="s">
        <v>12</v>
      </c>
      <c r="B621" t="s">
        <v>197</v>
      </c>
      <c r="C621" t="s">
        <v>196</v>
      </c>
      <c r="D621" t="s">
        <v>196</v>
      </c>
      <c r="E621">
        <v>0</v>
      </c>
    </row>
    <row r="622" spans="1:5" x14ac:dyDescent="0.25">
      <c r="A622" t="s">
        <v>12</v>
      </c>
      <c r="B622" t="s">
        <v>121</v>
      </c>
      <c r="C622" t="s">
        <v>119</v>
      </c>
      <c r="D622" t="s">
        <v>119</v>
      </c>
      <c r="E622">
        <v>0</v>
      </c>
    </row>
    <row r="623" spans="1:5" x14ac:dyDescent="0.25">
      <c r="A623" t="s">
        <v>12</v>
      </c>
      <c r="B623" t="s">
        <v>272</v>
      </c>
      <c r="C623" t="s">
        <v>448</v>
      </c>
      <c r="D623" t="s">
        <v>448</v>
      </c>
      <c r="E623">
        <v>0</v>
      </c>
    </row>
    <row r="624" spans="1:5" x14ac:dyDescent="0.25">
      <c r="A624" t="s">
        <v>12</v>
      </c>
      <c r="B624" t="s">
        <v>79</v>
      </c>
      <c r="C624" t="s">
        <v>211</v>
      </c>
      <c r="D624" t="s">
        <v>211</v>
      </c>
      <c r="E624">
        <v>0</v>
      </c>
    </row>
    <row r="625" spans="1:5" x14ac:dyDescent="0.25">
      <c r="A625" t="s">
        <v>12</v>
      </c>
      <c r="B625" t="s">
        <v>359</v>
      </c>
      <c r="C625" t="s">
        <v>423</v>
      </c>
      <c r="D625" t="s">
        <v>423</v>
      </c>
      <c r="E625">
        <v>0</v>
      </c>
    </row>
    <row r="626" spans="1:5" x14ac:dyDescent="0.25">
      <c r="A626" t="s">
        <v>12</v>
      </c>
      <c r="B626" t="s">
        <v>165</v>
      </c>
      <c r="C626" t="s">
        <v>303</v>
      </c>
      <c r="D626" t="s">
        <v>303</v>
      </c>
      <c r="E626">
        <v>0</v>
      </c>
    </row>
    <row r="627" spans="1:5" x14ac:dyDescent="0.25">
      <c r="A627" t="s">
        <v>12</v>
      </c>
      <c r="B627" t="s">
        <v>249</v>
      </c>
      <c r="C627" t="s">
        <v>363</v>
      </c>
      <c r="D627" t="s">
        <v>363</v>
      </c>
      <c r="E627">
        <v>0</v>
      </c>
    </row>
    <row r="628" spans="1:5" x14ac:dyDescent="0.25">
      <c r="A628" t="s">
        <v>12</v>
      </c>
      <c r="B628" t="s">
        <v>214</v>
      </c>
      <c r="C628" t="s">
        <v>262</v>
      </c>
      <c r="D628" t="s">
        <v>262</v>
      </c>
      <c r="E628">
        <v>0</v>
      </c>
    </row>
    <row r="629" spans="1:5" x14ac:dyDescent="0.25">
      <c r="A629" t="s">
        <v>12</v>
      </c>
      <c r="B629" t="s">
        <v>45</v>
      </c>
      <c r="C629" t="s">
        <v>42</v>
      </c>
      <c r="D629" t="s">
        <v>42</v>
      </c>
      <c r="E629">
        <v>0</v>
      </c>
    </row>
    <row r="630" spans="1:5" x14ac:dyDescent="0.25">
      <c r="A630" t="s">
        <v>12</v>
      </c>
      <c r="B630" t="s">
        <v>171</v>
      </c>
      <c r="C630" t="s">
        <v>440</v>
      </c>
      <c r="D630" t="s">
        <v>440</v>
      </c>
      <c r="E630">
        <v>0</v>
      </c>
    </row>
    <row r="631" spans="1:5" x14ac:dyDescent="0.25">
      <c r="A631" t="s">
        <v>12</v>
      </c>
      <c r="B631" t="s">
        <v>98</v>
      </c>
      <c r="C631" t="s">
        <v>443</v>
      </c>
      <c r="D631" t="s">
        <v>443</v>
      </c>
      <c r="E631">
        <v>0</v>
      </c>
    </row>
    <row r="632" spans="1:5" x14ac:dyDescent="0.25">
      <c r="A632" t="s">
        <v>12</v>
      </c>
      <c r="B632" t="s">
        <v>123</v>
      </c>
      <c r="C632" t="s">
        <v>119</v>
      </c>
      <c r="D632" t="s">
        <v>119</v>
      </c>
      <c r="E632">
        <v>0</v>
      </c>
    </row>
    <row r="633" spans="1:5" x14ac:dyDescent="0.25">
      <c r="A633" t="s">
        <v>12</v>
      </c>
      <c r="B633" t="s">
        <v>29</v>
      </c>
      <c r="C633" t="s">
        <v>155</v>
      </c>
      <c r="D633" t="s">
        <v>155</v>
      </c>
      <c r="E633">
        <v>0</v>
      </c>
    </row>
    <row r="634" spans="1:5" x14ac:dyDescent="0.25">
      <c r="A634" t="s">
        <v>12</v>
      </c>
      <c r="B634" t="s">
        <v>70</v>
      </c>
      <c r="C634" t="s">
        <v>286</v>
      </c>
      <c r="D634" t="s">
        <v>286</v>
      </c>
      <c r="E634">
        <v>0</v>
      </c>
    </row>
    <row r="635" spans="1:5" x14ac:dyDescent="0.25">
      <c r="A635" t="s">
        <v>12</v>
      </c>
      <c r="B635" t="s">
        <v>109</v>
      </c>
      <c r="C635" t="s">
        <v>155</v>
      </c>
      <c r="D635" t="s">
        <v>155</v>
      </c>
      <c r="E635">
        <v>0</v>
      </c>
    </row>
    <row r="636" spans="1:5" x14ac:dyDescent="0.25">
      <c r="A636" t="s">
        <v>12</v>
      </c>
      <c r="B636" t="s">
        <v>118</v>
      </c>
      <c r="C636" t="s">
        <v>371</v>
      </c>
      <c r="D636" t="s">
        <v>371</v>
      </c>
      <c r="E636">
        <v>0</v>
      </c>
    </row>
    <row r="637" spans="1:5" x14ac:dyDescent="0.25">
      <c r="A637" t="s">
        <v>12</v>
      </c>
      <c r="B637" t="s">
        <v>280</v>
      </c>
      <c r="C637" t="s">
        <v>315</v>
      </c>
      <c r="D637" t="s">
        <v>315</v>
      </c>
      <c r="E637">
        <v>0</v>
      </c>
    </row>
    <row r="638" spans="1:5" x14ac:dyDescent="0.25">
      <c r="A638" t="s">
        <v>12</v>
      </c>
      <c r="B638" t="s">
        <v>61</v>
      </c>
      <c r="C638" t="s">
        <v>413</v>
      </c>
      <c r="D638" t="s">
        <v>413</v>
      </c>
      <c r="E638">
        <v>0</v>
      </c>
    </row>
    <row r="639" spans="1:5" x14ac:dyDescent="0.25">
      <c r="A639" t="s">
        <v>12</v>
      </c>
      <c r="B639" t="s">
        <v>13</v>
      </c>
      <c r="C639" t="s">
        <v>14</v>
      </c>
      <c r="D639" t="s">
        <v>14</v>
      </c>
      <c r="E639">
        <v>0</v>
      </c>
    </row>
    <row r="640" spans="1:5" x14ac:dyDescent="0.25">
      <c r="A640" t="s">
        <v>12</v>
      </c>
      <c r="B640" t="s">
        <v>287</v>
      </c>
      <c r="C640" t="s">
        <v>413</v>
      </c>
      <c r="D640" t="s">
        <v>413</v>
      </c>
      <c r="E640">
        <v>0</v>
      </c>
    </row>
    <row r="641" spans="1:5" x14ac:dyDescent="0.25">
      <c r="A641" t="s">
        <v>12</v>
      </c>
      <c r="B641" t="s">
        <v>270</v>
      </c>
      <c r="C641" t="s">
        <v>374</v>
      </c>
      <c r="D641" t="s">
        <v>374</v>
      </c>
      <c r="E641">
        <v>0</v>
      </c>
    </row>
    <row r="642" spans="1:5" x14ac:dyDescent="0.25">
      <c r="A642" t="s">
        <v>12</v>
      </c>
      <c r="B642" t="s">
        <v>25</v>
      </c>
      <c r="C642" t="s">
        <v>26</v>
      </c>
      <c r="D642" t="s">
        <v>26</v>
      </c>
      <c r="E642">
        <v>0</v>
      </c>
    </row>
    <row r="643" spans="1:5" x14ac:dyDescent="0.25">
      <c r="A643" t="s">
        <v>12</v>
      </c>
      <c r="B643" t="s">
        <v>68</v>
      </c>
      <c r="C643" t="s">
        <v>65</v>
      </c>
      <c r="D643" t="s">
        <v>65</v>
      </c>
      <c r="E643">
        <v>0</v>
      </c>
    </row>
    <row r="644" spans="1:5" x14ac:dyDescent="0.25">
      <c r="A644" t="s">
        <v>12</v>
      </c>
      <c r="B644" t="s">
        <v>190</v>
      </c>
      <c r="C644" t="s">
        <v>311</v>
      </c>
      <c r="D644" t="s">
        <v>311</v>
      </c>
      <c r="E644">
        <v>0</v>
      </c>
    </row>
    <row r="645" spans="1:5" x14ac:dyDescent="0.25">
      <c r="A645" t="s">
        <v>12</v>
      </c>
      <c r="B645" t="s">
        <v>172</v>
      </c>
      <c r="C645" t="s">
        <v>421</v>
      </c>
      <c r="D645" t="s">
        <v>421</v>
      </c>
      <c r="E645">
        <v>0</v>
      </c>
    </row>
    <row r="646" spans="1:5" x14ac:dyDescent="0.25">
      <c r="A646" t="s">
        <v>12</v>
      </c>
      <c r="B646" t="s">
        <v>136</v>
      </c>
      <c r="C646" t="s">
        <v>356</v>
      </c>
      <c r="D646" t="s">
        <v>356</v>
      </c>
      <c r="E646">
        <v>0</v>
      </c>
    </row>
    <row r="647" spans="1:5" x14ac:dyDescent="0.25">
      <c r="A647" t="s">
        <v>12</v>
      </c>
      <c r="B647" t="s">
        <v>157</v>
      </c>
      <c r="C647" t="s">
        <v>346</v>
      </c>
      <c r="D647" t="s">
        <v>346</v>
      </c>
      <c r="E647">
        <v>0</v>
      </c>
    </row>
    <row r="648" spans="1:5" x14ac:dyDescent="0.25">
      <c r="A648" t="s">
        <v>5</v>
      </c>
      <c r="B648" t="s">
        <v>92</v>
      </c>
      <c r="C648" t="s">
        <v>408</v>
      </c>
      <c r="D648" t="s">
        <v>408</v>
      </c>
      <c r="E648">
        <v>0</v>
      </c>
    </row>
    <row r="649" spans="1:5" x14ac:dyDescent="0.25">
      <c r="A649" t="s">
        <v>5</v>
      </c>
      <c r="B649" t="s">
        <v>64</v>
      </c>
      <c r="C649" t="s">
        <v>65</v>
      </c>
      <c r="D649" t="s">
        <v>65</v>
      </c>
      <c r="E649">
        <v>0</v>
      </c>
    </row>
    <row r="650" spans="1:5" x14ac:dyDescent="0.25">
      <c r="A650" t="s">
        <v>5</v>
      </c>
      <c r="B650" t="s">
        <v>195</v>
      </c>
      <c r="C650" t="s">
        <v>404</v>
      </c>
      <c r="D650" t="s">
        <v>404</v>
      </c>
      <c r="E650">
        <v>0</v>
      </c>
    </row>
    <row r="651" spans="1:5" x14ac:dyDescent="0.25">
      <c r="A651" t="s">
        <v>5</v>
      </c>
      <c r="B651" t="s">
        <v>180</v>
      </c>
      <c r="C651" t="s">
        <v>329</v>
      </c>
      <c r="D651" t="s">
        <v>329</v>
      </c>
      <c r="E651">
        <v>0</v>
      </c>
    </row>
    <row r="652" spans="1:5" x14ac:dyDescent="0.25">
      <c r="A652" t="s">
        <v>5</v>
      </c>
      <c r="B652" t="s">
        <v>116</v>
      </c>
      <c r="C652" t="s">
        <v>117</v>
      </c>
      <c r="D652" t="s">
        <v>117</v>
      </c>
      <c r="E652">
        <v>0</v>
      </c>
    </row>
    <row r="653" spans="1:5" x14ac:dyDescent="0.25">
      <c r="A653" t="s">
        <v>5</v>
      </c>
      <c r="B653" t="s">
        <v>130</v>
      </c>
      <c r="C653" t="s">
        <v>299</v>
      </c>
      <c r="D653" t="s">
        <v>299</v>
      </c>
      <c r="E653">
        <v>0</v>
      </c>
    </row>
    <row r="654" spans="1:5" x14ac:dyDescent="0.25">
      <c r="A654" t="s">
        <v>5</v>
      </c>
      <c r="B654" t="s">
        <v>229</v>
      </c>
      <c r="C654" t="s">
        <v>399</v>
      </c>
      <c r="D654" t="s">
        <v>399</v>
      </c>
      <c r="E654">
        <v>0</v>
      </c>
    </row>
    <row r="655" spans="1:5" x14ac:dyDescent="0.25">
      <c r="A655" t="s">
        <v>5</v>
      </c>
      <c r="B655" t="s">
        <v>227</v>
      </c>
      <c r="C655" t="s">
        <v>279</v>
      </c>
      <c r="D655" t="s">
        <v>279</v>
      </c>
      <c r="E655">
        <v>0</v>
      </c>
    </row>
    <row r="656" spans="1:5" x14ac:dyDescent="0.25">
      <c r="A656" t="s">
        <v>5</v>
      </c>
      <c r="B656" t="s">
        <v>264</v>
      </c>
      <c r="C656" t="s">
        <v>454</v>
      </c>
      <c r="D656" t="s">
        <v>454</v>
      </c>
      <c r="E656">
        <v>0</v>
      </c>
    </row>
    <row r="657" spans="1:5" x14ac:dyDescent="0.25">
      <c r="A657" t="s">
        <v>5</v>
      </c>
      <c r="B657" t="s">
        <v>281</v>
      </c>
      <c r="C657" t="s">
        <v>362</v>
      </c>
      <c r="D657" t="s">
        <v>362</v>
      </c>
      <c r="E657">
        <v>0</v>
      </c>
    </row>
    <row r="658" spans="1:5" x14ac:dyDescent="0.25">
      <c r="A658" t="s">
        <v>5</v>
      </c>
      <c r="B658" t="s">
        <v>173</v>
      </c>
      <c r="C658" t="s">
        <v>169</v>
      </c>
      <c r="D658" t="s">
        <v>169</v>
      </c>
      <c r="E658">
        <v>0</v>
      </c>
    </row>
    <row r="659" spans="1:5" x14ac:dyDescent="0.25">
      <c r="A659" t="s">
        <v>5</v>
      </c>
      <c r="B659" t="s">
        <v>248</v>
      </c>
      <c r="C659" t="s">
        <v>414</v>
      </c>
      <c r="D659" t="s">
        <v>414</v>
      </c>
      <c r="E659">
        <v>0</v>
      </c>
    </row>
    <row r="660" spans="1:5" x14ac:dyDescent="0.25">
      <c r="A660" t="s">
        <v>5</v>
      </c>
      <c r="B660" t="s">
        <v>71</v>
      </c>
      <c r="C660" t="s">
        <v>353</v>
      </c>
      <c r="D660" t="s">
        <v>353</v>
      </c>
      <c r="E660">
        <v>0</v>
      </c>
    </row>
    <row r="661" spans="1:5" x14ac:dyDescent="0.25">
      <c r="A661" t="s">
        <v>5</v>
      </c>
      <c r="B661" t="s">
        <v>258</v>
      </c>
      <c r="C661" t="s">
        <v>318</v>
      </c>
      <c r="D661" t="s">
        <v>318</v>
      </c>
      <c r="E661">
        <v>0</v>
      </c>
    </row>
    <row r="662" spans="1:5" x14ac:dyDescent="0.25">
      <c r="A662" t="s">
        <v>5</v>
      </c>
      <c r="B662" t="s">
        <v>6</v>
      </c>
      <c r="C662" t="s">
        <v>7</v>
      </c>
      <c r="D662" t="s">
        <v>7</v>
      </c>
      <c r="E662">
        <v>0</v>
      </c>
    </row>
    <row r="663" spans="1:5" x14ac:dyDescent="0.25">
      <c r="A663" t="s">
        <v>5</v>
      </c>
      <c r="B663" t="s">
        <v>238</v>
      </c>
      <c r="C663" t="s">
        <v>360</v>
      </c>
      <c r="D663" t="s">
        <v>360</v>
      </c>
      <c r="E663">
        <v>0</v>
      </c>
    </row>
    <row r="664" spans="1:5" x14ac:dyDescent="0.25">
      <c r="A664" t="s">
        <v>5</v>
      </c>
      <c r="B664" t="s">
        <v>38</v>
      </c>
      <c r="C664" t="s">
        <v>286</v>
      </c>
      <c r="D664" t="s">
        <v>286</v>
      </c>
      <c r="E664">
        <v>0</v>
      </c>
    </row>
    <row r="665" spans="1:5" x14ac:dyDescent="0.25">
      <c r="A665" t="s">
        <v>5</v>
      </c>
      <c r="B665" t="s">
        <v>90</v>
      </c>
      <c r="C665" t="s">
        <v>226</v>
      </c>
      <c r="D665" t="s">
        <v>226</v>
      </c>
      <c r="E665">
        <v>0</v>
      </c>
    </row>
    <row r="666" spans="1:5" x14ac:dyDescent="0.25">
      <c r="A666" t="s">
        <v>5</v>
      </c>
      <c r="B666" t="s">
        <v>335</v>
      </c>
      <c r="C666" t="s">
        <v>413</v>
      </c>
      <c r="D666" t="s">
        <v>413</v>
      </c>
      <c r="E666">
        <v>0</v>
      </c>
    </row>
    <row r="667" spans="1:5" x14ac:dyDescent="0.25">
      <c r="A667" t="s">
        <v>5</v>
      </c>
      <c r="B667" t="s">
        <v>56</v>
      </c>
      <c r="C667" t="s">
        <v>265</v>
      </c>
      <c r="D667" t="s">
        <v>265</v>
      </c>
      <c r="E667">
        <v>0</v>
      </c>
    </row>
    <row r="668" spans="1:5" x14ac:dyDescent="0.25">
      <c r="A668" t="s">
        <v>5</v>
      </c>
      <c r="B668" t="s">
        <v>51</v>
      </c>
      <c r="C668" t="s">
        <v>50</v>
      </c>
      <c r="D668" t="s">
        <v>50</v>
      </c>
      <c r="E668">
        <v>0</v>
      </c>
    </row>
    <row r="669" spans="1:5" x14ac:dyDescent="0.25">
      <c r="A669" t="s">
        <v>5</v>
      </c>
      <c r="B669" t="s">
        <v>129</v>
      </c>
      <c r="C669" t="s">
        <v>220</v>
      </c>
      <c r="D669" t="s">
        <v>220</v>
      </c>
      <c r="E669">
        <v>0</v>
      </c>
    </row>
    <row r="670" spans="1:5" x14ac:dyDescent="0.25">
      <c r="A670" t="s">
        <v>5</v>
      </c>
      <c r="B670" t="s">
        <v>175</v>
      </c>
      <c r="C670" t="s">
        <v>215</v>
      </c>
      <c r="D670" t="s">
        <v>215</v>
      </c>
      <c r="E670">
        <v>0</v>
      </c>
    </row>
    <row r="671" spans="1:5" x14ac:dyDescent="0.25">
      <c r="A671" t="s">
        <v>5</v>
      </c>
      <c r="B671" t="s">
        <v>153</v>
      </c>
      <c r="C671" t="s">
        <v>443</v>
      </c>
      <c r="D671" t="s">
        <v>443</v>
      </c>
      <c r="E671">
        <v>0</v>
      </c>
    </row>
    <row r="672" spans="1:5" x14ac:dyDescent="0.25">
      <c r="A672" t="s">
        <v>5</v>
      </c>
      <c r="B672" t="s">
        <v>197</v>
      </c>
      <c r="C672" t="s">
        <v>420</v>
      </c>
      <c r="D672" t="s">
        <v>420</v>
      </c>
      <c r="E672">
        <v>0</v>
      </c>
    </row>
    <row r="673" spans="1:5" x14ac:dyDescent="0.25">
      <c r="A673" t="s">
        <v>5</v>
      </c>
      <c r="B673" t="s">
        <v>138</v>
      </c>
      <c r="C673" t="s">
        <v>189</v>
      </c>
      <c r="D673" t="s">
        <v>189</v>
      </c>
      <c r="E673">
        <v>0</v>
      </c>
    </row>
    <row r="674" spans="1:5" x14ac:dyDescent="0.25">
      <c r="A674" t="s">
        <v>5</v>
      </c>
      <c r="B674" t="s">
        <v>53</v>
      </c>
      <c r="C674" t="s">
        <v>427</v>
      </c>
      <c r="D674" t="s">
        <v>427</v>
      </c>
      <c r="E674">
        <v>0</v>
      </c>
    </row>
    <row r="675" spans="1:5" x14ac:dyDescent="0.25">
      <c r="A675" t="s">
        <v>5</v>
      </c>
      <c r="B675" t="s">
        <v>272</v>
      </c>
      <c r="C675" t="s">
        <v>269</v>
      </c>
      <c r="D675" t="s">
        <v>269</v>
      </c>
      <c r="E675">
        <v>0</v>
      </c>
    </row>
    <row r="676" spans="1:5" x14ac:dyDescent="0.25">
      <c r="A676" t="s">
        <v>5</v>
      </c>
      <c r="B676" t="s">
        <v>79</v>
      </c>
      <c r="C676" t="s">
        <v>88</v>
      </c>
      <c r="D676" t="s">
        <v>88</v>
      </c>
      <c r="E676">
        <v>0</v>
      </c>
    </row>
    <row r="677" spans="1:5" x14ac:dyDescent="0.25">
      <c r="A677" t="s">
        <v>5</v>
      </c>
      <c r="B677" t="s">
        <v>34</v>
      </c>
      <c r="C677" t="s">
        <v>33</v>
      </c>
      <c r="D677" t="s">
        <v>33</v>
      </c>
      <c r="E677">
        <v>0</v>
      </c>
    </row>
    <row r="678" spans="1:5" x14ac:dyDescent="0.25">
      <c r="A678" t="s">
        <v>5</v>
      </c>
      <c r="B678" t="s">
        <v>81</v>
      </c>
      <c r="C678" t="s">
        <v>251</v>
      </c>
      <c r="D678" t="s">
        <v>251</v>
      </c>
      <c r="E678">
        <v>0</v>
      </c>
    </row>
    <row r="679" spans="1:5" x14ac:dyDescent="0.25">
      <c r="A679" t="s">
        <v>5</v>
      </c>
      <c r="B679" t="s">
        <v>223</v>
      </c>
      <c r="C679" t="s">
        <v>222</v>
      </c>
      <c r="D679" t="s">
        <v>222</v>
      </c>
      <c r="E679">
        <v>0</v>
      </c>
    </row>
    <row r="680" spans="1:5" x14ac:dyDescent="0.25">
      <c r="A680" t="s">
        <v>5</v>
      </c>
      <c r="B680" t="s">
        <v>232</v>
      </c>
      <c r="C680" t="s">
        <v>432</v>
      </c>
      <c r="D680" t="s">
        <v>432</v>
      </c>
      <c r="E680">
        <v>0</v>
      </c>
    </row>
    <row r="681" spans="1:5" x14ac:dyDescent="0.25">
      <c r="A681" t="s">
        <v>5</v>
      </c>
      <c r="B681" t="s">
        <v>112</v>
      </c>
      <c r="C681" t="s">
        <v>434</v>
      </c>
      <c r="D681" t="s">
        <v>434</v>
      </c>
      <c r="E681">
        <v>0</v>
      </c>
    </row>
    <row r="682" spans="1:5" x14ac:dyDescent="0.25">
      <c r="A682" t="s">
        <v>5</v>
      </c>
      <c r="B682" t="s">
        <v>219</v>
      </c>
      <c r="C682" t="s">
        <v>220</v>
      </c>
      <c r="D682" t="s">
        <v>220</v>
      </c>
      <c r="E682">
        <v>0</v>
      </c>
    </row>
    <row r="683" spans="1:5" x14ac:dyDescent="0.25">
      <c r="A683" t="s">
        <v>5</v>
      </c>
      <c r="B683" t="s">
        <v>151</v>
      </c>
      <c r="C683" t="s">
        <v>251</v>
      </c>
      <c r="D683" t="s">
        <v>251</v>
      </c>
      <c r="E683">
        <v>0</v>
      </c>
    </row>
    <row r="684" spans="1:5" x14ac:dyDescent="0.25">
      <c r="A684" t="s">
        <v>5</v>
      </c>
      <c r="B684" t="s">
        <v>98</v>
      </c>
      <c r="C684" t="s">
        <v>385</v>
      </c>
      <c r="D684" t="s">
        <v>385</v>
      </c>
      <c r="E684">
        <v>0</v>
      </c>
    </row>
    <row r="685" spans="1:5" x14ac:dyDescent="0.25">
      <c r="A685" t="s">
        <v>5</v>
      </c>
      <c r="B685" t="s">
        <v>123</v>
      </c>
      <c r="C685" t="s">
        <v>291</v>
      </c>
      <c r="D685" t="s">
        <v>291</v>
      </c>
      <c r="E685">
        <v>0</v>
      </c>
    </row>
    <row r="686" spans="1:5" x14ac:dyDescent="0.25">
      <c r="A686" t="s">
        <v>5</v>
      </c>
      <c r="B686" t="s">
        <v>82</v>
      </c>
      <c r="C686" t="s">
        <v>339</v>
      </c>
      <c r="D686" t="s">
        <v>339</v>
      </c>
      <c r="E686">
        <v>0</v>
      </c>
    </row>
    <row r="687" spans="1:5" x14ac:dyDescent="0.25">
      <c r="A687" t="s">
        <v>5</v>
      </c>
      <c r="B687" t="s">
        <v>109</v>
      </c>
      <c r="C687" t="s">
        <v>224</v>
      </c>
      <c r="D687" t="s">
        <v>224</v>
      </c>
      <c r="E687">
        <v>0</v>
      </c>
    </row>
    <row r="688" spans="1:5" x14ac:dyDescent="0.25">
      <c r="A688" t="s">
        <v>5</v>
      </c>
      <c r="B688" t="s">
        <v>105</v>
      </c>
      <c r="C688" t="s">
        <v>371</v>
      </c>
      <c r="D688" t="s">
        <v>371</v>
      </c>
      <c r="E688">
        <v>0</v>
      </c>
    </row>
    <row r="689" spans="1:5" x14ac:dyDescent="0.25">
      <c r="A689" t="s">
        <v>5</v>
      </c>
      <c r="B689" t="s">
        <v>11</v>
      </c>
      <c r="C689" t="s">
        <v>377</v>
      </c>
      <c r="D689" t="s">
        <v>377</v>
      </c>
      <c r="E689">
        <v>0</v>
      </c>
    </row>
    <row r="690" spans="1:5" x14ac:dyDescent="0.25">
      <c r="A690" t="s">
        <v>5</v>
      </c>
      <c r="B690" t="s">
        <v>93</v>
      </c>
      <c r="C690" t="s">
        <v>88</v>
      </c>
      <c r="D690" t="s">
        <v>88</v>
      </c>
      <c r="E690">
        <v>0</v>
      </c>
    </row>
    <row r="691" spans="1:5" x14ac:dyDescent="0.25">
      <c r="A691" t="s">
        <v>5</v>
      </c>
      <c r="B691" t="s">
        <v>293</v>
      </c>
      <c r="C691" t="s">
        <v>356</v>
      </c>
      <c r="D691" t="s">
        <v>356</v>
      </c>
      <c r="E691">
        <v>0</v>
      </c>
    </row>
    <row r="692" spans="1:5" x14ac:dyDescent="0.25">
      <c r="A692" t="s">
        <v>5</v>
      </c>
      <c r="B692" t="s">
        <v>73</v>
      </c>
      <c r="C692" t="s">
        <v>106</v>
      </c>
      <c r="D692" t="s">
        <v>106</v>
      </c>
      <c r="E692">
        <v>0</v>
      </c>
    </row>
    <row r="693" spans="1:5" x14ac:dyDescent="0.25">
      <c r="A693" t="s">
        <v>5</v>
      </c>
      <c r="B693" t="s">
        <v>141</v>
      </c>
      <c r="C693" t="s">
        <v>424</v>
      </c>
      <c r="D693" t="s">
        <v>424</v>
      </c>
      <c r="E693">
        <v>0</v>
      </c>
    </row>
    <row r="694" spans="1:5" x14ac:dyDescent="0.25">
      <c r="A694" t="s">
        <v>5</v>
      </c>
      <c r="B694" t="s">
        <v>287</v>
      </c>
      <c r="C694" t="s">
        <v>445</v>
      </c>
      <c r="D694" t="s">
        <v>445</v>
      </c>
      <c r="E694">
        <v>0</v>
      </c>
    </row>
    <row r="695" spans="1:5" x14ac:dyDescent="0.25">
      <c r="A695" t="s">
        <v>5</v>
      </c>
      <c r="B695" t="s">
        <v>20</v>
      </c>
      <c r="C695" t="s">
        <v>393</v>
      </c>
      <c r="D695" t="s">
        <v>393</v>
      </c>
      <c r="E695">
        <v>0</v>
      </c>
    </row>
    <row r="696" spans="1:5" x14ac:dyDescent="0.25">
      <c r="A696" t="s">
        <v>5</v>
      </c>
      <c r="B696" t="s">
        <v>25</v>
      </c>
      <c r="C696" t="s">
        <v>392</v>
      </c>
      <c r="D696" t="s">
        <v>392</v>
      </c>
      <c r="E696">
        <v>0</v>
      </c>
    </row>
    <row r="697" spans="1:5" x14ac:dyDescent="0.25">
      <c r="A697" t="s">
        <v>5</v>
      </c>
      <c r="B697" t="s">
        <v>160</v>
      </c>
      <c r="C697" t="s">
        <v>159</v>
      </c>
      <c r="D697" t="s">
        <v>159</v>
      </c>
      <c r="E697">
        <v>0</v>
      </c>
    </row>
    <row r="698" spans="1:5" x14ac:dyDescent="0.25">
      <c r="A698" t="s">
        <v>5</v>
      </c>
      <c r="B698" t="s">
        <v>328</v>
      </c>
      <c r="C698" t="s">
        <v>327</v>
      </c>
      <c r="D698" t="s">
        <v>327</v>
      </c>
      <c r="E698">
        <v>0</v>
      </c>
    </row>
    <row r="699" spans="1:5" x14ac:dyDescent="0.25">
      <c r="A699" t="s">
        <v>5</v>
      </c>
      <c r="B699" t="s">
        <v>41</v>
      </c>
      <c r="C699" t="s">
        <v>42</v>
      </c>
      <c r="D699" t="s">
        <v>42</v>
      </c>
      <c r="E699">
        <v>0</v>
      </c>
    </row>
    <row r="700" spans="1:5" x14ac:dyDescent="0.25">
      <c r="A700" t="s">
        <v>5</v>
      </c>
      <c r="B700" t="s">
        <v>68</v>
      </c>
      <c r="C700" t="s">
        <v>124</v>
      </c>
      <c r="D700" t="s">
        <v>124</v>
      </c>
      <c r="E700">
        <v>0</v>
      </c>
    </row>
    <row r="701" spans="1:5" x14ac:dyDescent="0.25">
      <c r="A701" t="s">
        <v>5</v>
      </c>
      <c r="B701" t="s">
        <v>190</v>
      </c>
      <c r="C701" t="s">
        <v>427</v>
      </c>
      <c r="D701" t="s">
        <v>427</v>
      </c>
      <c r="E701">
        <v>0</v>
      </c>
    </row>
    <row r="702" spans="1:5" x14ac:dyDescent="0.25">
      <c r="A702" t="s">
        <v>5</v>
      </c>
      <c r="B702" t="s">
        <v>136</v>
      </c>
      <c r="C702" t="s">
        <v>381</v>
      </c>
      <c r="D702" t="s">
        <v>381</v>
      </c>
      <c r="E702">
        <v>0</v>
      </c>
    </row>
    <row r="703" spans="1:5" x14ac:dyDescent="0.25">
      <c r="A703" t="s">
        <v>5</v>
      </c>
      <c r="B703" t="s">
        <v>107</v>
      </c>
      <c r="C703" t="s">
        <v>106</v>
      </c>
      <c r="D703" t="s">
        <v>106</v>
      </c>
      <c r="E703">
        <v>0</v>
      </c>
    </row>
    <row r="704" spans="1:5" x14ac:dyDescent="0.25">
      <c r="A704" t="s">
        <v>27</v>
      </c>
      <c r="B704" t="s">
        <v>322</v>
      </c>
      <c r="C704" t="s">
        <v>323</v>
      </c>
      <c r="D704" t="s">
        <v>323</v>
      </c>
      <c r="E704">
        <v>0</v>
      </c>
    </row>
    <row r="705" spans="1:5" x14ac:dyDescent="0.25">
      <c r="A705" t="s">
        <v>27</v>
      </c>
      <c r="B705" t="s">
        <v>89</v>
      </c>
      <c r="C705" t="s">
        <v>242</v>
      </c>
      <c r="D705" t="s">
        <v>242</v>
      </c>
      <c r="E705">
        <v>0</v>
      </c>
    </row>
    <row r="706" spans="1:5" x14ac:dyDescent="0.25">
      <c r="A706" t="s">
        <v>27</v>
      </c>
      <c r="B706" t="s">
        <v>64</v>
      </c>
      <c r="C706" t="s">
        <v>368</v>
      </c>
      <c r="D706" t="s">
        <v>368</v>
      </c>
      <c r="E706">
        <v>0</v>
      </c>
    </row>
    <row r="707" spans="1:5" x14ac:dyDescent="0.25">
      <c r="A707" t="s">
        <v>27</v>
      </c>
      <c r="B707" t="s">
        <v>60</v>
      </c>
      <c r="C707" t="s">
        <v>201</v>
      </c>
      <c r="D707" t="s">
        <v>201</v>
      </c>
      <c r="E707">
        <v>0</v>
      </c>
    </row>
    <row r="708" spans="1:5" x14ac:dyDescent="0.25">
      <c r="A708" t="s">
        <v>27</v>
      </c>
      <c r="B708" t="s">
        <v>158</v>
      </c>
      <c r="C708" t="s">
        <v>289</v>
      </c>
      <c r="D708" t="s">
        <v>289</v>
      </c>
      <c r="E708">
        <v>0</v>
      </c>
    </row>
    <row r="709" spans="1:5" x14ac:dyDescent="0.25">
      <c r="A709" t="s">
        <v>27</v>
      </c>
      <c r="B709" t="s">
        <v>77</v>
      </c>
      <c r="C709" t="s">
        <v>443</v>
      </c>
      <c r="D709" t="s">
        <v>443</v>
      </c>
      <c r="E709">
        <v>0</v>
      </c>
    </row>
    <row r="710" spans="1:5" x14ac:dyDescent="0.25">
      <c r="A710" t="s">
        <v>27</v>
      </c>
      <c r="B710" t="s">
        <v>243</v>
      </c>
      <c r="C710" t="s">
        <v>242</v>
      </c>
      <c r="D710" t="s">
        <v>242</v>
      </c>
      <c r="E710">
        <v>0</v>
      </c>
    </row>
    <row r="711" spans="1:5" x14ac:dyDescent="0.25">
      <c r="A711" t="s">
        <v>27</v>
      </c>
      <c r="B711" t="s">
        <v>148</v>
      </c>
      <c r="C711" t="s">
        <v>398</v>
      </c>
      <c r="D711" t="s">
        <v>398</v>
      </c>
      <c r="E711">
        <v>0</v>
      </c>
    </row>
    <row r="712" spans="1:5" x14ac:dyDescent="0.25">
      <c r="A712" t="s">
        <v>27</v>
      </c>
      <c r="B712" t="s">
        <v>95</v>
      </c>
      <c r="C712" t="s">
        <v>147</v>
      </c>
      <c r="D712" t="s">
        <v>147</v>
      </c>
      <c r="E712">
        <v>0</v>
      </c>
    </row>
    <row r="713" spans="1:5" x14ac:dyDescent="0.25">
      <c r="A713" t="s">
        <v>27</v>
      </c>
      <c r="B713" t="s">
        <v>216</v>
      </c>
      <c r="C713" t="s">
        <v>415</v>
      </c>
      <c r="D713" t="s">
        <v>415</v>
      </c>
      <c r="E713">
        <v>0</v>
      </c>
    </row>
    <row r="714" spans="1:5" x14ac:dyDescent="0.25">
      <c r="A714" t="s">
        <v>27</v>
      </c>
      <c r="B714" t="s">
        <v>240</v>
      </c>
      <c r="C714" t="s">
        <v>445</v>
      </c>
      <c r="D714" t="s">
        <v>445</v>
      </c>
      <c r="E714">
        <v>0</v>
      </c>
    </row>
    <row r="715" spans="1:5" x14ac:dyDescent="0.25">
      <c r="A715" t="s">
        <v>27</v>
      </c>
      <c r="B715" t="s">
        <v>55</v>
      </c>
      <c r="C715" t="s">
        <v>54</v>
      </c>
      <c r="D715" t="s">
        <v>54</v>
      </c>
      <c r="E715">
        <v>0</v>
      </c>
    </row>
    <row r="716" spans="1:5" x14ac:dyDescent="0.25">
      <c r="A716" t="s">
        <v>27</v>
      </c>
      <c r="B716" t="s">
        <v>131</v>
      </c>
      <c r="C716" t="s">
        <v>269</v>
      </c>
      <c r="D716" t="s">
        <v>269</v>
      </c>
      <c r="E716">
        <v>0</v>
      </c>
    </row>
    <row r="717" spans="1:5" x14ac:dyDescent="0.25">
      <c r="A717" t="s">
        <v>27</v>
      </c>
      <c r="B717" t="s">
        <v>173</v>
      </c>
      <c r="C717" t="s">
        <v>409</v>
      </c>
      <c r="D717" t="s">
        <v>409</v>
      </c>
      <c r="E717">
        <v>0</v>
      </c>
    </row>
    <row r="718" spans="1:5" x14ac:dyDescent="0.25">
      <c r="A718" t="s">
        <v>27</v>
      </c>
      <c r="B718" t="s">
        <v>67</v>
      </c>
      <c r="C718" t="s">
        <v>241</v>
      </c>
      <c r="D718" t="s">
        <v>241</v>
      </c>
      <c r="E718">
        <v>0</v>
      </c>
    </row>
    <row r="719" spans="1:5" x14ac:dyDescent="0.25">
      <c r="A719" t="s">
        <v>27</v>
      </c>
      <c r="B719" t="s">
        <v>248</v>
      </c>
      <c r="C719" t="s">
        <v>448</v>
      </c>
      <c r="D719" t="s">
        <v>448</v>
      </c>
      <c r="E719">
        <v>0</v>
      </c>
    </row>
    <row r="720" spans="1:5" x14ac:dyDescent="0.25">
      <c r="A720" t="s">
        <v>27</v>
      </c>
      <c r="B720" t="s">
        <v>6</v>
      </c>
      <c r="C720" t="s">
        <v>399</v>
      </c>
      <c r="D720" t="s">
        <v>399</v>
      </c>
      <c r="E720">
        <v>0</v>
      </c>
    </row>
    <row r="721" spans="1:5" x14ac:dyDescent="0.25">
      <c r="A721" t="s">
        <v>27</v>
      </c>
      <c r="B721" t="s">
        <v>238</v>
      </c>
      <c r="C721" t="s">
        <v>362</v>
      </c>
      <c r="D721" t="s">
        <v>362</v>
      </c>
      <c r="E721">
        <v>0</v>
      </c>
    </row>
    <row r="722" spans="1:5" x14ac:dyDescent="0.25">
      <c r="A722" t="s">
        <v>27</v>
      </c>
      <c r="B722" t="s">
        <v>32</v>
      </c>
      <c r="C722" t="s">
        <v>288</v>
      </c>
      <c r="D722" t="s">
        <v>288</v>
      </c>
      <c r="E722">
        <v>0</v>
      </c>
    </row>
    <row r="723" spans="1:5" x14ac:dyDescent="0.25">
      <c r="A723" t="s">
        <v>27</v>
      </c>
      <c r="B723" t="s">
        <v>335</v>
      </c>
      <c r="C723" t="s">
        <v>362</v>
      </c>
      <c r="D723" t="s">
        <v>362</v>
      </c>
      <c r="E723">
        <v>0</v>
      </c>
    </row>
    <row r="724" spans="1:5" x14ac:dyDescent="0.25">
      <c r="A724" t="s">
        <v>27</v>
      </c>
      <c r="B724" t="s">
        <v>44</v>
      </c>
      <c r="C724" t="s">
        <v>260</v>
      </c>
      <c r="D724" t="s">
        <v>260</v>
      </c>
      <c r="E724">
        <v>0</v>
      </c>
    </row>
    <row r="725" spans="1:5" x14ac:dyDescent="0.25">
      <c r="A725" t="s">
        <v>27</v>
      </c>
      <c r="B725" t="s">
        <v>144</v>
      </c>
      <c r="C725" t="s">
        <v>339</v>
      </c>
      <c r="D725" t="s">
        <v>339</v>
      </c>
      <c r="E725">
        <v>0</v>
      </c>
    </row>
    <row r="726" spans="1:5" x14ac:dyDescent="0.25">
      <c r="A726" t="s">
        <v>27</v>
      </c>
      <c r="B726" t="s">
        <v>80</v>
      </c>
      <c r="C726" t="s">
        <v>78</v>
      </c>
      <c r="D726" t="s">
        <v>78</v>
      </c>
      <c r="E726">
        <v>0</v>
      </c>
    </row>
    <row r="727" spans="1:5" x14ac:dyDescent="0.25">
      <c r="A727" t="s">
        <v>27</v>
      </c>
      <c r="B727" t="s">
        <v>181</v>
      </c>
      <c r="C727" t="s">
        <v>254</v>
      </c>
      <c r="D727" t="s">
        <v>254</v>
      </c>
      <c r="E727">
        <v>0</v>
      </c>
    </row>
    <row r="728" spans="1:5" x14ac:dyDescent="0.25">
      <c r="A728" t="s">
        <v>27</v>
      </c>
      <c r="B728" t="s">
        <v>102</v>
      </c>
      <c r="C728" t="s">
        <v>409</v>
      </c>
      <c r="D728" t="s">
        <v>409</v>
      </c>
      <c r="E728">
        <v>0</v>
      </c>
    </row>
    <row r="729" spans="1:5" x14ac:dyDescent="0.25">
      <c r="A729" t="s">
        <v>27</v>
      </c>
      <c r="B729" t="s">
        <v>79</v>
      </c>
      <c r="C729" t="s">
        <v>155</v>
      </c>
      <c r="D729" t="s">
        <v>155</v>
      </c>
      <c r="E729">
        <v>0</v>
      </c>
    </row>
    <row r="730" spans="1:5" x14ac:dyDescent="0.25">
      <c r="A730" t="s">
        <v>27</v>
      </c>
      <c r="B730" t="s">
        <v>239</v>
      </c>
      <c r="C730" t="s">
        <v>259</v>
      </c>
      <c r="D730" t="s">
        <v>259</v>
      </c>
      <c r="E730">
        <v>0</v>
      </c>
    </row>
    <row r="731" spans="1:5" x14ac:dyDescent="0.25">
      <c r="A731" t="s">
        <v>27</v>
      </c>
      <c r="B731" t="s">
        <v>103</v>
      </c>
      <c r="C731" t="s">
        <v>104</v>
      </c>
      <c r="D731" t="s">
        <v>104</v>
      </c>
      <c r="E731">
        <v>0</v>
      </c>
    </row>
    <row r="732" spans="1:5" x14ac:dyDescent="0.25">
      <c r="A732" t="s">
        <v>27</v>
      </c>
      <c r="B732" t="s">
        <v>57</v>
      </c>
      <c r="C732" t="s">
        <v>58</v>
      </c>
      <c r="D732" t="s">
        <v>58</v>
      </c>
      <c r="E732">
        <v>0</v>
      </c>
    </row>
    <row r="733" spans="1:5" x14ac:dyDescent="0.25">
      <c r="A733" t="s">
        <v>27</v>
      </c>
      <c r="B733" t="s">
        <v>171</v>
      </c>
      <c r="C733" t="s">
        <v>405</v>
      </c>
      <c r="D733" t="s">
        <v>405</v>
      </c>
      <c r="E733">
        <v>0</v>
      </c>
    </row>
    <row r="734" spans="1:5" x14ac:dyDescent="0.25">
      <c r="A734" t="s">
        <v>27</v>
      </c>
      <c r="B734" t="s">
        <v>24</v>
      </c>
      <c r="C734" t="s">
        <v>254</v>
      </c>
      <c r="D734" t="s">
        <v>254</v>
      </c>
      <c r="E734">
        <v>0</v>
      </c>
    </row>
    <row r="735" spans="1:5" x14ac:dyDescent="0.25">
      <c r="A735" t="s">
        <v>27</v>
      </c>
      <c r="B735" t="s">
        <v>59</v>
      </c>
      <c r="C735" t="s">
        <v>58</v>
      </c>
      <c r="D735" t="s">
        <v>58</v>
      </c>
      <c r="E735">
        <v>0</v>
      </c>
    </row>
    <row r="736" spans="1:5" x14ac:dyDescent="0.25">
      <c r="A736" t="s">
        <v>27</v>
      </c>
      <c r="B736" t="s">
        <v>93</v>
      </c>
      <c r="C736" t="s">
        <v>374</v>
      </c>
      <c r="D736" t="s">
        <v>374</v>
      </c>
      <c r="E736">
        <v>0</v>
      </c>
    </row>
    <row r="737" spans="1:5" x14ac:dyDescent="0.25">
      <c r="A737" t="s">
        <v>27</v>
      </c>
      <c r="B737" t="s">
        <v>293</v>
      </c>
      <c r="C737" t="s">
        <v>333</v>
      </c>
      <c r="D737" t="s">
        <v>333</v>
      </c>
      <c r="E737">
        <v>0</v>
      </c>
    </row>
    <row r="738" spans="1:5" x14ac:dyDescent="0.25">
      <c r="A738" t="s">
        <v>27</v>
      </c>
      <c r="B738" t="s">
        <v>13</v>
      </c>
      <c r="C738" t="s">
        <v>424</v>
      </c>
      <c r="D738" t="s">
        <v>424</v>
      </c>
      <c r="E738">
        <v>0</v>
      </c>
    </row>
    <row r="739" spans="1:5" x14ac:dyDescent="0.25">
      <c r="A739" t="s">
        <v>27</v>
      </c>
      <c r="B739" t="s">
        <v>141</v>
      </c>
      <c r="C739" t="s">
        <v>137</v>
      </c>
      <c r="D739" t="s">
        <v>137</v>
      </c>
      <c r="E739">
        <v>0</v>
      </c>
    </row>
    <row r="740" spans="1:5" x14ac:dyDescent="0.25">
      <c r="A740" t="s">
        <v>27</v>
      </c>
      <c r="B740" t="s">
        <v>287</v>
      </c>
      <c r="C740" t="s">
        <v>443</v>
      </c>
      <c r="D740" t="s">
        <v>443</v>
      </c>
      <c r="E740">
        <v>0</v>
      </c>
    </row>
    <row r="741" spans="1:5" x14ac:dyDescent="0.25">
      <c r="A741" t="s">
        <v>27</v>
      </c>
      <c r="B741" t="s">
        <v>296</v>
      </c>
      <c r="C741" t="s">
        <v>431</v>
      </c>
      <c r="D741" t="s">
        <v>431</v>
      </c>
      <c r="E741">
        <v>0</v>
      </c>
    </row>
    <row r="742" spans="1:5" x14ac:dyDescent="0.25">
      <c r="A742" t="s">
        <v>27</v>
      </c>
      <c r="B742" t="s">
        <v>85</v>
      </c>
      <c r="C742" t="s">
        <v>83</v>
      </c>
      <c r="D742" t="s">
        <v>83</v>
      </c>
      <c r="E742">
        <v>0</v>
      </c>
    </row>
    <row r="743" spans="1:5" x14ac:dyDescent="0.25">
      <c r="A743" t="s">
        <v>27</v>
      </c>
      <c r="B743" t="s">
        <v>28</v>
      </c>
      <c r="C743" t="s">
        <v>26</v>
      </c>
      <c r="D743" t="s">
        <v>26</v>
      </c>
      <c r="E743">
        <v>0</v>
      </c>
    </row>
    <row r="744" spans="1:5" x14ac:dyDescent="0.25">
      <c r="A744" t="s">
        <v>27</v>
      </c>
      <c r="B744" t="s">
        <v>68</v>
      </c>
      <c r="C744" t="s">
        <v>279</v>
      </c>
      <c r="D744" t="s">
        <v>279</v>
      </c>
      <c r="E744">
        <v>0</v>
      </c>
    </row>
    <row r="745" spans="1:5" x14ac:dyDescent="0.25">
      <c r="A745" t="s">
        <v>27</v>
      </c>
      <c r="B745" t="s">
        <v>190</v>
      </c>
      <c r="C745" t="s">
        <v>286</v>
      </c>
      <c r="D745" t="s">
        <v>286</v>
      </c>
      <c r="E745">
        <v>0</v>
      </c>
    </row>
    <row r="746" spans="1:5" x14ac:dyDescent="0.25">
      <c r="A746" t="s">
        <v>27</v>
      </c>
      <c r="B746" t="s">
        <v>172</v>
      </c>
      <c r="C746" t="s">
        <v>332</v>
      </c>
      <c r="D746" t="s">
        <v>332</v>
      </c>
      <c r="E746">
        <v>0</v>
      </c>
    </row>
    <row r="747" spans="1:5" x14ac:dyDescent="0.25">
      <c r="A747" t="s">
        <v>27</v>
      </c>
      <c r="B747" t="s">
        <v>31</v>
      </c>
      <c r="C747" t="s">
        <v>347</v>
      </c>
      <c r="D747" t="s">
        <v>347</v>
      </c>
      <c r="E747">
        <v>0</v>
      </c>
    </row>
    <row r="748" spans="1:5" x14ac:dyDescent="0.25">
      <c r="A748" t="s">
        <v>52</v>
      </c>
      <c r="B748" t="s">
        <v>161</v>
      </c>
      <c r="C748" t="s">
        <v>303</v>
      </c>
      <c r="D748" t="s">
        <v>303</v>
      </c>
      <c r="E748">
        <v>0</v>
      </c>
    </row>
    <row r="749" spans="1:5" x14ac:dyDescent="0.25">
      <c r="A749" t="s">
        <v>52</v>
      </c>
      <c r="B749" t="s">
        <v>77</v>
      </c>
      <c r="C749" t="s">
        <v>78</v>
      </c>
      <c r="D749" t="s">
        <v>78</v>
      </c>
      <c r="E749">
        <v>0</v>
      </c>
    </row>
    <row r="750" spans="1:5" x14ac:dyDescent="0.25">
      <c r="A750" t="s">
        <v>52</v>
      </c>
      <c r="B750" t="s">
        <v>95</v>
      </c>
      <c r="C750" t="s">
        <v>110</v>
      </c>
      <c r="D750" t="s">
        <v>110</v>
      </c>
      <c r="E750">
        <v>0</v>
      </c>
    </row>
    <row r="751" spans="1:5" x14ac:dyDescent="0.25">
      <c r="A751" t="s">
        <v>52</v>
      </c>
      <c r="B751" t="s">
        <v>40</v>
      </c>
      <c r="C751" t="s">
        <v>373</v>
      </c>
      <c r="D751" t="s">
        <v>373</v>
      </c>
      <c r="E751">
        <v>0</v>
      </c>
    </row>
    <row r="752" spans="1:5" x14ac:dyDescent="0.25">
      <c r="A752" t="s">
        <v>52</v>
      </c>
      <c r="B752" t="s">
        <v>115</v>
      </c>
      <c r="C752" t="s">
        <v>315</v>
      </c>
      <c r="D752" t="s">
        <v>315</v>
      </c>
      <c r="E752">
        <v>0</v>
      </c>
    </row>
    <row r="753" spans="1:5" x14ac:dyDescent="0.25">
      <c r="A753" t="s">
        <v>52</v>
      </c>
      <c r="B753" t="s">
        <v>22</v>
      </c>
      <c r="C753" t="s">
        <v>236</v>
      </c>
      <c r="D753" t="s">
        <v>236</v>
      </c>
      <c r="E753">
        <v>0</v>
      </c>
    </row>
    <row r="754" spans="1:5" x14ac:dyDescent="0.25">
      <c r="A754" t="s">
        <v>52</v>
      </c>
      <c r="B754" t="s">
        <v>264</v>
      </c>
      <c r="C754" t="s">
        <v>385</v>
      </c>
      <c r="D754" t="s">
        <v>385</v>
      </c>
      <c r="E754">
        <v>0</v>
      </c>
    </row>
    <row r="755" spans="1:5" x14ac:dyDescent="0.25">
      <c r="A755" t="s">
        <v>52</v>
      </c>
      <c r="B755" t="s">
        <v>281</v>
      </c>
      <c r="C755" t="s">
        <v>414</v>
      </c>
      <c r="D755" t="s">
        <v>414</v>
      </c>
      <c r="E755">
        <v>0</v>
      </c>
    </row>
    <row r="756" spans="1:5" x14ac:dyDescent="0.25">
      <c r="A756" t="s">
        <v>52</v>
      </c>
      <c r="B756" t="s">
        <v>156</v>
      </c>
      <c r="C756" t="s">
        <v>257</v>
      </c>
      <c r="D756" t="s">
        <v>257</v>
      </c>
      <c r="E756">
        <v>0</v>
      </c>
    </row>
    <row r="757" spans="1:5" x14ac:dyDescent="0.25">
      <c r="A757" t="s">
        <v>52</v>
      </c>
      <c r="B757" t="s">
        <v>188</v>
      </c>
      <c r="C757" t="s">
        <v>261</v>
      </c>
      <c r="D757" t="s">
        <v>261</v>
      </c>
      <c r="E757">
        <v>0</v>
      </c>
    </row>
    <row r="758" spans="1:5" x14ac:dyDescent="0.25">
      <c r="A758" t="s">
        <v>52</v>
      </c>
      <c r="B758" t="s">
        <v>248</v>
      </c>
      <c r="C758" t="s">
        <v>373</v>
      </c>
      <c r="D758" t="s">
        <v>373</v>
      </c>
      <c r="E758">
        <v>0</v>
      </c>
    </row>
    <row r="759" spans="1:5" x14ac:dyDescent="0.25">
      <c r="A759" t="s">
        <v>52</v>
      </c>
      <c r="B759" t="s">
        <v>209</v>
      </c>
      <c r="C759" t="s">
        <v>314</v>
      </c>
      <c r="D759" t="s">
        <v>314</v>
      </c>
      <c r="E759">
        <v>0</v>
      </c>
    </row>
    <row r="760" spans="1:5" x14ac:dyDescent="0.25">
      <c r="A760" t="s">
        <v>52</v>
      </c>
      <c r="B760" t="s">
        <v>86</v>
      </c>
      <c r="C760" t="s">
        <v>339</v>
      </c>
      <c r="D760" t="s">
        <v>339</v>
      </c>
      <c r="E760">
        <v>0</v>
      </c>
    </row>
    <row r="761" spans="1:5" x14ac:dyDescent="0.25">
      <c r="A761" t="s">
        <v>52</v>
      </c>
      <c r="B761" t="s">
        <v>258</v>
      </c>
      <c r="C761" t="s">
        <v>299</v>
      </c>
      <c r="D761" t="s">
        <v>299</v>
      </c>
      <c r="E761">
        <v>0</v>
      </c>
    </row>
    <row r="762" spans="1:5" x14ac:dyDescent="0.25">
      <c r="A762" t="s">
        <v>52</v>
      </c>
      <c r="B762" t="s">
        <v>62</v>
      </c>
      <c r="C762" t="s">
        <v>58</v>
      </c>
      <c r="D762" t="s">
        <v>58</v>
      </c>
      <c r="E762">
        <v>0</v>
      </c>
    </row>
    <row r="763" spans="1:5" x14ac:dyDescent="0.25">
      <c r="A763" t="s">
        <v>52</v>
      </c>
      <c r="B763" t="s">
        <v>364</v>
      </c>
      <c r="C763" t="s">
        <v>394</v>
      </c>
      <c r="D763" t="s">
        <v>394</v>
      </c>
      <c r="E763">
        <v>0</v>
      </c>
    </row>
    <row r="764" spans="1:5" x14ac:dyDescent="0.25">
      <c r="A764" t="s">
        <v>52</v>
      </c>
      <c r="B764" t="s">
        <v>187</v>
      </c>
      <c r="C764" t="s">
        <v>332</v>
      </c>
      <c r="D764" t="s">
        <v>332</v>
      </c>
      <c r="E764">
        <v>0</v>
      </c>
    </row>
    <row r="765" spans="1:5" x14ac:dyDescent="0.25">
      <c r="A765" t="s">
        <v>52</v>
      </c>
      <c r="B765" t="s">
        <v>133</v>
      </c>
      <c r="C765" t="s">
        <v>154</v>
      </c>
      <c r="D765" t="s">
        <v>154</v>
      </c>
      <c r="E765">
        <v>0</v>
      </c>
    </row>
    <row r="766" spans="1:5" x14ac:dyDescent="0.25">
      <c r="A766" t="s">
        <v>52</v>
      </c>
      <c r="B766" t="s">
        <v>235</v>
      </c>
      <c r="C766" t="s">
        <v>398</v>
      </c>
      <c r="D766" t="s">
        <v>398</v>
      </c>
      <c r="E766">
        <v>0</v>
      </c>
    </row>
    <row r="767" spans="1:5" x14ac:dyDescent="0.25">
      <c r="A767" t="s">
        <v>52</v>
      </c>
      <c r="B767" t="s">
        <v>202</v>
      </c>
      <c r="C767" t="s">
        <v>279</v>
      </c>
      <c r="D767" t="s">
        <v>279</v>
      </c>
      <c r="E767">
        <v>0</v>
      </c>
    </row>
    <row r="768" spans="1:5" x14ac:dyDescent="0.25">
      <c r="A768" t="s">
        <v>52</v>
      </c>
      <c r="B768" t="s">
        <v>330</v>
      </c>
      <c r="C768" t="s">
        <v>329</v>
      </c>
      <c r="D768" t="s">
        <v>329</v>
      </c>
      <c r="E768">
        <v>0</v>
      </c>
    </row>
    <row r="769" spans="1:5" x14ac:dyDescent="0.25">
      <c r="A769" t="s">
        <v>52</v>
      </c>
      <c r="B769" t="s">
        <v>138</v>
      </c>
      <c r="C769" t="s">
        <v>236</v>
      </c>
      <c r="D769" t="s">
        <v>236</v>
      </c>
      <c r="E769">
        <v>0</v>
      </c>
    </row>
    <row r="770" spans="1:5" x14ac:dyDescent="0.25">
      <c r="A770" t="s">
        <v>52</v>
      </c>
      <c r="B770" t="s">
        <v>53</v>
      </c>
      <c r="C770" t="s">
        <v>54</v>
      </c>
      <c r="D770" t="s">
        <v>54</v>
      </c>
      <c r="E770">
        <v>0</v>
      </c>
    </row>
    <row r="771" spans="1:5" x14ac:dyDescent="0.25">
      <c r="A771" t="s">
        <v>52</v>
      </c>
      <c r="B771" t="s">
        <v>214</v>
      </c>
      <c r="C771" t="s">
        <v>215</v>
      </c>
      <c r="D771" t="s">
        <v>215</v>
      </c>
      <c r="E771">
        <v>0</v>
      </c>
    </row>
    <row r="772" spans="1:5" x14ac:dyDescent="0.25">
      <c r="A772" t="s">
        <v>52</v>
      </c>
      <c r="B772" t="s">
        <v>191</v>
      </c>
      <c r="C772" t="s">
        <v>259</v>
      </c>
      <c r="D772" t="s">
        <v>259</v>
      </c>
      <c r="E772">
        <v>0</v>
      </c>
    </row>
    <row r="773" spans="1:5" x14ac:dyDescent="0.25">
      <c r="A773" t="s">
        <v>52</v>
      </c>
      <c r="B773" t="s">
        <v>112</v>
      </c>
      <c r="C773" t="s">
        <v>406</v>
      </c>
      <c r="D773" t="s">
        <v>406</v>
      </c>
      <c r="E773">
        <v>0</v>
      </c>
    </row>
    <row r="774" spans="1:5" x14ac:dyDescent="0.25">
      <c r="A774" t="s">
        <v>52</v>
      </c>
      <c r="B774" t="s">
        <v>171</v>
      </c>
      <c r="C774" t="s">
        <v>196</v>
      </c>
      <c r="D774" t="s">
        <v>196</v>
      </c>
      <c r="E774">
        <v>0</v>
      </c>
    </row>
    <row r="775" spans="1:5" x14ac:dyDescent="0.25">
      <c r="A775" t="s">
        <v>52</v>
      </c>
      <c r="B775" t="s">
        <v>24</v>
      </c>
      <c r="C775" t="s">
        <v>159</v>
      </c>
      <c r="D775" t="s">
        <v>159</v>
      </c>
      <c r="E775">
        <v>0</v>
      </c>
    </row>
    <row r="776" spans="1:5" x14ac:dyDescent="0.25">
      <c r="A776" t="s">
        <v>52</v>
      </c>
      <c r="B776" t="s">
        <v>198</v>
      </c>
      <c r="C776" t="s">
        <v>336</v>
      </c>
      <c r="D776" t="s">
        <v>336</v>
      </c>
      <c r="E776">
        <v>0</v>
      </c>
    </row>
    <row r="777" spans="1:5" x14ac:dyDescent="0.25">
      <c r="A777" t="s">
        <v>52</v>
      </c>
      <c r="B777" t="s">
        <v>29</v>
      </c>
      <c r="C777" t="s">
        <v>94</v>
      </c>
      <c r="D777" t="s">
        <v>94</v>
      </c>
      <c r="E777">
        <v>0</v>
      </c>
    </row>
    <row r="778" spans="1:5" x14ac:dyDescent="0.25">
      <c r="A778" t="s">
        <v>52</v>
      </c>
      <c r="B778" t="s">
        <v>82</v>
      </c>
      <c r="C778" t="s">
        <v>324</v>
      </c>
      <c r="D778" t="s">
        <v>324</v>
      </c>
      <c r="E778">
        <v>0</v>
      </c>
    </row>
    <row r="779" spans="1:5" x14ac:dyDescent="0.25">
      <c r="A779" t="s">
        <v>52</v>
      </c>
      <c r="B779" t="s">
        <v>275</v>
      </c>
      <c r="C779" t="s">
        <v>397</v>
      </c>
      <c r="D779" t="s">
        <v>397</v>
      </c>
      <c r="E779">
        <v>0</v>
      </c>
    </row>
    <row r="780" spans="1:5" x14ac:dyDescent="0.25">
      <c r="A780" t="s">
        <v>52</v>
      </c>
      <c r="B780" t="s">
        <v>105</v>
      </c>
      <c r="C780" t="s">
        <v>416</v>
      </c>
      <c r="D780" t="s">
        <v>416</v>
      </c>
      <c r="E780">
        <v>0</v>
      </c>
    </row>
    <row r="781" spans="1:5" x14ac:dyDescent="0.25">
      <c r="A781" t="s">
        <v>52</v>
      </c>
      <c r="B781" t="s">
        <v>316</v>
      </c>
      <c r="C781" t="s">
        <v>446</v>
      </c>
      <c r="D781" t="s">
        <v>446</v>
      </c>
      <c r="E781">
        <v>0</v>
      </c>
    </row>
    <row r="782" spans="1:5" x14ac:dyDescent="0.25">
      <c r="A782" t="s">
        <v>52</v>
      </c>
      <c r="B782" t="s">
        <v>300</v>
      </c>
      <c r="C782" t="s">
        <v>301</v>
      </c>
      <c r="D782" t="s">
        <v>301</v>
      </c>
      <c r="E782">
        <v>0</v>
      </c>
    </row>
    <row r="783" spans="1:5" x14ac:dyDescent="0.25">
      <c r="A783" t="s">
        <v>52</v>
      </c>
      <c r="B783" t="s">
        <v>141</v>
      </c>
      <c r="C783" t="s">
        <v>394</v>
      </c>
      <c r="D783" t="s">
        <v>394</v>
      </c>
      <c r="E783">
        <v>0</v>
      </c>
    </row>
    <row r="784" spans="1:5" x14ac:dyDescent="0.25">
      <c r="A784" t="s">
        <v>52</v>
      </c>
      <c r="B784" t="s">
        <v>185</v>
      </c>
      <c r="C784" t="s">
        <v>183</v>
      </c>
      <c r="D784" t="s">
        <v>183</v>
      </c>
      <c r="E784">
        <v>0</v>
      </c>
    </row>
    <row r="785" spans="1:5" x14ac:dyDescent="0.25">
      <c r="A785" t="s">
        <v>52</v>
      </c>
      <c r="B785" t="s">
        <v>287</v>
      </c>
      <c r="C785" t="s">
        <v>295</v>
      </c>
      <c r="D785" t="s">
        <v>295</v>
      </c>
      <c r="E785">
        <v>0</v>
      </c>
    </row>
    <row r="786" spans="1:5" x14ac:dyDescent="0.25">
      <c r="A786" t="s">
        <v>52</v>
      </c>
      <c r="B786" t="s">
        <v>163</v>
      </c>
      <c r="C786" t="s">
        <v>288</v>
      </c>
      <c r="D786" t="s">
        <v>288</v>
      </c>
      <c r="E786">
        <v>0</v>
      </c>
    </row>
    <row r="787" spans="1:5" x14ac:dyDescent="0.25">
      <c r="A787" t="s">
        <v>52</v>
      </c>
      <c r="B787" t="s">
        <v>146</v>
      </c>
      <c r="C787" t="s">
        <v>303</v>
      </c>
      <c r="D787" t="s">
        <v>303</v>
      </c>
      <c r="E787">
        <v>0</v>
      </c>
    </row>
    <row r="788" spans="1:5" x14ac:dyDescent="0.25">
      <c r="A788" t="s">
        <v>52</v>
      </c>
      <c r="B788" t="s">
        <v>85</v>
      </c>
      <c r="C788" t="s">
        <v>374</v>
      </c>
      <c r="D788" t="s">
        <v>374</v>
      </c>
      <c r="E788">
        <v>0</v>
      </c>
    </row>
    <row r="789" spans="1:5" x14ac:dyDescent="0.25">
      <c r="A789" t="s">
        <v>52</v>
      </c>
      <c r="B789" t="s">
        <v>28</v>
      </c>
      <c r="C789" t="s">
        <v>324</v>
      </c>
      <c r="D789" t="s">
        <v>324</v>
      </c>
      <c r="E789">
        <v>0</v>
      </c>
    </row>
    <row r="790" spans="1:5" x14ac:dyDescent="0.25">
      <c r="A790" t="s">
        <v>52</v>
      </c>
      <c r="B790" t="s">
        <v>290</v>
      </c>
      <c r="C790" t="s">
        <v>289</v>
      </c>
      <c r="D790" t="s">
        <v>289</v>
      </c>
      <c r="E790">
        <v>0</v>
      </c>
    </row>
    <row r="791" spans="1:5" x14ac:dyDescent="0.25">
      <c r="A791" t="s">
        <v>52</v>
      </c>
      <c r="B791" t="s">
        <v>160</v>
      </c>
      <c r="C791" t="s">
        <v>254</v>
      </c>
      <c r="D791" t="s">
        <v>254</v>
      </c>
      <c r="E791">
        <v>0</v>
      </c>
    </row>
    <row r="792" spans="1:5" x14ac:dyDescent="0.25">
      <c r="A792" t="s">
        <v>52</v>
      </c>
      <c r="B792" t="s">
        <v>206</v>
      </c>
      <c r="C792" t="s">
        <v>371</v>
      </c>
      <c r="D792" t="s">
        <v>371</v>
      </c>
      <c r="E792">
        <v>0</v>
      </c>
    </row>
    <row r="793" spans="1:5" x14ac:dyDescent="0.25">
      <c r="A793" t="s">
        <v>52</v>
      </c>
      <c r="B793" t="s">
        <v>41</v>
      </c>
      <c r="C793" t="s">
        <v>189</v>
      </c>
      <c r="D793" t="s">
        <v>189</v>
      </c>
      <c r="E793">
        <v>0</v>
      </c>
    </row>
    <row r="794" spans="1:5" x14ac:dyDescent="0.25">
      <c r="A794" t="s">
        <v>52</v>
      </c>
      <c r="B794" t="s">
        <v>68</v>
      </c>
      <c r="C794" t="s">
        <v>382</v>
      </c>
      <c r="D794" t="s">
        <v>382</v>
      </c>
      <c r="E794">
        <v>0</v>
      </c>
    </row>
    <row r="795" spans="1:5" x14ac:dyDescent="0.25">
      <c r="A795" t="s">
        <v>52</v>
      </c>
      <c r="B795" t="s">
        <v>108</v>
      </c>
      <c r="C795" t="s">
        <v>303</v>
      </c>
      <c r="D795" t="s">
        <v>303</v>
      </c>
      <c r="E795">
        <v>0</v>
      </c>
    </row>
    <row r="796" spans="1:5" x14ac:dyDescent="0.25">
      <c r="A796" t="s">
        <v>52</v>
      </c>
      <c r="B796" t="s">
        <v>172</v>
      </c>
      <c r="C796" t="s">
        <v>289</v>
      </c>
      <c r="D796" t="s">
        <v>289</v>
      </c>
      <c r="E796">
        <v>0</v>
      </c>
    </row>
    <row r="797" spans="1:5" x14ac:dyDescent="0.25">
      <c r="A797" t="s">
        <v>52</v>
      </c>
      <c r="B797" t="s">
        <v>136</v>
      </c>
      <c r="C797" t="s">
        <v>368</v>
      </c>
      <c r="D797" t="s">
        <v>368</v>
      </c>
      <c r="E797">
        <v>0</v>
      </c>
    </row>
    <row r="798" spans="1:5" x14ac:dyDescent="0.25">
      <c r="A798" t="s">
        <v>52</v>
      </c>
      <c r="B798" t="s">
        <v>193</v>
      </c>
      <c r="C798" t="s">
        <v>406</v>
      </c>
      <c r="D798" t="s">
        <v>406</v>
      </c>
      <c r="E798">
        <v>0</v>
      </c>
    </row>
    <row r="799" spans="1:5" x14ac:dyDescent="0.25">
      <c r="A799" t="s">
        <v>52</v>
      </c>
      <c r="B799" t="s">
        <v>107</v>
      </c>
      <c r="C799" t="s">
        <v>416</v>
      </c>
      <c r="D799" t="s">
        <v>416</v>
      </c>
      <c r="E799">
        <v>0</v>
      </c>
    </row>
    <row r="800" spans="1:5" x14ac:dyDescent="0.25">
      <c r="A800" t="s">
        <v>52</v>
      </c>
      <c r="B800" t="s">
        <v>292</v>
      </c>
      <c r="C800" t="s">
        <v>434</v>
      </c>
      <c r="D800" t="s">
        <v>434</v>
      </c>
      <c r="E800">
        <v>0</v>
      </c>
    </row>
  </sheetData>
  <sortState xmlns:xlrd2="http://schemas.microsoft.com/office/spreadsheetml/2017/richdata2" ref="A2:E1001">
    <sortCondition descending="1" ref="E1:E10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32FC-EB7B-4224-8690-257683D35357}">
  <sheetPr filterMode="1"/>
  <dimension ref="A1:D196"/>
  <sheetViews>
    <sheetView workbookViewId="0">
      <selection activeCell="D201" sqref="D201"/>
    </sheetView>
  </sheetViews>
  <sheetFormatPr defaultRowHeight="15" x14ac:dyDescent="0.25"/>
  <cols>
    <col min="1" max="1" width="33" customWidth="1"/>
    <col min="4" max="4" width="12.140625" bestFit="1" customWidth="1"/>
  </cols>
  <sheetData>
    <row r="1" spans="1:4" x14ac:dyDescent="0.25">
      <c r="A1" s="1" t="s">
        <v>1</v>
      </c>
      <c r="B1" t="s">
        <v>512</v>
      </c>
      <c r="C1" t="s">
        <v>513</v>
      </c>
      <c r="D1" t="s">
        <v>514</v>
      </c>
    </row>
    <row r="2" spans="1:4" hidden="1" x14ac:dyDescent="0.25">
      <c r="A2" t="s">
        <v>322</v>
      </c>
      <c r="B2">
        <f>COUNTIF(Данные!B:B,'задача 2'!A182)</f>
        <v>7</v>
      </c>
      <c r="C2">
        <f>SUMIF(Данные!B:B,'задача 2'!A182,Данные!D:D)</f>
        <v>335743</v>
      </c>
      <c r="D2">
        <f>COUNTIF('задача 1'!E:E,'задача 2'!A195)</f>
        <v>2</v>
      </c>
    </row>
    <row r="3" spans="1:4" hidden="1" x14ac:dyDescent="0.25">
      <c r="A3" t="s">
        <v>317</v>
      </c>
      <c r="B3">
        <f>COUNTIF(Данные!B:B,'задача 2'!A180)</f>
        <v>3</v>
      </c>
      <c r="C3">
        <f>SUMIF(Данные!B:B,'задача 2'!A180,Данные!D:D)</f>
        <v>242035</v>
      </c>
      <c r="D3">
        <f>COUNTIF('задача 1'!E:E,'задача 2'!A171)</f>
        <v>6</v>
      </c>
    </row>
    <row r="4" spans="1:4" hidden="1" x14ac:dyDescent="0.25">
      <c r="A4" t="s">
        <v>438</v>
      </c>
      <c r="B4">
        <f>COUNTIF(Данные!B:B,'задача 2'!A195)</f>
        <v>3</v>
      </c>
      <c r="C4">
        <f>SUMIF(Данные!B:B,'задача 2'!A195,Данные!D:D)</f>
        <v>140055</v>
      </c>
      <c r="D4">
        <f>COUNTIF('задача 1'!E:E,'задача 2'!A181)</f>
        <v>5</v>
      </c>
    </row>
    <row r="5" spans="1:4" hidden="1" x14ac:dyDescent="0.25">
      <c r="A5" t="s">
        <v>92</v>
      </c>
      <c r="B5">
        <f>COUNTIF(Данные!B:B,'задача 2'!A60)</f>
        <v>9</v>
      </c>
      <c r="C5">
        <f>SUMIF(Данные!B:B,'задача 2'!A60,Данные!D:D)</f>
        <v>532398</v>
      </c>
      <c r="D5">
        <f>COUNTIF('задача 1'!E:E,'задача 2'!A175)</f>
        <v>5</v>
      </c>
    </row>
    <row r="6" spans="1:4" hidden="1" x14ac:dyDescent="0.25">
      <c r="A6" t="s">
        <v>168</v>
      </c>
      <c r="B6">
        <f>COUNTIF(Данные!B:B,'задача 2'!A111)</f>
        <v>6</v>
      </c>
      <c r="C6">
        <f>SUMIF(Данные!B:B,'задача 2'!A111,Данные!D:D)</f>
        <v>240041</v>
      </c>
      <c r="D6">
        <f>COUNTIF('задача 1'!E:E,'задача 2'!A166)</f>
        <v>5</v>
      </c>
    </row>
    <row r="7" spans="1:4" hidden="1" x14ac:dyDescent="0.25">
      <c r="A7" t="s">
        <v>89</v>
      </c>
      <c r="B7">
        <f>COUNTIF(Данные!B:B,'задача 2'!A57)</f>
        <v>8</v>
      </c>
      <c r="C7">
        <f>SUMIF(Данные!B:B,'задача 2'!A57,Данные!D:D)</f>
        <v>490244</v>
      </c>
      <c r="D7">
        <f>COUNTIF('задача 1'!E:E,'задача 2'!A97)</f>
        <v>8</v>
      </c>
    </row>
    <row r="8" spans="1:4" hidden="1" x14ac:dyDescent="0.25">
      <c r="A8" t="s">
        <v>64</v>
      </c>
      <c r="B8">
        <f>COUNTIF(Данные!B:B,'задача 2'!A38)</f>
        <v>4</v>
      </c>
      <c r="C8">
        <f>SUMIF(Данные!B:B,'задача 2'!A38,Данные!D:D)</f>
        <v>193905</v>
      </c>
      <c r="D8">
        <f>COUNTIF('задача 1'!E:E,'задача 2'!A29)</f>
        <v>4</v>
      </c>
    </row>
    <row r="9" spans="1:4" hidden="1" x14ac:dyDescent="0.25">
      <c r="A9" t="s">
        <v>195</v>
      </c>
      <c r="B9">
        <f>COUNTIF(Данные!B:B,'задача 2'!A126)</f>
        <v>7</v>
      </c>
      <c r="C9">
        <f>SUMIF(Данные!B:B,'задача 2'!A126,Данные!D:D)</f>
        <v>355858</v>
      </c>
      <c r="D9">
        <f>COUNTIF('задача 1'!E:E,'задача 2'!A3)</f>
        <v>2</v>
      </c>
    </row>
    <row r="10" spans="1:4" hidden="1" x14ac:dyDescent="0.25">
      <c r="A10" t="s">
        <v>126</v>
      </c>
      <c r="B10">
        <f>COUNTIF(Данные!B:B,'задача 2'!A84)</f>
        <v>3</v>
      </c>
      <c r="C10">
        <f>SUMIF(Данные!B:B,'задача 2'!A84,Данные!D:D)</f>
        <v>168818</v>
      </c>
      <c r="D10">
        <f>COUNTIF('задача 1'!E:E,'задача 2'!A108)</f>
        <v>3</v>
      </c>
    </row>
    <row r="11" spans="1:4" hidden="1" x14ac:dyDescent="0.25">
      <c r="A11" t="s">
        <v>184</v>
      </c>
      <c r="B11">
        <f>COUNTIF(Данные!B:B,'задача 2'!A119)</f>
        <v>3</v>
      </c>
      <c r="C11">
        <f>SUMIF(Данные!B:B,'задача 2'!A119,Данные!D:D)</f>
        <v>143648</v>
      </c>
      <c r="D11">
        <f>COUNTIF('задача 1'!E:E,'задача 2'!A46)</f>
        <v>5</v>
      </c>
    </row>
    <row r="12" spans="1:4" hidden="1" x14ac:dyDescent="0.25">
      <c r="A12" t="s">
        <v>60</v>
      </c>
      <c r="B12">
        <f>COUNTIF(Данные!B:B,'задача 2'!A34)</f>
        <v>5</v>
      </c>
      <c r="C12">
        <f>SUMIF(Данные!B:B,'задача 2'!A34,Данные!D:D)</f>
        <v>245053</v>
      </c>
      <c r="D12">
        <f>COUNTIF('задача 1'!E:E,'задача 2'!A30)</f>
        <v>4</v>
      </c>
    </row>
    <row r="13" spans="1:4" hidden="1" x14ac:dyDescent="0.25">
      <c r="A13" t="s">
        <v>180</v>
      </c>
      <c r="B13">
        <f>COUNTIF(Данные!B:B,'задача 2'!A117)</f>
        <v>6</v>
      </c>
      <c r="C13">
        <f>SUMIF(Данные!B:B,'задача 2'!A117,Данные!D:D)</f>
        <v>319447</v>
      </c>
      <c r="D13">
        <f>COUNTIF('задача 1'!E:E,'задача 2'!A84)</f>
        <v>3</v>
      </c>
    </row>
    <row r="14" spans="1:4" hidden="1" x14ac:dyDescent="0.25">
      <c r="A14" t="s">
        <v>158</v>
      </c>
      <c r="B14">
        <f>COUNTIF(Данные!B:B,'задача 2'!A105)</f>
        <v>6</v>
      </c>
      <c r="C14">
        <f>SUMIF(Данные!B:B,'задача 2'!A105,Данные!D:D)</f>
        <v>354666</v>
      </c>
      <c r="D14">
        <f>COUNTIF('задача 1'!E:E,'задача 2'!A78)</f>
        <v>3</v>
      </c>
    </row>
    <row r="15" spans="1:4" hidden="1" x14ac:dyDescent="0.25">
      <c r="A15" t="s">
        <v>161</v>
      </c>
      <c r="B15">
        <f>COUNTIF(Данные!B:B,'задача 2'!A107)</f>
        <v>4</v>
      </c>
      <c r="C15">
        <f>SUMIF(Данные!B:B,'задача 2'!A107,Данные!D:D)</f>
        <v>231247</v>
      </c>
      <c r="D15">
        <f>COUNTIF('задача 1'!E:E,'задача 2'!A107)</f>
        <v>3</v>
      </c>
    </row>
    <row r="16" spans="1:4" hidden="1" x14ac:dyDescent="0.25">
      <c r="A16" t="s">
        <v>77</v>
      </c>
      <c r="B16">
        <f>COUNTIF(Данные!B:B,'задача 2'!A48)</f>
        <v>1</v>
      </c>
      <c r="C16">
        <f>SUMIF(Данные!B:B,'задача 2'!A48,Данные!D:D)</f>
        <v>44778</v>
      </c>
      <c r="D16">
        <f>COUNTIF('задача 1'!E:E,'задача 2'!A92)</f>
        <v>3</v>
      </c>
    </row>
    <row r="17" spans="1:4" hidden="1" x14ac:dyDescent="0.25">
      <c r="A17" t="s">
        <v>243</v>
      </c>
      <c r="B17">
        <f>COUNTIF(Данные!B:B,'задача 2'!A150)</f>
        <v>3</v>
      </c>
      <c r="C17">
        <f>SUMIF(Данные!B:B,'задача 2'!A150,Данные!D:D)</f>
        <v>138663</v>
      </c>
      <c r="D17">
        <f>COUNTIF('задача 1'!E:E,'задача 2'!A88)</f>
        <v>4</v>
      </c>
    </row>
    <row r="18" spans="1:4" hidden="1" x14ac:dyDescent="0.25">
      <c r="A18" t="s">
        <v>148</v>
      </c>
      <c r="B18">
        <f>COUNTIF(Данные!B:B,'задача 2'!A98)</f>
        <v>3</v>
      </c>
      <c r="C18">
        <f>SUMIF(Данные!B:B,'задача 2'!A98,Данные!D:D)</f>
        <v>186899</v>
      </c>
      <c r="D18">
        <f>COUNTIF('задача 1'!E:E,'задача 2'!A94)</f>
        <v>7</v>
      </c>
    </row>
    <row r="19" spans="1:4" hidden="1" x14ac:dyDescent="0.25">
      <c r="A19" t="s">
        <v>95</v>
      </c>
      <c r="B19">
        <f>COUNTIF(Данные!B:B,'задача 2'!A62)</f>
        <v>10</v>
      </c>
      <c r="C19">
        <f>SUMIF(Данные!B:B,'задача 2'!A62,Данные!D:D)</f>
        <v>640224</v>
      </c>
      <c r="D19">
        <f>COUNTIF('задача 1'!E:E,'задача 2'!A111)</f>
        <v>6</v>
      </c>
    </row>
    <row r="20" spans="1:4" hidden="1" x14ac:dyDescent="0.25">
      <c r="A20" t="s">
        <v>47</v>
      </c>
      <c r="B20">
        <f>COUNTIF(Данные!B:B,'задача 2'!A27)</f>
        <v>4</v>
      </c>
      <c r="C20">
        <f>SUMIF(Данные!B:B,'задача 2'!A27,Данные!D:D)</f>
        <v>166867</v>
      </c>
      <c r="D20">
        <f>COUNTIF('задача 1'!E:E,'задача 2'!A10)</f>
        <v>2</v>
      </c>
    </row>
    <row r="21" spans="1:4" hidden="1" x14ac:dyDescent="0.25">
      <c r="A21" t="s">
        <v>216</v>
      </c>
      <c r="B21">
        <f>COUNTIF(Данные!B:B,'задача 2'!A137)</f>
        <v>9</v>
      </c>
      <c r="C21">
        <f>SUMIF(Данные!B:B,'задача 2'!A137,Данные!D:D)</f>
        <v>516701</v>
      </c>
      <c r="D21">
        <f>COUNTIF('задача 1'!E:E,'задача 2'!A135)</f>
        <v>4</v>
      </c>
    </row>
    <row r="22" spans="1:4" hidden="1" x14ac:dyDescent="0.25">
      <c r="A22" t="s">
        <v>304</v>
      </c>
      <c r="B22">
        <f>COUNTIF(Данные!B:B,'задача 2'!A176)</f>
        <v>1</v>
      </c>
      <c r="C22">
        <f>SUMIF(Данные!B:B,'задача 2'!A176,Данные!D:D)</f>
        <v>62932</v>
      </c>
      <c r="D22">
        <f>COUNTIF('задача 1'!E:E,'задача 2'!A139)</f>
        <v>3</v>
      </c>
    </row>
    <row r="23" spans="1:4" hidden="1" x14ac:dyDescent="0.25">
      <c r="A23" t="s">
        <v>116</v>
      </c>
      <c r="B23">
        <f>COUNTIF(Данные!B:B,'задача 2'!A77)</f>
        <v>2</v>
      </c>
      <c r="C23">
        <f>SUMIF(Данные!B:B,'задача 2'!A77,Данные!D:D)</f>
        <v>157880</v>
      </c>
      <c r="D23">
        <f>COUNTIF('задача 1'!E:E,'задача 2'!A18)</f>
        <v>6</v>
      </c>
    </row>
    <row r="24" spans="1:4" hidden="1" x14ac:dyDescent="0.25">
      <c r="A24" t="s">
        <v>37</v>
      </c>
      <c r="B24">
        <f>COUNTIF(Данные!B:B,'задача 2'!A19)</f>
        <v>7</v>
      </c>
      <c r="C24">
        <f>SUMIF(Данные!B:B,'задача 2'!A19,Данные!D:D)</f>
        <v>231064</v>
      </c>
      <c r="D24">
        <f>COUNTIF('задача 1'!E:E,'задача 2'!A50)</f>
        <v>5</v>
      </c>
    </row>
    <row r="25" spans="1:4" x14ac:dyDescent="0.25">
      <c r="A25" t="s">
        <v>111</v>
      </c>
      <c r="B25">
        <f>COUNTIF(Данные!B:B,'задача 2'!A73)</f>
        <v>7</v>
      </c>
      <c r="C25">
        <f>SUMIF(Данные!B:B,'задача 2'!A73,Данные!D:D)</f>
        <v>420965</v>
      </c>
      <c r="D25">
        <f>COUNTIF('задача 1'!E:E,'задача 2'!A100)</f>
        <v>1</v>
      </c>
    </row>
    <row r="26" spans="1:4" hidden="1" x14ac:dyDescent="0.25">
      <c r="A26" t="s">
        <v>84</v>
      </c>
      <c r="B26">
        <f>COUNTIF(Данные!B:B,'задача 2'!A53)</f>
        <v>1</v>
      </c>
      <c r="C26">
        <f>SUMIF(Данные!B:B,'задача 2'!A53,Данные!D:D)</f>
        <v>24731</v>
      </c>
      <c r="D26">
        <f>COUNTIF('задача 1'!E:E,'задача 2'!A44)</f>
        <v>3</v>
      </c>
    </row>
    <row r="27" spans="1:4" hidden="1" x14ac:dyDescent="0.25">
      <c r="A27" t="s">
        <v>240</v>
      </c>
      <c r="B27">
        <f>COUNTIF(Данные!B:B,'задача 2'!A149)</f>
        <v>7</v>
      </c>
      <c r="C27">
        <f>SUMIF(Данные!B:B,'задача 2'!A149,Данные!D:D)</f>
        <v>309026</v>
      </c>
      <c r="D27">
        <f>COUNTIF('задача 1'!E:E,'задача 2'!A150)</f>
        <v>3</v>
      </c>
    </row>
    <row r="28" spans="1:4" hidden="1" x14ac:dyDescent="0.25">
      <c r="A28" t="s">
        <v>75</v>
      </c>
      <c r="B28">
        <f>COUNTIF(Данные!B:B,'задача 2'!A47)</f>
        <v>2</v>
      </c>
      <c r="C28">
        <f>SUMIF(Данные!B:B,'задача 2'!A47,Данные!D:D)</f>
        <v>43227</v>
      </c>
      <c r="D28">
        <f>COUNTIF('задача 1'!E:E,'задача 2'!A12)</f>
        <v>8</v>
      </c>
    </row>
    <row r="29" spans="1:4" hidden="1" x14ac:dyDescent="0.25">
      <c r="A29" t="s">
        <v>55</v>
      </c>
      <c r="B29">
        <f>COUNTIF(Данные!B:B,'задача 2'!A30)</f>
        <v>5</v>
      </c>
      <c r="C29">
        <f>SUMIF(Данные!B:B,'задача 2'!A30,Данные!D:D)</f>
        <v>174802</v>
      </c>
      <c r="D29">
        <f>COUNTIF('задача 1'!E:E,'задача 2'!A113)</f>
        <v>4</v>
      </c>
    </row>
    <row r="30" spans="1:4" hidden="1" x14ac:dyDescent="0.25">
      <c r="A30" t="s">
        <v>40</v>
      </c>
      <c r="B30">
        <f>COUNTIF(Данные!B:B,'задача 2'!A22)</f>
        <v>4</v>
      </c>
      <c r="C30">
        <f>SUMIF(Данные!B:B,'задача 2'!A22,Данные!D:D)</f>
        <v>182307</v>
      </c>
      <c r="D30">
        <f>COUNTIF('задача 1'!E:E,'задача 2'!A146)</f>
        <v>4</v>
      </c>
    </row>
    <row r="31" spans="1:4" hidden="1" x14ac:dyDescent="0.25">
      <c r="A31" t="s">
        <v>115</v>
      </c>
      <c r="B31">
        <f>COUNTIF(Данные!B:B,'задача 2'!A76)</f>
        <v>6</v>
      </c>
      <c r="C31">
        <f>SUMIF(Данные!B:B,'задача 2'!A76,Данные!D:D)</f>
        <v>299260</v>
      </c>
      <c r="D31">
        <f>COUNTIF('задача 1'!E:E,'задача 2'!A51)</f>
        <v>3</v>
      </c>
    </row>
    <row r="32" spans="1:4" hidden="1" x14ac:dyDescent="0.25">
      <c r="A32" t="s">
        <v>417</v>
      </c>
      <c r="B32">
        <f>COUNTIF(Данные!B:B,'задача 2'!A192)</f>
        <v>5</v>
      </c>
      <c r="C32">
        <f>SUMIF(Данные!B:B,'задача 2'!A192,Данные!D:D)</f>
        <v>145387</v>
      </c>
      <c r="D32">
        <f>COUNTIF('задача 1'!E:E,'задача 2'!A192)</f>
        <v>3</v>
      </c>
    </row>
    <row r="33" spans="1:4" hidden="1" x14ac:dyDescent="0.25">
      <c r="A33" t="s">
        <v>22</v>
      </c>
      <c r="B33">
        <f>COUNTIF(Данные!B:B,'задача 2'!A10)</f>
        <v>4</v>
      </c>
      <c r="C33">
        <f>SUMIF(Данные!B:B,'задача 2'!A10,Данные!D:D)</f>
        <v>233442</v>
      </c>
      <c r="D33">
        <f>COUNTIF('задача 1'!E:E,'задача 2'!A81)</f>
        <v>3</v>
      </c>
    </row>
    <row r="34" spans="1:4" hidden="1" x14ac:dyDescent="0.25">
      <c r="A34" t="s">
        <v>39</v>
      </c>
      <c r="B34">
        <f>COUNTIF(Данные!B:B,'задача 2'!A21)</f>
        <v>5</v>
      </c>
      <c r="C34">
        <f>SUMIF(Данные!B:B,'задача 2'!A21,Данные!D:D)</f>
        <v>189879</v>
      </c>
      <c r="D34">
        <f>COUNTIF('задача 1'!E:E,'задача 2'!A96)</f>
        <v>4</v>
      </c>
    </row>
    <row r="35" spans="1:4" hidden="1" x14ac:dyDescent="0.25">
      <c r="A35" t="s">
        <v>130</v>
      </c>
      <c r="B35">
        <f>COUNTIF(Данные!B:B,'задача 2'!A87)</f>
        <v>2</v>
      </c>
      <c r="C35">
        <f>SUMIF(Данные!B:B,'задача 2'!A87,Данные!D:D)</f>
        <v>81982</v>
      </c>
      <c r="D35">
        <f>COUNTIF('задача 1'!E:E,'задача 2'!A105)</f>
        <v>4</v>
      </c>
    </row>
    <row r="36" spans="1:4" hidden="1" x14ac:dyDescent="0.25">
      <c r="A36" t="s">
        <v>19</v>
      </c>
      <c r="B36">
        <f>COUNTIF(Данные!B:B,'задача 2'!A8)</f>
        <v>8</v>
      </c>
      <c r="C36">
        <f>SUMIF(Данные!B:B,'задача 2'!A8,Данные!D:D)</f>
        <v>453343</v>
      </c>
      <c r="D36">
        <f>COUNTIF('задача 1'!E:E,'задача 2'!A180)</f>
        <v>3</v>
      </c>
    </row>
    <row r="37" spans="1:4" hidden="1" x14ac:dyDescent="0.25">
      <c r="A37" t="s">
        <v>229</v>
      </c>
      <c r="B37">
        <f>COUNTIF(Данные!B:B,'задача 2'!A142)</f>
        <v>6</v>
      </c>
      <c r="C37">
        <f>SUMIF(Данные!B:B,'задача 2'!A142,Данные!D:D)</f>
        <v>321273</v>
      </c>
      <c r="D37">
        <f>COUNTIF('задача 1'!E:E,'задача 2'!A62)</f>
        <v>7</v>
      </c>
    </row>
    <row r="38" spans="1:4" hidden="1" x14ac:dyDescent="0.25">
      <c r="A38" t="s">
        <v>170</v>
      </c>
      <c r="B38">
        <f>COUNTIF(Данные!B:B,'задача 2'!A112)</f>
        <v>9</v>
      </c>
      <c r="C38">
        <f>SUMIF(Данные!B:B,'задача 2'!A112,Данные!D:D)</f>
        <v>469234</v>
      </c>
      <c r="D38">
        <f>COUNTIF('задача 1'!E:E,'задача 2'!A132)</f>
        <v>6</v>
      </c>
    </row>
    <row r="39" spans="1:4" hidden="1" x14ac:dyDescent="0.25">
      <c r="A39" t="s">
        <v>227</v>
      </c>
      <c r="B39">
        <f>COUNTIF(Данные!B:B,'задача 2'!A140)</f>
        <v>5</v>
      </c>
      <c r="C39">
        <f>SUMIF(Данные!B:B,'задача 2'!A140,Данные!D:D)</f>
        <v>304586</v>
      </c>
      <c r="D39">
        <f>COUNTIF('задача 1'!E:E,'задача 2'!A125)</f>
        <v>3</v>
      </c>
    </row>
    <row r="40" spans="1:4" hidden="1" x14ac:dyDescent="0.25">
      <c r="A40" t="s">
        <v>264</v>
      </c>
      <c r="B40">
        <f>COUNTIF(Данные!B:B,'задача 2'!A157)</f>
        <v>1</v>
      </c>
      <c r="C40">
        <f>SUMIF(Данные!B:B,'задача 2'!A157,Данные!D:D)</f>
        <v>53169</v>
      </c>
      <c r="D40">
        <f>COUNTIF('задача 1'!E:E,'задача 2'!A36)</f>
        <v>2</v>
      </c>
    </row>
    <row r="41" spans="1:4" hidden="1" x14ac:dyDescent="0.25">
      <c r="A41" t="s">
        <v>281</v>
      </c>
      <c r="B41">
        <f>COUNTIF(Данные!B:B,'задача 2'!A166)</f>
        <v>5</v>
      </c>
      <c r="C41">
        <f>SUMIF(Данные!B:B,'задача 2'!A166,Данные!D:D)</f>
        <v>293108</v>
      </c>
      <c r="D41">
        <f>COUNTIF('задача 1'!E:E,'задача 2'!A5)</f>
        <v>2</v>
      </c>
    </row>
    <row r="42" spans="1:4" hidden="1" x14ac:dyDescent="0.25">
      <c r="A42" t="s">
        <v>131</v>
      </c>
      <c r="B42">
        <f>COUNTIF(Данные!B:B,'задача 2'!A88)</f>
        <v>4</v>
      </c>
      <c r="C42">
        <f>SUMIF(Данные!B:B,'задача 2'!A88,Данные!D:D)</f>
        <v>221120</v>
      </c>
      <c r="D42">
        <f>COUNTIF('задача 1'!E:E,'задача 2'!A7)</f>
        <v>4</v>
      </c>
    </row>
    <row r="43" spans="1:4" hidden="1" x14ac:dyDescent="0.25">
      <c r="A43" t="s">
        <v>74</v>
      </c>
      <c r="B43">
        <f>COUNTIF(Данные!B:B,'задача 2'!A46)</f>
        <v>7</v>
      </c>
      <c r="C43">
        <f>SUMIF(Данные!B:B,'задача 2'!A46,Данные!D:D)</f>
        <v>431322</v>
      </c>
      <c r="D43">
        <f>COUNTIF('задача 1'!E:E,'задача 2'!A75)</f>
        <v>3</v>
      </c>
    </row>
    <row r="44" spans="1:4" hidden="1" x14ac:dyDescent="0.25">
      <c r="A44" t="s">
        <v>149</v>
      </c>
      <c r="B44">
        <f>COUNTIF(Данные!B:B,'задача 2'!A99)</f>
        <v>3</v>
      </c>
      <c r="C44">
        <f>SUMIF(Данные!B:B,'задача 2'!A99,Данные!D:D)</f>
        <v>147928</v>
      </c>
      <c r="D44">
        <f>COUNTIF('задача 1'!E:E,'задача 2'!A123)</f>
        <v>5</v>
      </c>
    </row>
    <row r="45" spans="1:4" hidden="1" x14ac:dyDescent="0.25">
      <c r="A45" t="s">
        <v>113</v>
      </c>
      <c r="B45">
        <f>COUNTIF(Данные!B:B,'задача 2'!A75)</f>
        <v>3</v>
      </c>
      <c r="C45">
        <f>SUMIF(Данные!B:B,'задача 2'!A75,Данные!D:D)</f>
        <v>189999</v>
      </c>
      <c r="D45">
        <f>COUNTIF('задача 1'!E:E,'задача 2'!A91)</f>
        <v>7</v>
      </c>
    </row>
    <row r="46" spans="1:4" x14ac:dyDescent="0.25">
      <c r="A46" t="s">
        <v>63</v>
      </c>
      <c r="B46">
        <f>COUNTIF(Данные!B:B,'задача 2'!A37)</f>
        <v>5</v>
      </c>
      <c r="C46">
        <f>SUMIF(Данные!B:B,'задача 2'!A37,Данные!D:D)</f>
        <v>334870</v>
      </c>
      <c r="D46">
        <f>COUNTIF('задача 1'!E:E,'задача 2'!A32)</f>
        <v>1</v>
      </c>
    </row>
    <row r="47" spans="1:4" hidden="1" x14ac:dyDescent="0.25">
      <c r="A47" t="s">
        <v>35</v>
      </c>
      <c r="B47">
        <f>COUNTIF(Данные!B:B,'задача 2'!A18)</f>
        <v>6</v>
      </c>
      <c r="C47">
        <f>SUMIF(Данные!B:B,'задача 2'!A18,Данные!D:D)</f>
        <v>246202</v>
      </c>
      <c r="D47">
        <f>COUNTIF('задача 1'!E:E,'задача 2'!A190)</f>
        <v>7</v>
      </c>
    </row>
    <row r="48" spans="1:4" hidden="1" x14ac:dyDescent="0.25">
      <c r="A48" t="s">
        <v>273</v>
      </c>
      <c r="B48">
        <f>COUNTIF(Данные!B:B,'задача 2'!A162)</f>
        <v>4</v>
      </c>
      <c r="C48">
        <f>SUMIF(Данные!B:B,'задача 2'!A162,Данные!D:D)</f>
        <v>223374</v>
      </c>
      <c r="D48">
        <f>COUNTIF('задача 1'!E:E,'задача 2'!A189)</f>
        <v>5</v>
      </c>
    </row>
    <row r="49" spans="1:4" x14ac:dyDescent="0.25">
      <c r="A49" t="s">
        <v>350</v>
      </c>
      <c r="B49">
        <f>COUNTIF(Данные!B:B,'задача 2'!A188)</f>
        <v>2</v>
      </c>
      <c r="C49">
        <f>SUMIF(Данные!B:B,'задача 2'!A188,Данные!D:D)</f>
        <v>86575</v>
      </c>
      <c r="D49">
        <f>COUNTIF('задача 1'!E:E,'задача 2'!A155)</f>
        <v>1</v>
      </c>
    </row>
    <row r="50" spans="1:4" hidden="1" x14ac:dyDescent="0.25">
      <c r="A50" t="s">
        <v>156</v>
      </c>
      <c r="B50">
        <f>COUNTIF(Данные!B:B,'задача 2'!A103)</f>
        <v>3</v>
      </c>
      <c r="C50">
        <f>SUMIF(Данные!B:B,'задача 2'!A103,Данные!D:D)</f>
        <v>221872</v>
      </c>
      <c r="D50">
        <f>COUNTIF('задача 1'!E:E,'задача 2'!A83)</f>
        <v>3</v>
      </c>
    </row>
    <row r="51" spans="1:4" hidden="1" x14ac:dyDescent="0.25">
      <c r="A51" t="s">
        <v>122</v>
      </c>
      <c r="B51">
        <f>COUNTIF(Данные!B:B,'задача 2'!A81)</f>
        <v>3</v>
      </c>
      <c r="C51">
        <f>SUMIF(Данные!B:B,'задача 2'!A81,Данные!D:D)</f>
        <v>233280</v>
      </c>
      <c r="D51">
        <f>COUNTIF('задача 1'!E:E,'задача 2'!A121)</f>
        <v>4</v>
      </c>
    </row>
    <row r="52" spans="1:4" hidden="1" x14ac:dyDescent="0.25">
      <c r="A52" t="s">
        <v>173</v>
      </c>
      <c r="B52">
        <f>COUNTIF(Данные!B:B,'задача 2'!A115)</f>
        <v>5</v>
      </c>
      <c r="C52">
        <f>SUMIF(Данные!B:B,'задача 2'!A115,Данные!D:D)</f>
        <v>287776</v>
      </c>
      <c r="D52">
        <f>COUNTIF('задача 1'!E:E,'задача 2'!A49)</f>
        <v>2</v>
      </c>
    </row>
    <row r="53" spans="1:4" hidden="1" x14ac:dyDescent="0.25">
      <c r="A53" t="s">
        <v>166</v>
      </c>
      <c r="B53">
        <f>COUNTIF(Данные!B:B,'задача 2'!A110)</f>
        <v>4</v>
      </c>
      <c r="C53">
        <f>SUMIF(Данные!B:B,'задача 2'!A110,Данные!D:D)</f>
        <v>186038</v>
      </c>
      <c r="D53">
        <f>COUNTIF('задача 1'!E:E,'задача 2'!A193)</f>
        <v>9</v>
      </c>
    </row>
    <row r="54" spans="1:4" hidden="1" x14ac:dyDescent="0.25">
      <c r="A54" t="s">
        <v>67</v>
      </c>
      <c r="B54">
        <f>COUNTIF(Данные!B:B,'задача 2'!A40)</f>
        <v>7</v>
      </c>
      <c r="C54">
        <f>SUMIF(Данные!B:B,'задача 2'!A40,Данные!D:D)</f>
        <v>415730</v>
      </c>
      <c r="D54">
        <f>COUNTIF('задача 1'!E:E,'задача 2'!A99)</f>
        <v>3</v>
      </c>
    </row>
    <row r="55" spans="1:4" hidden="1" x14ac:dyDescent="0.25">
      <c r="A55" t="s">
        <v>228</v>
      </c>
      <c r="B55">
        <f>COUNTIF(Данные!B:B,'задача 2'!A141)</f>
        <v>7</v>
      </c>
      <c r="C55">
        <f>SUMIF(Данные!B:B,'задача 2'!A141,Данные!D:D)</f>
        <v>361690</v>
      </c>
      <c r="D55">
        <f>COUNTIF('задача 1'!E:E,'задача 2'!A153)</f>
        <v>6</v>
      </c>
    </row>
    <row r="56" spans="1:4" hidden="1" x14ac:dyDescent="0.25">
      <c r="A56" t="s">
        <v>188</v>
      </c>
      <c r="B56">
        <f>COUNTIF(Данные!B:B,'задача 2'!A122)</f>
        <v>3</v>
      </c>
      <c r="C56">
        <f>SUMIF(Данные!B:B,'задача 2'!A122,Данные!D:D)</f>
        <v>199385</v>
      </c>
      <c r="D56">
        <f>COUNTIF('задача 1'!E:E,'задача 2'!A129)</f>
        <v>3</v>
      </c>
    </row>
    <row r="57" spans="1:4" hidden="1" x14ac:dyDescent="0.25">
      <c r="A57" t="s">
        <v>248</v>
      </c>
      <c r="B57">
        <f>COUNTIF(Данные!B:B,'задача 2'!A152)</f>
        <v>5</v>
      </c>
      <c r="C57">
        <f>SUMIF(Данные!B:B,'задача 2'!A152,Данные!D:D)</f>
        <v>145927</v>
      </c>
      <c r="D57">
        <f>COUNTIF('задача 1'!E:E,'задача 2'!A23)</f>
        <v>8</v>
      </c>
    </row>
    <row r="58" spans="1:4" hidden="1" x14ac:dyDescent="0.25">
      <c r="A58" t="s">
        <v>320</v>
      </c>
      <c r="B58">
        <f>COUNTIF(Данные!B:B,'задача 2'!A181)</f>
        <v>7</v>
      </c>
      <c r="C58">
        <f>SUMIF(Данные!B:B,'задача 2'!A181,Данные!D:D)</f>
        <v>321140</v>
      </c>
      <c r="D58">
        <f>COUNTIF('задача 1'!E:E,'задача 2'!A120)</f>
        <v>5</v>
      </c>
    </row>
    <row r="59" spans="1:4" hidden="1" x14ac:dyDescent="0.25">
      <c r="A59" t="s">
        <v>209</v>
      </c>
      <c r="B59">
        <f>COUNTIF(Данные!B:B,'задача 2'!A134)</f>
        <v>1</v>
      </c>
      <c r="C59">
        <f>SUMIF(Данные!B:B,'задача 2'!A134,Данные!D:D)</f>
        <v>51752</v>
      </c>
      <c r="D59">
        <f>COUNTIF('задача 1'!E:E,'задача 2'!A95)</f>
        <v>2</v>
      </c>
    </row>
    <row r="60" spans="1:4" hidden="1" x14ac:dyDescent="0.25">
      <c r="A60" t="s">
        <v>71</v>
      </c>
      <c r="B60">
        <f>COUNTIF(Данные!B:B,'задача 2'!A44)</f>
        <v>3</v>
      </c>
      <c r="C60">
        <f>SUMIF(Данные!B:B,'задача 2'!A44,Данные!D:D)</f>
        <v>211983</v>
      </c>
      <c r="D60">
        <f>COUNTIF('задача 1'!E:E,'задача 2'!A15)</f>
        <v>3</v>
      </c>
    </row>
    <row r="61" spans="1:4" hidden="1" x14ac:dyDescent="0.25">
      <c r="A61" t="s">
        <v>120</v>
      </c>
      <c r="B61">
        <f>COUNTIF(Данные!B:B,'задача 2'!A79)</f>
        <v>4</v>
      </c>
      <c r="C61">
        <f>SUMIF(Данные!B:B,'задача 2'!A79,Данные!D:D)</f>
        <v>150969</v>
      </c>
      <c r="D61">
        <f>COUNTIF('задача 1'!E:E,'задача 2'!A185)</f>
        <v>7</v>
      </c>
    </row>
    <row r="62" spans="1:4" hidden="1" x14ac:dyDescent="0.25">
      <c r="A62" t="s">
        <v>86</v>
      </c>
      <c r="B62">
        <f>COUNTIF(Данные!B:B,'задача 2'!A55)</f>
        <v>4</v>
      </c>
      <c r="C62">
        <f>SUMIF(Данные!B:B,'задача 2'!A55,Данные!D:D)</f>
        <v>152862</v>
      </c>
      <c r="D62">
        <f>COUNTIF('задача 1'!E:E,'задача 2'!A8)</f>
        <v>7</v>
      </c>
    </row>
    <row r="63" spans="1:4" hidden="1" x14ac:dyDescent="0.25">
      <c r="A63" t="s">
        <v>325</v>
      </c>
      <c r="B63">
        <f>COUNTIF(Данные!B:B,'задача 2'!A183)</f>
        <v>3</v>
      </c>
      <c r="C63">
        <f>SUMIF(Данные!B:B,'задача 2'!A183,Данные!D:D)</f>
        <v>175211</v>
      </c>
      <c r="D63">
        <f>COUNTIF('задача 1'!E:E,'задача 2'!A169)</f>
        <v>3</v>
      </c>
    </row>
    <row r="64" spans="1:4" hidden="1" x14ac:dyDescent="0.25">
      <c r="A64" t="s">
        <v>258</v>
      </c>
      <c r="B64">
        <f>COUNTIF(Данные!B:B,'задача 2'!A156)</f>
        <v>5</v>
      </c>
      <c r="C64">
        <f>SUMIF(Данные!B:B,'задача 2'!A156,Данные!D:D)</f>
        <v>325798</v>
      </c>
      <c r="D64">
        <f>COUNTIF('задача 1'!E:E,'задача 2'!A90)</f>
        <v>2</v>
      </c>
    </row>
    <row r="65" spans="1:4" hidden="1" x14ac:dyDescent="0.25">
      <c r="A65" t="s">
        <v>237</v>
      </c>
      <c r="B65">
        <f>COUNTIF(Данные!B:B,'задача 2'!A146)</f>
        <v>4</v>
      </c>
      <c r="C65">
        <f>SUMIF(Данные!B:B,'задача 2'!A146,Данные!D:D)</f>
        <v>280562</v>
      </c>
      <c r="D65">
        <f>COUNTIF('задача 1'!E:E,'задача 2'!A143)</f>
        <v>6</v>
      </c>
    </row>
    <row r="66" spans="1:4" hidden="1" x14ac:dyDescent="0.25">
      <c r="A66" t="s">
        <v>6</v>
      </c>
      <c r="B66">
        <f>COUNTIF(Данные!B:B,'задача 2'!A2)</f>
        <v>1</v>
      </c>
      <c r="C66">
        <f>SUMIF(Данные!B:B,'задача 2'!A2,Данные!D:D)</f>
        <v>16552</v>
      </c>
      <c r="D66">
        <f>COUNTIF('задача 1'!E:E,'задача 2'!A31)</f>
        <v>6</v>
      </c>
    </row>
    <row r="67" spans="1:4" hidden="1" x14ac:dyDescent="0.25">
      <c r="A67" t="s">
        <v>62</v>
      </c>
      <c r="B67">
        <f>COUNTIF(Данные!B:B,'задача 2'!A36)</f>
        <v>2</v>
      </c>
      <c r="C67">
        <f>SUMIF(Данные!B:B,'задача 2'!A36,Данные!D:D)</f>
        <v>77401</v>
      </c>
      <c r="D67">
        <f>COUNTIF('задача 1'!E:E,'задача 2'!A122)</f>
        <v>2</v>
      </c>
    </row>
    <row r="68" spans="1:4" hidden="1" x14ac:dyDescent="0.25">
      <c r="A68" t="s">
        <v>99</v>
      </c>
      <c r="B68">
        <f>COUNTIF(Данные!B:B,'задача 2'!A65)</f>
        <v>3</v>
      </c>
      <c r="C68">
        <f>SUMIF(Данные!B:B,'задача 2'!A65,Данные!D:D)</f>
        <v>176970</v>
      </c>
      <c r="D68">
        <f>COUNTIF('задача 1'!E:E,'задача 2'!A196)</f>
        <v>3</v>
      </c>
    </row>
    <row r="69" spans="1:4" x14ac:dyDescent="0.25">
      <c r="A69" t="s">
        <v>278</v>
      </c>
      <c r="B69">
        <f>COUNTIF(Данные!B:B,'задача 2'!A164)</f>
        <v>3</v>
      </c>
      <c r="C69">
        <f>SUMIF(Данные!B:B,'задача 2'!A164,Данные!D:D)</f>
        <v>236450</v>
      </c>
      <c r="D69">
        <f>COUNTIF('задача 1'!E:E,'задача 2'!A157)</f>
        <v>1</v>
      </c>
    </row>
    <row r="70" spans="1:4" hidden="1" x14ac:dyDescent="0.25">
      <c r="A70" t="s">
        <v>302</v>
      </c>
      <c r="B70">
        <f>COUNTIF(Данные!B:B,'задача 2'!A175)</f>
        <v>5</v>
      </c>
      <c r="C70">
        <f>SUMIF(Данные!B:B,'задача 2'!A175,Данные!D:D)</f>
        <v>179065</v>
      </c>
      <c r="D70">
        <f>COUNTIF('задача 1'!E:E,'задача 2'!A136)</f>
        <v>2</v>
      </c>
    </row>
    <row r="71" spans="1:4" hidden="1" x14ac:dyDescent="0.25">
      <c r="A71" t="s">
        <v>364</v>
      </c>
      <c r="B71">
        <f>COUNTIF(Данные!B:B,'задача 2'!A190)</f>
        <v>8</v>
      </c>
      <c r="C71">
        <f>SUMIF(Данные!B:B,'задача 2'!A190,Данные!D:D)</f>
        <v>533311</v>
      </c>
      <c r="D71">
        <f>COUNTIF('задача 1'!E:E,'задача 2'!A126)</f>
        <v>6</v>
      </c>
    </row>
    <row r="72" spans="1:4" x14ac:dyDescent="0.25">
      <c r="A72" t="s">
        <v>238</v>
      </c>
      <c r="B72">
        <f>COUNTIF(Данные!B:B,'задача 2'!A147)</f>
        <v>7</v>
      </c>
      <c r="C72">
        <f>SUMIF(Данные!B:B,'задача 2'!A147,Данные!D:D)</f>
        <v>464070</v>
      </c>
      <c r="D72">
        <f>COUNTIF('задача 1'!E:E,'задача 2'!A48)</f>
        <v>1</v>
      </c>
    </row>
    <row r="73" spans="1:4" hidden="1" x14ac:dyDescent="0.25">
      <c r="A73" t="s">
        <v>38</v>
      </c>
      <c r="B73">
        <f>COUNTIF(Данные!B:B,'задача 2'!A20)</f>
        <v>11</v>
      </c>
      <c r="C73">
        <f>SUMIF(Данные!B:B,'задача 2'!A20,Данные!D:D)</f>
        <v>623859</v>
      </c>
      <c r="D73">
        <f>COUNTIF('задача 1'!E:E,'задача 2'!A35)</f>
        <v>4</v>
      </c>
    </row>
    <row r="74" spans="1:4" hidden="1" x14ac:dyDescent="0.25">
      <c r="A74" t="s">
        <v>187</v>
      </c>
      <c r="B74">
        <f>COUNTIF(Данные!B:B,'задача 2'!A121)</f>
        <v>4</v>
      </c>
      <c r="C74">
        <f>SUMIF(Данные!B:B,'задача 2'!A121,Данные!D:D)</f>
        <v>241382</v>
      </c>
      <c r="D74">
        <f>COUNTIF('задача 1'!E:E,'задача 2'!A142)</f>
        <v>4</v>
      </c>
    </row>
    <row r="75" spans="1:4" x14ac:dyDescent="0.25">
      <c r="A75" t="s">
        <v>90</v>
      </c>
      <c r="B75">
        <f>COUNTIF(Данные!B:B,'задача 2'!A58)</f>
        <v>3</v>
      </c>
      <c r="C75">
        <f>SUMIF(Данные!B:B,'задача 2'!A58,Данные!D:D)</f>
        <v>217177</v>
      </c>
      <c r="D75">
        <f>COUNTIF('задача 1'!E:E,'задача 2'!A134)</f>
        <v>1</v>
      </c>
    </row>
    <row r="76" spans="1:4" hidden="1" x14ac:dyDescent="0.25">
      <c r="A76" t="s">
        <v>32</v>
      </c>
      <c r="B76">
        <f>COUNTIF(Данные!B:B,'задача 2'!A16)</f>
        <v>5</v>
      </c>
      <c r="C76">
        <f>SUMIF(Данные!B:B,'задача 2'!A16,Данные!D:D)</f>
        <v>250305</v>
      </c>
      <c r="D76">
        <f>COUNTIF('задача 1'!E:E,'задача 2'!A73)</f>
        <v>5</v>
      </c>
    </row>
    <row r="77" spans="1:4" hidden="1" x14ac:dyDescent="0.25">
      <c r="A77" t="s">
        <v>231</v>
      </c>
      <c r="B77">
        <f>COUNTIF(Данные!B:B,'задача 2'!A143)</f>
        <v>6</v>
      </c>
      <c r="C77">
        <f>SUMIF(Данные!B:B,'задача 2'!A143,Данные!D:D)</f>
        <v>282891</v>
      </c>
      <c r="D77">
        <f>COUNTIF('задача 1'!E:E,'задача 2'!A151)</f>
        <v>5</v>
      </c>
    </row>
    <row r="78" spans="1:4" hidden="1" x14ac:dyDescent="0.25">
      <c r="A78" t="s">
        <v>91</v>
      </c>
      <c r="B78">
        <f>COUNTIF(Данные!B:B,'задача 2'!A59)</f>
        <v>4</v>
      </c>
      <c r="C78">
        <f>SUMIF(Данные!B:B,'задача 2'!A59,Данные!D:D)</f>
        <v>246046</v>
      </c>
      <c r="D78">
        <f>COUNTIF('задача 1'!E:E,'задача 2'!A152)</f>
        <v>4</v>
      </c>
    </row>
    <row r="79" spans="1:4" hidden="1" x14ac:dyDescent="0.25">
      <c r="A79" t="s">
        <v>335</v>
      </c>
      <c r="B79">
        <f>COUNTIF(Данные!B:B,'задача 2'!A186)</f>
        <v>5</v>
      </c>
      <c r="C79">
        <f>SUMIF(Данные!B:B,'задача 2'!A186,Данные!D:D)</f>
        <v>248061</v>
      </c>
      <c r="D79">
        <f>COUNTIF('задача 1'!E:E,'задача 2'!A156)</f>
        <v>4</v>
      </c>
    </row>
    <row r="80" spans="1:4" hidden="1" x14ac:dyDescent="0.25">
      <c r="A80" t="s">
        <v>150</v>
      </c>
      <c r="B80">
        <f>COUNTIF(Данные!B:B,'задача 2'!A100)</f>
        <v>1</v>
      </c>
      <c r="C80">
        <f>SUMIF(Данные!B:B,'задача 2'!A100,Данные!D:D)</f>
        <v>50637</v>
      </c>
      <c r="D80">
        <f>COUNTIF('задача 1'!E:E,'задача 2'!A85)</f>
        <v>4</v>
      </c>
    </row>
    <row r="81" spans="1:4" hidden="1" x14ac:dyDescent="0.25">
      <c r="A81" t="s">
        <v>69</v>
      </c>
      <c r="B81">
        <f>COUNTIF(Данные!B:B,'задача 2'!A42)</f>
        <v>11</v>
      </c>
      <c r="C81">
        <f>SUMIF(Данные!B:B,'задача 2'!A42,Данные!D:D)</f>
        <v>678929</v>
      </c>
      <c r="D81">
        <f>COUNTIF('задача 1'!E:E,'задача 2'!A109)</f>
        <v>6</v>
      </c>
    </row>
    <row r="82" spans="1:4" hidden="1" x14ac:dyDescent="0.25">
      <c r="A82" t="s">
        <v>125</v>
      </c>
      <c r="B82">
        <f>COUNTIF(Данные!B:B,'задача 2'!A83)</f>
        <v>4</v>
      </c>
      <c r="C82">
        <f>SUMIF(Данные!B:B,'задача 2'!A83,Данные!D:D)</f>
        <v>285644</v>
      </c>
      <c r="D82">
        <f>COUNTIF('задача 1'!E:E,'задача 2'!A66)</f>
        <v>6</v>
      </c>
    </row>
    <row r="83" spans="1:4" hidden="1" x14ac:dyDescent="0.25">
      <c r="A83" t="s">
        <v>44</v>
      </c>
      <c r="B83">
        <f>COUNTIF(Данные!B:B,'задача 2'!A25)</f>
        <v>4</v>
      </c>
      <c r="C83">
        <f>SUMIF(Данные!B:B,'задача 2'!A25,Данные!D:D)</f>
        <v>241864</v>
      </c>
      <c r="D83">
        <f>COUNTIF('задача 1'!E:E,'задача 2'!A77)</f>
        <v>2</v>
      </c>
    </row>
    <row r="84" spans="1:4" hidden="1" x14ac:dyDescent="0.25">
      <c r="A84" t="s">
        <v>133</v>
      </c>
      <c r="B84">
        <f>COUNTIF(Данные!B:B,'задача 2'!A89)</f>
        <v>2</v>
      </c>
      <c r="C84">
        <f>SUMIF(Данные!B:B,'задача 2'!A89,Данные!D:D)</f>
        <v>126095</v>
      </c>
      <c r="D84">
        <f>COUNTIF('задача 1'!E:E,'задача 2'!A149)</f>
        <v>6</v>
      </c>
    </row>
    <row r="85" spans="1:4" hidden="1" x14ac:dyDescent="0.25">
      <c r="A85" t="s">
        <v>144</v>
      </c>
      <c r="B85">
        <f>COUNTIF(Данные!B:B,'задача 2'!A96)</f>
        <v>4</v>
      </c>
      <c r="C85">
        <f>SUMIF(Данные!B:B,'задача 2'!A96,Данные!D:D)</f>
        <v>122942</v>
      </c>
      <c r="D85">
        <f>COUNTIF('задача 1'!E:E,'задача 2'!A133)</f>
        <v>4</v>
      </c>
    </row>
    <row r="86" spans="1:4" hidden="1" x14ac:dyDescent="0.25">
      <c r="A86" t="s">
        <v>56</v>
      </c>
      <c r="B86">
        <f>COUNTIF(Данные!B:B,'задача 2'!A31)</f>
        <v>8</v>
      </c>
      <c r="C86">
        <f>SUMIF(Данные!B:B,'задача 2'!A31,Данные!D:D)</f>
        <v>370286</v>
      </c>
      <c r="D86">
        <f>COUNTIF('задача 1'!E:E,'задача 2'!A60)</f>
        <v>7</v>
      </c>
    </row>
    <row r="87" spans="1:4" x14ac:dyDescent="0.25">
      <c r="A87" t="s">
        <v>200</v>
      </c>
      <c r="B87">
        <f>COUNTIF(Данные!B:B,'задача 2'!A129)</f>
        <v>3</v>
      </c>
      <c r="C87">
        <f>SUMIF(Данные!B:B,'задача 2'!A129,Данные!D:D)</f>
        <v>175986</v>
      </c>
      <c r="D87">
        <f>COUNTIF('задача 1'!E:E,'задача 2'!A177)</f>
        <v>1</v>
      </c>
    </row>
    <row r="88" spans="1:4" hidden="1" x14ac:dyDescent="0.25">
      <c r="A88" t="s">
        <v>140</v>
      </c>
      <c r="B88">
        <f>COUNTIF(Данные!B:B,'задача 2'!A94)</f>
        <v>14</v>
      </c>
      <c r="C88">
        <f>SUMIF(Данные!B:B,'задача 2'!A94,Данные!D:D)</f>
        <v>801003</v>
      </c>
      <c r="D88">
        <f>COUNTIF('задача 1'!E:E,'задача 2'!A117)</f>
        <v>5</v>
      </c>
    </row>
    <row r="89" spans="1:4" hidden="1" x14ac:dyDescent="0.25">
      <c r="A89" t="s">
        <v>51</v>
      </c>
      <c r="B89">
        <f>COUNTIF(Данные!B:B,'задача 2'!A28)</f>
        <v>10</v>
      </c>
      <c r="C89">
        <f>SUMIF(Данные!B:B,'задача 2'!A28,Данные!D:D)</f>
        <v>578631</v>
      </c>
      <c r="D89">
        <f>COUNTIF('задача 1'!E:E,'задача 2'!A167)</f>
        <v>3</v>
      </c>
    </row>
    <row r="90" spans="1:4" x14ac:dyDescent="0.25">
      <c r="A90" t="s">
        <v>80</v>
      </c>
      <c r="B90">
        <f>COUNTIF(Данные!B:B,'задача 2'!A50)</f>
        <v>5</v>
      </c>
      <c r="C90">
        <f>SUMIF(Данные!B:B,'задача 2'!A50,Данные!D:D)</f>
        <v>277071</v>
      </c>
      <c r="D90">
        <f>COUNTIF('задача 1'!E:E,'задача 2'!A178)</f>
        <v>1</v>
      </c>
    </row>
    <row r="91" spans="1:4" hidden="1" x14ac:dyDescent="0.25">
      <c r="A91" t="s">
        <v>129</v>
      </c>
      <c r="B91">
        <f>COUNTIF(Данные!B:B,'задача 2'!A86)</f>
        <v>5</v>
      </c>
      <c r="C91">
        <f>SUMIF(Данные!B:B,'задача 2'!A86,Данные!D:D)</f>
        <v>343943</v>
      </c>
      <c r="D91">
        <f>COUNTIF('задача 1'!E:E,'задача 2'!A24)</f>
        <v>5</v>
      </c>
    </row>
    <row r="92" spans="1:4" hidden="1" x14ac:dyDescent="0.25">
      <c r="A92" t="s">
        <v>127</v>
      </c>
      <c r="B92">
        <f>COUNTIF(Данные!B:B,'задача 2'!A85)</f>
        <v>4</v>
      </c>
      <c r="C92">
        <f>SUMIF(Данные!B:B,'задача 2'!A85,Данные!D:D)</f>
        <v>191975</v>
      </c>
      <c r="D92">
        <f>COUNTIF('задача 1'!E:E,'задача 2'!A182)</f>
        <v>4</v>
      </c>
    </row>
    <row r="93" spans="1:4" hidden="1" x14ac:dyDescent="0.25">
      <c r="A93" t="s">
        <v>175</v>
      </c>
      <c r="B93">
        <f>COUNTIF(Данные!B:B,'задача 2'!A116)</f>
        <v>6</v>
      </c>
      <c r="C93">
        <f>SUMIF(Данные!B:B,'задача 2'!A116,Данные!D:D)</f>
        <v>375002</v>
      </c>
      <c r="D93">
        <f>COUNTIF('задача 1'!E:E,'задача 2'!A89)</f>
        <v>2</v>
      </c>
    </row>
    <row r="94" spans="1:4" x14ac:dyDescent="0.25">
      <c r="A94" t="s">
        <v>235</v>
      </c>
      <c r="B94">
        <f>COUNTIF(Данные!B:B,'задача 2'!A145)</f>
        <v>3</v>
      </c>
      <c r="C94">
        <f>SUMIF(Данные!B:B,'задача 2'!A145,Данные!D:D)</f>
        <v>136918</v>
      </c>
      <c r="D94">
        <f>COUNTIF('задача 1'!E:E,'задача 2'!A4)</f>
        <v>1</v>
      </c>
    </row>
    <row r="95" spans="1:4" hidden="1" x14ac:dyDescent="0.25">
      <c r="A95" t="s">
        <v>139</v>
      </c>
      <c r="B95">
        <f>COUNTIF(Данные!B:B,'задача 2'!A93)</f>
        <v>5</v>
      </c>
      <c r="C95">
        <f>SUMIF(Данные!B:B,'задача 2'!A93,Данные!D:D)</f>
        <v>260502</v>
      </c>
      <c r="D95">
        <f>COUNTIF('задача 1'!E:E,'задача 2'!A65)</f>
        <v>2</v>
      </c>
    </row>
    <row r="96" spans="1:4" hidden="1" x14ac:dyDescent="0.25">
      <c r="A96" t="s">
        <v>202</v>
      </c>
      <c r="B96">
        <f>COUNTIF(Данные!B:B,'задача 2'!A130)</f>
        <v>7</v>
      </c>
      <c r="C96">
        <f>SUMIF(Данные!B:B,'задача 2'!A130,Данные!D:D)</f>
        <v>395388</v>
      </c>
      <c r="D96">
        <f>COUNTIF('задача 1'!E:E,'задача 2'!A168)</f>
        <v>4</v>
      </c>
    </row>
    <row r="97" spans="1:4" x14ac:dyDescent="0.25">
      <c r="A97" t="s">
        <v>66</v>
      </c>
      <c r="B97">
        <f>COUNTIF(Данные!B:B,'задача 2'!A39)</f>
        <v>3</v>
      </c>
      <c r="C97">
        <f>SUMIF(Данные!B:B,'задача 2'!A39,Данные!D:D)</f>
        <v>207087</v>
      </c>
      <c r="D97">
        <f>COUNTIF('задача 1'!E:E,'задача 2'!A2)</f>
        <v>1</v>
      </c>
    </row>
    <row r="98" spans="1:4" hidden="1" x14ac:dyDescent="0.25">
      <c r="A98" t="s">
        <v>268</v>
      </c>
      <c r="B98">
        <f>COUNTIF(Данные!B:B,'задача 2'!A158)</f>
        <v>6</v>
      </c>
      <c r="C98">
        <f>SUMIF(Данные!B:B,'задача 2'!A158,Данные!D:D)</f>
        <v>351118</v>
      </c>
      <c r="D98">
        <f>COUNTIF('задача 1'!E:E,'задача 2'!A137)</f>
        <v>6</v>
      </c>
    </row>
    <row r="99" spans="1:4" hidden="1" x14ac:dyDescent="0.25">
      <c r="A99" t="s">
        <v>330</v>
      </c>
      <c r="B99">
        <f>COUNTIF(Данные!B:B,'задача 2'!A185)</f>
        <v>8</v>
      </c>
      <c r="C99">
        <f>SUMIF(Данные!B:B,'задача 2'!A185,Данные!D:D)</f>
        <v>423448</v>
      </c>
      <c r="D99">
        <f>COUNTIF('задача 1'!E:E,'задача 2'!A159)</f>
        <v>4</v>
      </c>
    </row>
    <row r="100" spans="1:4" x14ac:dyDescent="0.25">
      <c r="A100" t="s">
        <v>313</v>
      </c>
      <c r="B100">
        <f>COUNTIF(Данные!B:B,'задача 2'!A178)</f>
        <v>1</v>
      </c>
      <c r="C100">
        <f>SUMIF(Данные!B:B,'задача 2'!A178,Данные!D:D)</f>
        <v>41962</v>
      </c>
      <c r="D100">
        <f>COUNTIF('задача 1'!E:E,'задача 2'!A188)</f>
        <v>1</v>
      </c>
    </row>
    <row r="101" spans="1:4" hidden="1" x14ac:dyDescent="0.25">
      <c r="A101" t="s">
        <v>16</v>
      </c>
      <c r="B101">
        <f>COUNTIF(Данные!B:B,'задача 2'!A6)</f>
        <v>2</v>
      </c>
      <c r="C101">
        <f>SUMIF(Данные!B:B,'задача 2'!A6,Данные!D:D)</f>
        <v>126403</v>
      </c>
      <c r="D101">
        <f>COUNTIF('задача 1'!E:E,'задача 2'!A170)</f>
        <v>5</v>
      </c>
    </row>
    <row r="102" spans="1:4" hidden="1" x14ac:dyDescent="0.25">
      <c r="A102" t="s">
        <v>181</v>
      </c>
      <c r="B102">
        <f>COUNTIF(Данные!B:B,'задача 2'!A118)</f>
        <v>6</v>
      </c>
      <c r="C102">
        <f>SUMIF(Данные!B:B,'задача 2'!A118,Данные!D:D)</f>
        <v>345938</v>
      </c>
      <c r="D102">
        <f>COUNTIF('задача 1'!E:E,'задача 2'!A40)</f>
        <v>7</v>
      </c>
    </row>
    <row r="103" spans="1:4" hidden="1" x14ac:dyDescent="0.25">
      <c r="A103" t="s">
        <v>153</v>
      </c>
      <c r="B103">
        <f>COUNTIF(Данные!B:B,'задача 2'!A102)</f>
        <v>6</v>
      </c>
      <c r="C103">
        <f>SUMIF(Данные!B:B,'задача 2'!A102,Данные!D:D)</f>
        <v>405531</v>
      </c>
      <c r="D103">
        <f>COUNTIF('задача 1'!E:E,'задача 2'!A116)</f>
        <v>5</v>
      </c>
    </row>
    <row r="104" spans="1:4" hidden="1" x14ac:dyDescent="0.25">
      <c r="A104" t="s">
        <v>197</v>
      </c>
      <c r="B104">
        <f>COUNTIF(Данные!B:B,'задача 2'!A127)</f>
        <v>6</v>
      </c>
      <c r="C104">
        <f>SUMIF(Данные!B:B,'задача 2'!A127,Данные!D:D)</f>
        <v>467291</v>
      </c>
      <c r="D104">
        <f>COUNTIF('задача 1'!E:E,'задача 2'!A147)</f>
        <v>6</v>
      </c>
    </row>
    <row r="105" spans="1:4" hidden="1" x14ac:dyDescent="0.25">
      <c r="A105" t="s">
        <v>102</v>
      </c>
      <c r="B105">
        <f>COUNTIF(Данные!B:B,'задача 2'!A67)</f>
        <v>5</v>
      </c>
      <c r="C105">
        <f>SUMIF(Данные!B:B,'задача 2'!A67,Данные!D:D)</f>
        <v>213907</v>
      </c>
      <c r="D105">
        <f>COUNTIF('задача 1'!E:E,'задача 2'!A56)</f>
        <v>4</v>
      </c>
    </row>
    <row r="106" spans="1:4" hidden="1" x14ac:dyDescent="0.25">
      <c r="A106" t="s">
        <v>138</v>
      </c>
      <c r="B106">
        <f>COUNTIF(Данные!B:B,'задача 2'!A92)</f>
        <v>3</v>
      </c>
      <c r="C106">
        <f>SUMIF(Данные!B:B,'задача 2'!A92,Данные!D:D)</f>
        <v>65159</v>
      </c>
      <c r="D106">
        <f>COUNTIF('задача 1'!E:E,'задача 2'!A11)</f>
        <v>6</v>
      </c>
    </row>
    <row r="107" spans="1:4" hidden="1" x14ac:dyDescent="0.25">
      <c r="A107" t="s">
        <v>121</v>
      </c>
      <c r="B107">
        <f>COUNTIF(Данные!B:B,'задача 2'!A80)</f>
        <v>6</v>
      </c>
      <c r="C107">
        <f>SUMIF(Данные!B:B,'задача 2'!A80,Данные!D:D)</f>
        <v>270667</v>
      </c>
      <c r="D107">
        <f>COUNTIF('задача 1'!E:E,'задача 2'!A110)</f>
        <v>4</v>
      </c>
    </row>
    <row r="108" spans="1:4" hidden="1" x14ac:dyDescent="0.25">
      <c r="A108" t="s">
        <v>312</v>
      </c>
      <c r="B108">
        <f>COUNTIF(Данные!B:B,'задача 2'!A177)</f>
        <v>1</v>
      </c>
      <c r="C108">
        <f>SUMIF(Данные!B:B,'задача 2'!A177,Данные!D:D)</f>
        <v>18469</v>
      </c>
      <c r="D108">
        <f>COUNTIF('задача 1'!E:E,'задача 2'!A154)</f>
        <v>5</v>
      </c>
    </row>
    <row r="109" spans="1:4" hidden="1" x14ac:dyDescent="0.25">
      <c r="A109" t="s">
        <v>53</v>
      </c>
      <c r="B109">
        <f>COUNTIF(Данные!B:B,'задача 2'!A29)</f>
        <v>6</v>
      </c>
      <c r="C109">
        <f>SUMIF(Данные!B:B,'задача 2'!A29,Данные!D:D)</f>
        <v>226989</v>
      </c>
      <c r="D109">
        <f>COUNTIF('задача 1'!E:E,'задача 2'!A59)</f>
        <v>4</v>
      </c>
    </row>
    <row r="110" spans="1:4" hidden="1" x14ac:dyDescent="0.25">
      <c r="A110" t="s">
        <v>252</v>
      </c>
      <c r="B110">
        <f>COUNTIF(Данные!B:B,'задача 2'!A154)</f>
        <v>5</v>
      </c>
      <c r="C110">
        <f>SUMIF(Данные!B:B,'задача 2'!A154,Данные!D:D)</f>
        <v>240152</v>
      </c>
      <c r="D110">
        <f>COUNTIF('задача 1'!E:E,'задача 2'!A138)</f>
        <v>6</v>
      </c>
    </row>
    <row r="111" spans="1:4" hidden="1" x14ac:dyDescent="0.25">
      <c r="A111" t="s">
        <v>272</v>
      </c>
      <c r="B111">
        <f>COUNTIF(Данные!B:B,'задача 2'!A161)</f>
        <v>10</v>
      </c>
      <c r="C111">
        <f>SUMIF(Данные!B:B,'задача 2'!A161,Данные!D:D)</f>
        <v>516642</v>
      </c>
      <c r="D111">
        <f>COUNTIF('задача 1'!E:E,'задача 2'!A104)</f>
        <v>3</v>
      </c>
    </row>
    <row r="112" spans="1:4" hidden="1" x14ac:dyDescent="0.25">
      <c r="A112" t="s">
        <v>79</v>
      </c>
      <c r="B112">
        <f>COUNTIF(Данные!B:B,'задача 2'!A49)</f>
        <v>2</v>
      </c>
      <c r="C112">
        <f>SUMIF(Данные!B:B,'задача 2'!A49,Данные!D:D)</f>
        <v>151067</v>
      </c>
      <c r="D112">
        <f>COUNTIF('задача 1'!E:E,'задача 2'!A25)</f>
        <v>3</v>
      </c>
    </row>
    <row r="113" spans="1:4" hidden="1" x14ac:dyDescent="0.25">
      <c r="A113" t="s">
        <v>87</v>
      </c>
      <c r="B113">
        <f>COUNTIF(Данные!B:B,'задача 2'!A56)</f>
        <v>4</v>
      </c>
      <c r="C113">
        <f>SUMIF(Данные!B:B,'задача 2'!A56,Данные!D:D)</f>
        <v>201081</v>
      </c>
      <c r="D113">
        <f>COUNTIF('задача 1'!E:E,'задача 2'!A28)</f>
        <v>6</v>
      </c>
    </row>
    <row r="114" spans="1:4" hidden="1" x14ac:dyDescent="0.25">
      <c r="A114" t="s">
        <v>359</v>
      </c>
      <c r="B114">
        <f>COUNTIF(Данные!B:B,'задача 2'!A189)</f>
        <v>5</v>
      </c>
      <c r="C114">
        <f>SUMIF(Данные!B:B,'задача 2'!A189,Данные!D:D)</f>
        <v>203665</v>
      </c>
      <c r="D114">
        <f>COUNTIF('задача 1'!E:E,'задача 2'!A179)</f>
        <v>7</v>
      </c>
    </row>
    <row r="115" spans="1:4" hidden="1" x14ac:dyDescent="0.25">
      <c r="A115" t="s">
        <v>239</v>
      </c>
      <c r="B115">
        <f>COUNTIF(Данные!B:B,'задача 2'!A148)</f>
        <v>4</v>
      </c>
      <c r="C115">
        <f>SUMIF(Данные!B:B,'задача 2'!A148,Данные!D:D)</f>
        <v>205148</v>
      </c>
      <c r="D115">
        <f>COUNTIF('задача 1'!E:E,'задача 2'!A76)</f>
        <v>5</v>
      </c>
    </row>
    <row r="116" spans="1:4" hidden="1" x14ac:dyDescent="0.25">
      <c r="A116" t="s">
        <v>34</v>
      </c>
      <c r="B116">
        <f>COUNTIF(Данные!B:B,'задача 2'!A17)</f>
        <v>6</v>
      </c>
      <c r="C116">
        <f>SUMIF(Данные!B:B,'задача 2'!A17,Данные!D:D)</f>
        <v>262474</v>
      </c>
      <c r="D116">
        <f>COUNTIF('задача 1'!E:E,'задача 2'!A47)</f>
        <v>2</v>
      </c>
    </row>
    <row r="117" spans="1:4" hidden="1" x14ac:dyDescent="0.25">
      <c r="A117" t="s">
        <v>165</v>
      </c>
      <c r="B117">
        <f>COUNTIF(Данные!B:B,'задача 2'!A109)</f>
        <v>6</v>
      </c>
      <c r="C117">
        <f>SUMIF(Данные!B:B,'задача 2'!A109,Данные!D:D)</f>
        <v>344611</v>
      </c>
      <c r="D117">
        <f>COUNTIF('задача 1'!E:E,'задача 2'!A69)</f>
        <v>2</v>
      </c>
    </row>
    <row r="118" spans="1:4" hidden="1" x14ac:dyDescent="0.25">
      <c r="A118" t="s">
        <v>81</v>
      </c>
      <c r="B118">
        <f>COUNTIF(Данные!B:B,'задача 2'!A51)</f>
        <v>5</v>
      </c>
      <c r="C118">
        <f>SUMIF(Данные!B:B,'задача 2'!A51,Данные!D:D)</f>
        <v>216590</v>
      </c>
      <c r="D118">
        <f>COUNTIF('задача 1'!E:E,'задача 2'!A58)</f>
        <v>3</v>
      </c>
    </row>
    <row r="119" spans="1:4" hidden="1" x14ac:dyDescent="0.25">
      <c r="A119" t="s">
        <v>223</v>
      </c>
      <c r="B119">
        <f>COUNTIF(Данные!B:B,'задача 2'!A139)</f>
        <v>4</v>
      </c>
      <c r="C119">
        <f>SUMIF(Данные!B:B,'задача 2'!A139,Данные!D:D)</f>
        <v>240403</v>
      </c>
      <c r="D119">
        <f>COUNTIF('задача 1'!E:E,'задача 2'!A162)</f>
        <v>4</v>
      </c>
    </row>
    <row r="120" spans="1:4" hidden="1" x14ac:dyDescent="0.25">
      <c r="A120" t="s">
        <v>232</v>
      </c>
      <c r="B120">
        <f>COUNTIF(Данные!B:B,'задача 2'!A144)</f>
        <v>8</v>
      </c>
      <c r="C120">
        <f>SUMIF(Данные!B:B,'задача 2'!A144,Данные!D:D)</f>
        <v>629236</v>
      </c>
      <c r="D120">
        <f>COUNTIF('задача 1'!E:E,'задача 2'!A45)</f>
        <v>3</v>
      </c>
    </row>
    <row r="121" spans="1:4" hidden="1" x14ac:dyDescent="0.25">
      <c r="A121" t="s">
        <v>103</v>
      </c>
      <c r="B121">
        <f>COUNTIF(Данные!B:B,'задача 2'!A68)</f>
        <v>1</v>
      </c>
      <c r="C121">
        <f>SUMIF(Данные!B:B,'задача 2'!A68,Данные!D:D)</f>
        <v>12034</v>
      </c>
      <c r="D121">
        <f>COUNTIF('задача 1'!E:E,'задача 2'!A101)</f>
        <v>2</v>
      </c>
    </row>
    <row r="122" spans="1:4" hidden="1" x14ac:dyDescent="0.25">
      <c r="A122" t="s">
        <v>249</v>
      </c>
      <c r="B122">
        <f>COUNTIF(Данные!B:B,'задача 2'!A153)</f>
        <v>8</v>
      </c>
      <c r="C122">
        <f>SUMIF(Данные!B:B,'задача 2'!A153,Данные!D:D)</f>
        <v>527297</v>
      </c>
      <c r="D122">
        <f>COUNTIF('задача 1'!E:E,'задача 2'!A130)</f>
        <v>5</v>
      </c>
    </row>
    <row r="123" spans="1:4" hidden="1" x14ac:dyDescent="0.25">
      <c r="A123" t="s">
        <v>207</v>
      </c>
      <c r="B123">
        <f>COUNTIF(Данные!B:B,'задача 2'!A133)</f>
        <v>7</v>
      </c>
      <c r="C123">
        <f>SUMIF(Данные!B:B,'задача 2'!A133,Данные!D:D)</f>
        <v>404963</v>
      </c>
      <c r="D123">
        <f>COUNTIF('задача 1'!E:E,'задача 2'!A19)</f>
        <v>6</v>
      </c>
    </row>
    <row r="124" spans="1:4" hidden="1" x14ac:dyDescent="0.25">
      <c r="A124" t="s">
        <v>134</v>
      </c>
      <c r="B124">
        <f>COUNTIF(Данные!B:B,'задача 2'!A90)</f>
        <v>2</v>
      </c>
      <c r="C124">
        <f>SUMIF(Данные!B:B,'задача 2'!A90,Данные!D:D)</f>
        <v>78910</v>
      </c>
      <c r="D124">
        <f>COUNTIF('задача 1'!E:E,'задача 2'!A87)</f>
        <v>2</v>
      </c>
    </row>
    <row r="125" spans="1:4" hidden="1" x14ac:dyDescent="0.25">
      <c r="A125" t="s">
        <v>214</v>
      </c>
      <c r="B125">
        <f>COUNTIF(Данные!B:B,'задача 2'!A136)</f>
        <v>2</v>
      </c>
      <c r="C125">
        <f>SUMIF(Данные!B:B,'задача 2'!A136,Данные!D:D)</f>
        <v>57995</v>
      </c>
      <c r="D125">
        <f>COUNTIF('задача 1'!E:E,'задача 2'!A174)</f>
        <v>6</v>
      </c>
    </row>
    <row r="126" spans="1:4" hidden="1" x14ac:dyDescent="0.25">
      <c r="A126" t="s">
        <v>191</v>
      </c>
      <c r="B126">
        <f>COUNTIF(Данные!B:B,'задача 2'!A124)</f>
        <v>5</v>
      </c>
      <c r="C126">
        <f>SUMIF(Данные!B:B,'задача 2'!A124,Данные!D:D)</f>
        <v>264291</v>
      </c>
      <c r="D126">
        <f>COUNTIF('задача 1'!E:E,'задача 2'!A55)</f>
        <v>3</v>
      </c>
    </row>
    <row r="127" spans="1:4" hidden="1" x14ac:dyDescent="0.25">
      <c r="A127" t="s">
        <v>57</v>
      </c>
      <c r="B127">
        <f>COUNTIF(Данные!B:B,'задача 2'!A32)</f>
        <v>1</v>
      </c>
      <c r="C127">
        <f>SUMIF(Данные!B:B,'задача 2'!A32,Данные!D:D)</f>
        <v>26201</v>
      </c>
      <c r="D127">
        <f>COUNTIF('задача 1'!E:E,'задача 2'!A26)</f>
        <v>3</v>
      </c>
    </row>
    <row r="128" spans="1:4" hidden="1" x14ac:dyDescent="0.25">
      <c r="A128" t="s">
        <v>112</v>
      </c>
      <c r="B128">
        <f>COUNTIF(Данные!B:B,'задача 2'!A74)</f>
        <v>3</v>
      </c>
      <c r="C128">
        <f>SUMIF(Данные!B:B,'задача 2'!A74,Данные!D:D)</f>
        <v>177379</v>
      </c>
      <c r="D128">
        <f>COUNTIF('задача 1'!E:E,'задача 2'!A124)</f>
        <v>4</v>
      </c>
    </row>
    <row r="129" spans="1:4" hidden="1" x14ac:dyDescent="0.25">
      <c r="A129" t="s">
        <v>219</v>
      </c>
      <c r="B129">
        <f>COUNTIF(Данные!B:B,'задача 2'!A138)</f>
        <v>6</v>
      </c>
      <c r="C129">
        <f>SUMIF(Данные!B:B,'задача 2'!A138,Данные!D:D)</f>
        <v>362173</v>
      </c>
      <c r="D129">
        <f>COUNTIF('задача 1'!E:E,'задача 2'!A144)</f>
        <v>5</v>
      </c>
    </row>
    <row r="130" spans="1:4" hidden="1" x14ac:dyDescent="0.25">
      <c r="A130" t="s">
        <v>151</v>
      </c>
      <c r="B130">
        <f>COUNTIF(Данные!B:B,'задача 2'!A101)</f>
        <v>3</v>
      </c>
      <c r="C130">
        <f>SUMIF(Данные!B:B,'задача 2'!A101,Данные!D:D)</f>
        <v>121067</v>
      </c>
      <c r="D130">
        <f>COUNTIF('задача 1'!E:E,'задача 2'!A42)</f>
        <v>5</v>
      </c>
    </row>
    <row r="131" spans="1:4" hidden="1" x14ac:dyDescent="0.25">
      <c r="A131" t="s">
        <v>45</v>
      </c>
      <c r="B131">
        <f>COUNTIF(Данные!B:B,'задача 2'!A26)</f>
        <v>6</v>
      </c>
      <c r="C131">
        <f>SUMIF(Данные!B:B,'задача 2'!A26,Данные!D:D)</f>
        <v>389519</v>
      </c>
      <c r="D131">
        <f>COUNTIF('задача 1'!E:E,'задача 2'!A158)</f>
        <v>6</v>
      </c>
    </row>
    <row r="132" spans="1:4" hidden="1" x14ac:dyDescent="0.25">
      <c r="A132" t="s">
        <v>171</v>
      </c>
      <c r="B132">
        <f>COUNTIF(Данные!B:B,'задача 2'!A113)</f>
        <v>10</v>
      </c>
      <c r="C132">
        <f>SUMIF(Данные!B:B,'задача 2'!A113,Данные!D:D)</f>
        <v>459940</v>
      </c>
      <c r="D132">
        <f>COUNTIF('задача 1'!E:E,'задача 2'!A38)</f>
        <v>3</v>
      </c>
    </row>
    <row r="133" spans="1:4" hidden="1" x14ac:dyDescent="0.25">
      <c r="A133" t="s">
        <v>256</v>
      </c>
      <c r="B133">
        <f>COUNTIF(Данные!B:B,'задача 2'!A155)</f>
        <v>2</v>
      </c>
      <c r="C133">
        <f>SUMIF(Данные!B:B,'задача 2'!A155,Данные!D:D)</f>
        <v>108885</v>
      </c>
      <c r="D133">
        <f>COUNTIF('задача 1'!E:E,'задача 2'!A41)</f>
        <v>9</v>
      </c>
    </row>
    <row r="134" spans="1:4" hidden="1" x14ac:dyDescent="0.25">
      <c r="A134" t="s">
        <v>429</v>
      </c>
      <c r="B134">
        <f>COUNTIF(Данные!B:B,'задача 2'!A194)</f>
        <v>4</v>
      </c>
      <c r="C134">
        <f>SUMIF(Данные!B:B,'задача 2'!A194,Данные!D:D)</f>
        <v>103972</v>
      </c>
      <c r="D134">
        <f>COUNTIF('задача 1'!E:E,'задача 2'!A187)</f>
        <v>8</v>
      </c>
    </row>
    <row r="135" spans="1:4" hidden="1" x14ac:dyDescent="0.25">
      <c r="A135" t="s">
        <v>98</v>
      </c>
      <c r="B135">
        <f>COUNTIF(Данные!B:B,'задача 2'!A64)</f>
        <v>4</v>
      </c>
      <c r="C135">
        <f>SUMIF(Данные!B:B,'задача 2'!A64,Данные!D:D)</f>
        <v>255319</v>
      </c>
      <c r="D135">
        <f>COUNTIF('задача 1'!E:E,'задача 2'!A39)</f>
        <v>3</v>
      </c>
    </row>
    <row r="136" spans="1:4" hidden="1" x14ac:dyDescent="0.25">
      <c r="A136" t="s">
        <v>338</v>
      </c>
      <c r="B136">
        <f>COUNTIF(Данные!B:B,'задача 2'!A187)</f>
        <v>10</v>
      </c>
      <c r="C136">
        <f>SUMIF(Данные!B:B,'задача 2'!A187,Данные!D:D)</f>
        <v>526422</v>
      </c>
      <c r="D136">
        <f>COUNTIF('задача 1'!E:E,'задача 2'!A184)</f>
        <v>4</v>
      </c>
    </row>
    <row r="137" spans="1:4" hidden="1" x14ac:dyDescent="0.25">
      <c r="A137" t="s">
        <v>24</v>
      </c>
      <c r="B137">
        <f>COUNTIF(Данные!B:B,'задача 2'!A11)</f>
        <v>10</v>
      </c>
      <c r="C137">
        <f>SUMIF(Данные!B:B,'задача 2'!A11,Данные!D:D)</f>
        <v>378475</v>
      </c>
      <c r="D137">
        <f>COUNTIF('задача 1'!E:E,'задача 2'!A20)</f>
        <v>8</v>
      </c>
    </row>
    <row r="138" spans="1:4" x14ac:dyDescent="0.25">
      <c r="A138" t="s">
        <v>198</v>
      </c>
      <c r="B138">
        <f>COUNTIF(Данные!B:B,'задача 2'!A128)</f>
        <v>4</v>
      </c>
      <c r="C138">
        <f>SUMIF(Данные!B:B,'задача 2'!A128,Данные!D:D)</f>
        <v>210087</v>
      </c>
      <c r="D138">
        <f>COUNTIF('задача 1'!E:E,'задача 2'!A53)</f>
        <v>1</v>
      </c>
    </row>
    <row r="139" spans="1:4" hidden="1" x14ac:dyDescent="0.25">
      <c r="A139" t="s">
        <v>123</v>
      </c>
      <c r="B139">
        <f>COUNTIF(Данные!B:B,'задача 2'!A82)</f>
        <v>6</v>
      </c>
      <c r="C139">
        <f>SUMIF(Данные!B:B,'задача 2'!A82,Данные!D:D)</f>
        <v>322122</v>
      </c>
      <c r="D139">
        <f>COUNTIF('задача 1'!E:E,'задача 2'!A102)</f>
        <v>4</v>
      </c>
    </row>
    <row r="140" spans="1:4" hidden="1" x14ac:dyDescent="0.25">
      <c r="A140" t="s">
        <v>29</v>
      </c>
      <c r="B140">
        <f>COUNTIF(Данные!B:B,'задача 2'!A14)</f>
        <v>6</v>
      </c>
      <c r="C140">
        <f>SUMIF(Данные!B:B,'задача 2'!A14,Данные!D:D)</f>
        <v>284507</v>
      </c>
      <c r="D140">
        <f>COUNTIF('задача 1'!E:E,'задача 2'!A71)</f>
        <v>2</v>
      </c>
    </row>
    <row r="141" spans="1:4" hidden="1" x14ac:dyDescent="0.25">
      <c r="A141" t="s">
        <v>70</v>
      </c>
      <c r="B141">
        <f>COUNTIF(Данные!B:B,'задача 2'!A43)</f>
        <v>6</v>
      </c>
      <c r="C141">
        <f>SUMIF(Данные!B:B,'задача 2'!A43,Данные!D:D)</f>
        <v>289944</v>
      </c>
      <c r="D141">
        <f>COUNTIF('задача 1'!E:E,'задача 2'!A54)</f>
        <v>4</v>
      </c>
    </row>
    <row r="142" spans="1:4" hidden="1" x14ac:dyDescent="0.25">
      <c r="A142" t="s">
        <v>82</v>
      </c>
      <c r="B142">
        <f>COUNTIF(Данные!B:B,'задача 2'!A52)</f>
        <v>6</v>
      </c>
      <c r="C142">
        <f>SUMIF(Данные!B:B,'задача 2'!A52,Данные!D:D)</f>
        <v>373421</v>
      </c>
      <c r="D142">
        <f>COUNTIF('задача 1'!E:E,'задача 2'!A67)</f>
        <v>3</v>
      </c>
    </row>
    <row r="143" spans="1:4" hidden="1" x14ac:dyDescent="0.25">
      <c r="A143" t="s">
        <v>109</v>
      </c>
      <c r="B143">
        <f>COUNTIF(Данные!B:B,'задача 2'!A72)</f>
        <v>5</v>
      </c>
      <c r="C143">
        <f>SUMIF(Данные!B:B,'задача 2'!A72,Данные!D:D)</f>
        <v>373801</v>
      </c>
      <c r="D143">
        <f>COUNTIF('задача 1'!E:E,'задача 2'!A79)</f>
        <v>4</v>
      </c>
    </row>
    <row r="144" spans="1:4" hidden="1" x14ac:dyDescent="0.25">
      <c r="A144" t="s">
        <v>59</v>
      </c>
      <c r="B144">
        <f>COUNTIF(Данные!B:B,'задача 2'!A33)</f>
        <v>4</v>
      </c>
      <c r="C144">
        <f>SUMIF(Данные!B:B,'задача 2'!A33,Данные!D:D)</f>
        <v>280942</v>
      </c>
      <c r="D144">
        <f>COUNTIF('задача 1'!E:E,'задача 2'!A9)</f>
        <v>9</v>
      </c>
    </row>
    <row r="145" spans="1:4" hidden="1" x14ac:dyDescent="0.25">
      <c r="A145" t="s">
        <v>275</v>
      </c>
      <c r="B145">
        <f>COUNTIF(Данные!B:B,'задача 2'!A163)</f>
        <v>6</v>
      </c>
      <c r="C145">
        <f>SUMIF(Данные!B:B,'задача 2'!A163,Данные!D:D)</f>
        <v>326479</v>
      </c>
      <c r="D145">
        <f>COUNTIF('задача 1'!E:E,'задача 2'!A165)</f>
        <v>4</v>
      </c>
    </row>
    <row r="146" spans="1:4" hidden="1" x14ac:dyDescent="0.25">
      <c r="A146" t="s">
        <v>203</v>
      </c>
      <c r="B146">
        <f>COUNTIF(Данные!B:B,'задача 2'!A131)</f>
        <v>3</v>
      </c>
      <c r="C146">
        <f>SUMIF(Данные!B:B,'задача 2'!A131,Данные!D:D)</f>
        <v>148011</v>
      </c>
      <c r="D146">
        <f>COUNTIF('задача 1'!E:E,'задача 2'!A82)</f>
        <v>4</v>
      </c>
    </row>
    <row r="147" spans="1:4" hidden="1" x14ac:dyDescent="0.25">
      <c r="A147" t="s">
        <v>105</v>
      </c>
      <c r="B147">
        <f>COUNTIF(Данные!B:B,'задача 2'!A69)</f>
        <v>2</v>
      </c>
      <c r="C147">
        <f>SUMIF(Данные!B:B,'задача 2'!A69,Данные!D:D)</f>
        <v>149072</v>
      </c>
      <c r="D147">
        <f>COUNTIF('задача 1'!E:E,'задача 2'!A27)</f>
        <v>4</v>
      </c>
    </row>
    <row r="148" spans="1:4" hidden="1" x14ac:dyDescent="0.25">
      <c r="A148" t="s">
        <v>271</v>
      </c>
      <c r="B148">
        <f>COUNTIF(Данные!B:B,'задача 2'!A160)</f>
        <v>5</v>
      </c>
      <c r="C148">
        <f>SUMIF(Данные!B:B,'задача 2'!A160,Данные!D:D)</f>
        <v>282079</v>
      </c>
      <c r="D148">
        <f>COUNTIF('задача 1'!E:E,'задача 2'!A127)</f>
        <v>4</v>
      </c>
    </row>
    <row r="149" spans="1:4" hidden="1" x14ac:dyDescent="0.25">
      <c r="A149" t="s">
        <v>118</v>
      </c>
      <c r="B149">
        <f>COUNTIF(Данные!B:B,'задача 2'!A78)</f>
        <v>3</v>
      </c>
      <c r="C149">
        <f>SUMIF(Данные!B:B,'задача 2'!A78,Данные!D:D)</f>
        <v>156899</v>
      </c>
      <c r="D149">
        <f>COUNTIF('задача 1'!E:E,'задача 2'!A70)</f>
        <v>2</v>
      </c>
    </row>
    <row r="150" spans="1:4" hidden="1" x14ac:dyDescent="0.25">
      <c r="A150" t="s">
        <v>282</v>
      </c>
      <c r="B150">
        <f>COUNTIF(Данные!B:B,'задача 2'!A167)</f>
        <v>4</v>
      </c>
      <c r="C150">
        <f>SUMIF(Данные!B:B,'задача 2'!A167,Данные!D:D)</f>
        <v>173212</v>
      </c>
      <c r="D150">
        <f>COUNTIF('задача 1'!E:E,'задача 2'!A164)</f>
        <v>3</v>
      </c>
    </row>
    <row r="151" spans="1:4" hidden="1" x14ac:dyDescent="0.25">
      <c r="A151" t="s">
        <v>11</v>
      </c>
      <c r="B151">
        <f>COUNTIF(Данные!B:B,'задача 2'!A4)</f>
        <v>1</v>
      </c>
      <c r="C151">
        <f>SUMIF(Данные!B:B,'задача 2'!A4,Данные!D:D)</f>
        <v>74845</v>
      </c>
      <c r="D151">
        <f>COUNTIF('задача 1'!E:E,'задача 2'!A86)</f>
        <v>3</v>
      </c>
    </row>
    <row r="152" spans="1:4" hidden="1" x14ac:dyDescent="0.25">
      <c r="A152" t="s">
        <v>9</v>
      </c>
      <c r="B152">
        <f>COUNTIF(Данные!B:B,'задача 2'!A3)</f>
        <v>2</v>
      </c>
      <c r="C152">
        <f>SUMIF(Данные!B:B,'задача 2'!A3,Данные!D:D)</f>
        <v>113384</v>
      </c>
      <c r="D152">
        <f>COUNTIF('задача 1'!E:E,'задача 2'!A160)</f>
        <v>5</v>
      </c>
    </row>
    <row r="153" spans="1:4" hidden="1" x14ac:dyDescent="0.25">
      <c r="A153" t="s">
        <v>316</v>
      </c>
      <c r="B153">
        <f>COUNTIF(Данные!B:B,'задача 2'!A179)</f>
        <v>8</v>
      </c>
      <c r="C153">
        <f>SUMIF(Данные!B:B,'задача 2'!A179,Данные!D:D)</f>
        <v>414380</v>
      </c>
      <c r="D153">
        <f>COUNTIF('задача 1'!E:E,'задача 2'!A16)</f>
        <v>5</v>
      </c>
    </row>
    <row r="154" spans="1:4" hidden="1" x14ac:dyDescent="0.25">
      <c r="A154" t="s">
        <v>280</v>
      </c>
      <c r="B154">
        <f>COUNTIF(Данные!B:B,'задача 2'!A165)</f>
        <v>5</v>
      </c>
      <c r="C154">
        <f>SUMIF(Данные!B:B,'задача 2'!A165,Данные!D:D)</f>
        <v>219449</v>
      </c>
      <c r="D154">
        <f>COUNTIF('задача 1'!E:E,'задача 2'!A103)</f>
        <v>3</v>
      </c>
    </row>
    <row r="155" spans="1:4" hidden="1" x14ac:dyDescent="0.25">
      <c r="A155" t="s">
        <v>428</v>
      </c>
      <c r="B155">
        <f>COUNTIF(Данные!B:B,'задача 2'!A193)</f>
        <v>12</v>
      </c>
      <c r="C155">
        <f>SUMIF(Данные!B:B,'задача 2'!A193,Данные!D:D)</f>
        <v>687187</v>
      </c>
      <c r="D155">
        <f>COUNTIF('задача 1'!E:E,'задача 2'!A172)</f>
        <v>6</v>
      </c>
    </row>
    <row r="156" spans="1:4" hidden="1" x14ac:dyDescent="0.25">
      <c r="A156" t="s">
        <v>93</v>
      </c>
      <c r="B156">
        <f>COUNTIF(Данные!B:B,'задача 2'!A61)</f>
        <v>2</v>
      </c>
      <c r="C156">
        <f>SUMIF(Данные!B:B,'задача 2'!A61,Данные!D:D)</f>
        <v>57412</v>
      </c>
      <c r="D156">
        <f>COUNTIF('задача 1'!E:E,'задача 2'!A64)</f>
        <v>4</v>
      </c>
    </row>
    <row r="157" spans="1:4" hidden="1" x14ac:dyDescent="0.25">
      <c r="A157" t="s">
        <v>449</v>
      </c>
      <c r="B157">
        <f>COUNTIF(Данные!B:B,'задача 2'!A196)</f>
        <v>4</v>
      </c>
      <c r="C157">
        <f>SUMIF(Данные!B:B,'задача 2'!A196,Данные!D:D)</f>
        <v>230817</v>
      </c>
      <c r="D157">
        <f>COUNTIF('задача 1'!E:E,'задача 2'!A186)</f>
        <v>5</v>
      </c>
    </row>
    <row r="158" spans="1:4" hidden="1" x14ac:dyDescent="0.25">
      <c r="A158" t="s">
        <v>300</v>
      </c>
      <c r="B158">
        <f>COUNTIF(Данные!B:B,'задача 2'!A174)</f>
        <v>8</v>
      </c>
      <c r="C158">
        <f>SUMIF(Данные!B:B,'задача 2'!A174,Данные!D:D)</f>
        <v>393874</v>
      </c>
      <c r="D158">
        <f>COUNTIF('задача 1'!E:E,'задача 2'!A57)</f>
        <v>6</v>
      </c>
    </row>
    <row r="159" spans="1:4" hidden="1" x14ac:dyDescent="0.25">
      <c r="A159" t="s">
        <v>293</v>
      </c>
      <c r="B159">
        <f>COUNTIF(Данные!B:B,'задача 2'!A171)</f>
        <v>8</v>
      </c>
      <c r="C159">
        <f>SUMIF(Данные!B:B,'задача 2'!A171,Данные!D:D)</f>
        <v>538957</v>
      </c>
      <c r="D159">
        <f>COUNTIF('задача 1'!E:E,'задача 2'!A141)</f>
        <v>6</v>
      </c>
    </row>
    <row r="160" spans="1:4" hidden="1" x14ac:dyDescent="0.25">
      <c r="A160" t="s">
        <v>61</v>
      </c>
      <c r="B160">
        <f>COUNTIF(Данные!B:B,'задача 2'!A35)</f>
        <v>4</v>
      </c>
      <c r="C160">
        <f>SUMIF(Данные!B:B,'задача 2'!A35,Данные!D:D)</f>
        <v>236704</v>
      </c>
      <c r="D160">
        <f>COUNTIF('задача 1'!E:E,'задача 2'!A80)</f>
        <v>6</v>
      </c>
    </row>
    <row r="161" spans="1:4" hidden="1" x14ac:dyDescent="0.25">
      <c r="A161" t="s">
        <v>73</v>
      </c>
      <c r="B161">
        <f>COUNTIF(Данные!B:B,'задача 2'!A45)</f>
        <v>6</v>
      </c>
      <c r="C161">
        <f>SUMIF(Данные!B:B,'задача 2'!A45,Данные!D:D)</f>
        <v>254809</v>
      </c>
      <c r="D161">
        <f>COUNTIF('задача 1'!E:E,'задача 2'!A21)</f>
        <v>4</v>
      </c>
    </row>
    <row r="162" spans="1:4" hidden="1" x14ac:dyDescent="0.25">
      <c r="A162" t="s">
        <v>13</v>
      </c>
      <c r="B162">
        <f>COUNTIF(Данные!B:B,'задача 2'!A5)</f>
        <v>2</v>
      </c>
      <c r="C162">
        <f>SUMIF(Данные!B:B,'задача 2'!A5,Данные!D:D)</f>
        <v>102084</v>
      </c>
      <c r="D162">
        <f>COUNTIF('задача 1'!E:E,'задача 2'!A115)</f>
        <v>4</v>
      </c>
    </row>
    <row r="163" spans="1:4" hidden="1" x14ac:dyDescent="0.25">
      <c r="A163" t="s">
        <v>141</v>
      </c>
      <c r="B163">
        <f>COUNTIF(Данные!B:B,'задача 2'!A95)</f>
        <v>4</v>
      </c>
      <c r="C163">
        <f>SUMIF(Данные!B:B,'задача 2'!A95,Данные!D:D)</f>
        <v>322890</v>
      </c>
      <c r="D163">
        <f>COUNTIF('задача 1'!E:E,'задача 2'!A63)</f>
        <v>2</v>
      </c>
    </row>
    <row r="164" spans="1:4" hidden="1" x14ac:dyDescent="0.25">
      <c r="A164" t="s">
        <v>212</v>
      </c>
      <c r="B164">
        <f>COUNTIF(Данные!B:B,'задача 2'!A135)</f>
        <v>6</v>
      </c>
      <c r="C164">
        <f>SUMIF(Данные!B:B,'задача 2'!A135,Данные!D:D)</f>
        <v>412640</v>
      </c>
      <c r="D164">
        <f>COUNTIF('задача 1'!E:E,'задача 2'!A106)</f>
        <v>8</v>
      </c>
    </row>
    <row r="165" spans="1:4" hidden="1" x14ac:dyDescent="0.25">
      <c r="A165" t="s">
        <v>185</v>
      </c>
      <c r="B165">
        <f>COUNTIF(Данные!B:B,'задача 2'!A120)</f>
        <v>6</v>
      </c>
      <c r="C165">
        <f>SUMIF(Данные!B:B,'задача 2'!A120,Данные!D:D)</f>
        <v>384550</v>
      </c>
      <c r="D165">
        <f>COUNTIF('задача 1'!E:E,'задача 2'!A118)</f>
        <v>3</v>
      </c>
    </row>
    <row r="166" spans="1:4" hidden="1" x14ac:dyDescent="0.25">
      <c r="A166" t="s">
        <v>287</v>
      </c>
      <c r="B166">
        <f>COUNTIF(Данные!B:B,'задача 2'!A168)</f>
        <v>6</v>
      </c>
      <c r="C166">
        <f>SUMIF(Данные!B:B,'задача 2'!A168,Данные!D:D)</f>
        <v>368003</v>
      </c>
      <c r="D166">
        <f>COUNTIF('задача 1'!E:E,'задача 2'!A74)</f>
        <v>3</v>
      </c>
    </row>
    <row r="167" spans="1:4" hidden="1" x14ac:dyDescent="0.25">
      <c r="A167" t="s">
        <v>163</v>
      </c>
      <c r="B167">
        <f>COUNTIF(Данные!B:B,'задача 2'!A108)</f>
        <v>4</v>
      </c>
      <c r="C167">
        <f>SUMIF(Данные!B:B,'задача 2'!A108,Данные!D:D)</f>
        <v>151584</v>
      </c>
      <c r="D167">
        <f>COUNTIF('задача 1'!E:E,'задача 2'!A148)</f>
        <v>3</v>
      </c>
    </row>
    <row r="168" spans="1:4" hidden="1" x14ac:dyDescent="0.25">
      <c r="A168" t="s">
        <v>270</v>
      </c>
      <c r="B168">
        <f>COUNTIF(Данные!B:B,'задача 2'!A159)</f>
        <v>4</v>
      </c>
      <c r="C168">
        <f>SUMIF(Данные!B:B,'задача 2'!A159,Данные!D:D)</f>
        <v>178667</v>
      </c>
      <c r="D168">
        <f>COUNTIF('задача 1'!E:E,'задача 2'!A52)</f>
        <v>5</v>
      </c>
    </row>
    <row r="169" spans="1:4" hidden="1" x14ac:dyDescent="0.25">
      <c r="A169" t="s">
        <v>18</v>
      </c>
      <c r="B169">
        <f>COUNTIF(Данные!B:B,'задача 2'!A7)</f>
        <v>4</v>
      </c>
      <c r="C169">
        <f>SUMIF(Данные!B:B,'задача 2'!A7,Данные!D:D)</f>
        <v>244625</v>
      </c>
      <c r="D169">
        <f>COUNTIF('задача 1'!E:E,'задача 2'!A114)</f>
        <v>2</v>
      </c>
    </row>
    <row r="170" spans="1:4" hidden="1" x14ac:dyDescent="0.25">
      <c r="A170" t="s">
        <v>101</v>
      </c>
      <c r="B170">
        <f>COUNTIF(Данные!B:B,'задача 2'!A66)</f>
        <v>7</v>
      </c>
      <c r="C170">
        <f>SUMIF(Данные!B:B,'задача 2'!A66,Данные!D:D)</f>
        <v>431843</v>
      </c>
      <c r="D170">
        <f>COUNTIF('задача 1'!E:E,'задача 2'!A33)</f>
        <v>4</v>
      </c>
    </row>
    <row r="171" spans="1:4" hidden="1" x14ac:dyDescent="0.25">
      <c r="A171" t="s">
        <v>20</v>
      </c>
      <c r="B171">
        <f>COUNTIF(Данные!B:B,'задача 2'!A9)</f>
        <v>14</v>
      </c>
      <c r="C171">
        <f>SUMIF(Данные!B:B,'задача 2'!A9,Данные!D:D)</f>
        <v>805460</v>
      </c>
      <c r="D171">
        <f>COUNTIF('задача 1'!E:E,'задача 2'!A13)</f>
        <v>5</v>
      </c>
    </row>
    <row r="172" spans="1:4" hidden="1" x14ac:dyDescent="0.25">
      <c r="A172" t="s">
        <v>296</v>
      </c>
      <c r="B172">
        <f>COUNTIF(Данные!B:B,'задача 2'!A172)</f>
        <v>7</v>
      </c>
      <c r="C172">
        <f>SUMIF(Данные!B:B,'задача 2'!A172,Данные!D:D)</f>
        <v>218349</v>
      </c>
      <c r="D172">
        <f>COUNTIF('задача 1'!E:E,'задача 2'!A119)</f>
        <v>3</v>
      </c>
    </row>
    <row r="173" spans="1:4" hidden="1" x14ac:dyDescent="0.25">
      <c r="A173" t="s">
        <v>146</v>
      </c>
      <c r="B173">
        <f>COUNTIF(Данные!B:B,'задача 2'!A97)</f>
        <v>14</v>
      </c>
      <c r="C173">
        <f>SUMIF(Данные!B:B,'задача 2'!A97,Данные!D:D)</f>
        <v>881592</v>
      </c>
      <c r="D173">
        <f>COUNTIF('задача 1'!E:E,'задача 2'!A22)</f>
        <v>3</v>
      </c>
    </row>
    <row r="174" spans="1:4" hidden="1" x14ac:dyDescent="0.25">
      <c r="A174" t="s">
        <v>85</v>
      </c>
      <c r="B174">
        <f>COUNTIF(Данные!B:B,'задача 2'!A54)</f>
        <v>4</v>
      </c>
      <c r="C174">
        <f>SUMIF(Данные!B:B,'задача 2'!A54,Данные!D:D)</f>
        <v>241994</v>
      </c>
      <c r="D174">
        <f>COUNTIF('задача 1'!E:E,'задача 2'!A43)</f>
        <v>5</v>
      </c>
    </row>
    <row r="175" spans="1:4" hidden="1" x14ac:dyDescent="0.25">
      <c r="A175" t="s">
        <v>28</v>
      </c>
      <c r="B175">
        <f>COUNTIF(Данные!B:B,'задача 2'!A13)</f>
        <v>6</v>
      </c>
      <c r="C175">
        <f>SUMIF(Данные!B:B,'задача 2'!A13,Данные!D:D)</f>
        <v>275327</v>
      </c>
      <c r="D175">
        <f>COUNTIF('задача 1'!E:E,'задача 2'!A140)</f>
        <v>5</v>
      </c>
    </row>
    <row r="176" spans="1:4" hidden="1" x14ac:dyDescent="0.25">
      <c r="A176" t="s">
        <v>297</v>
      </c>
      <c r="B176">
        <f>COUNTIF(Данные!B:B,'задача 2'!A173)</f>
        <v>7</v>
      </c>
      <c r="C176">
        <f>SUMIF(Данные!B:B,'задача 2'!A173,Данные!D:D)</f>
        <v>514463</v>
      </c>
      <c r="D176">
        <f>COUNTIF('задача 1'!E:E,'задача 2'!A183)</f>
        <v>3</v>
      </c>
    </row>
    <row r="177" spans="1:4" hidden="1" x14ac:dyDescent="0.25">
      <c r="A177" t="s">
        <v>372</v>
      </c>
      <c r="B177">
        <f>COUNTIF(Данные!B:B,'задача 2'!A191)</f>
        <v>5</v>
      </c>
      <c r="C177">
        <f>SUMIF(Данные!B:B,'задача 2'!A191,Данные!D:D)</f>
        <v>301614</v>
      </c>
      <c r="D177">
        <f>COUNTIF('задача 1'!E:E,'задача 2'!A194)</f>
        <v>4</v>
      </c>
    </row>
    <row r="178" spans="1:4" hidden="1" x14ac:dyDescent="0.25">
      <c r="A178" t="s">
        <v>290</v>
      </c>
      <c r="B178">
        <f>COUNTIF(Данные!B:B,'задача 2'!A169)</f>
        <v>4</v>
      </c>
      <c r="C178">
        <f>SUMIF(Данные!B:B,'задача 2'!A169,Данные!D:D)</f>
        <v>224951</v>
      </c>
      <c r="D178">
        <f>COUNTIF('задача 1'!E:E,'задача 2'!A191)</f>
        <v>5</v>
      </c>
    </row>
    <row r="179" spans="1:4" hidden="1" x14ac:dyDescent="0.25">
      <c r="A179" t="s">
        <v>25</v>
      </c>
      <c r="B179">
        <f>COUNTIF(Данные!B:B,'задача 2'!A12)</f>
        <v>9</v>
      </c>
      <c r="C179">
        <f>SUMIF(Данные!B:B,'задача 2'!A12,Данные!D:D)</f>
        <v>438170</v>
      </c>
      <c r="D179">
        <f>COUNTIF('задача 1'!E:E,'задача 2'!A37)</f>
        <v>4</v>
      </c>
    </row>
    <row r="180" spans="1:4" hidden="1" x14ac:dyDescent="0.25">
      <c r="A180" t="s">
        <v>160</v>
      </c>
      <c r="B180">
        <f>COUNTIF(Данные!B:B,'задача 2'!A106)</f>
        <v>12</v>
      </c>
      <c r="C180">
        <f>SUMIF(Данные!B:B,'задача 2'!A106,Данные!D:D)</f>
        <v>602827</v>
      </c>
      <c r="D180">
        <f>COUNTIF('задача 1'!E:E,'задача 2'!A98)</f>
        <v>3</v>
      </c>
    </row>
    <row r="181" spans="1:4" x14ac:dyDescent="0.25">
      <c r="A181" t="s">
        <v>97</v>
      </c>
      <c r="B181">
        <f>COUNTIF(Данные!B:B,'задача 2'!A63)</f>
        <v>2</v>
      </c>
      <c r="C181">
        <f>SUMIF(Данные!B:B,'задача 2'!A63,Данные!D:D)</f>
        <v>121453</v>
      </c>
      <c r="D181">
        <f>COUNTIF('задача 1'!E:E,'задача 2'!A68)</f>
        <v>1</v>
      </c>
    </row>
    <row r="182" spans="1:4" hidden="1" x14ac:dyDescent="0.25">
      <c r="A182" t="s">
        <v>206</v>
      </c>
      <c r="B182">
        <f>COUNTIF(Данные!B:B,'задача 2'!A132)</f>
        <v>8</v>
      </c>
      <c r="C182">
        <f>SUMIF(Данные!B:B,'задача 2'!A132,Данные!D:D)</f>
        <v>412681</v>
      </c>
      <c r="D182">
        <f>COUNTIF('задача 1'!E:E,'задача 2'!A61)</f>
        <v>2</v>
      </c>
    </row>
    <row r="183" spans="1:4" hidden="1" x14ac:dyDescent="0.25">
      <c r="A183" t="s">
        <v>328</v>
      </c>
      <c r="B183">
        <f>COUNTIF(Данные!B:B,'задача 2'!A184)</f>
        <v>4</v>
      </c>
      <c r="C183">
        <f>SUMIF(Данные!B:B,'задача 2'!A184,Данные!D:D)</f>
        <v>195154</v>
      </c>
      <c r="D183">
        <f>COUNTIF('задача 1'!E:E,'задача 2'!A145)</f>
        <v>3</v>
      </c>
    </row>
    <row r="184" spans="1:4" hidden="1" x14ac:dyDescent="0.25">
      <c r="A184" t="s">
        <v>41</v>
      </c>
      <c r="B184">
        <f>COUNTIF(Данные!B:B,'задача 2'!A23)</f>
        <v>10</v>
      </c>
      <c r="C184">
        <f>SUMIF(Данные!B:B,'задача 2'!A23,Данные!D:D)</f>
        <v>523573</v>
      </c>
      <c r="D184">
        <f>COUNTIF('задача 1'!E:E,'задача 2'!A131)</f>
        <v>2</v>
      </c>
    </row>
    <row r="185" spans="1:4" hidden="1" x14ac:dyDescent="0.25">
      <c r="A185" t="s">
        <v>68</v>
      </c>
      <c r="B185">
        <f>COUNTIF(Данные!B:B,'задача 2'!A41)</f>
        <v>13</v>
      </c>
      <c r="C185">
        <f>SUMIF(Данные!B:B,'задача 2'!A41,Данные!D:D)</f>
        <v>729751</v>
      </c>
      <c r="D185">
        <f>COUNTIF('задача 1'!E:E,'задача 2'!A34)</f>
        <v>4</v>
      </c>
    </row>
    <row r="186" spans="1:4" hidden="1" x14ac:dyDescent="0.25">
      <c r="A186" t="s">
        <v>190</v>
      </c>
      <c r="B186">
        <f>COUNTIF(Данные!B:B,'задача 2'!A123)</f>
        <v>7</v>
      </c>
      <c r="C186">
        <f>SUMIF(Данные!B:B,'задача 2'!A123,Данные!D:D)</f>
        <v>522264</v>
      </c>
      <c r="D186">
        <f>COUNTIF('задача 1'!E:E,'задача 2'!A93)</f>
        <v>4</v>
      </c>
    </row>
    <row r="187" spans="1:4" hidden="1" x14ac:dyDescent="0.25">
      <c r="A187" t="s">
        <v>108</v>
      </c>
      <c r="B187">
        <f>COUNTIF(Данные!B:B,'задача 2'!A71)</f>
        <v>3</v>
      </c>
      <c r="C187">
        <f>SUMIF(Данные!B:B,'задача 2'!A71,Данные!D:D)</f>
        <v>206946</v>
      </c>
      <c r="D187">
        <f>COUNTIF('задача 1'!E:E,'задача 2'!A17)</f>
        <v>6</v>
      </c>
    </row>
    <row r="188" spans="1:4" x14ac:dyDescent="0.25">
      <c r="A188" t="s">
        <v>43</v>
      </c>
      <c r="B188">
        <f>COUNTIF(Данные!B:B,'задача 2'!A24)</f>
        <v>6</v>
      </c>
      <c r="C188">
        <f>SUMIF(Данные!B:B,'задача 2'!A24,Данные!D:D)</f>
        <v>371619</v>
      </c>
      <c r="D188">
        <f>COUNTIF('задача 1'!E:E,'задача 2'!A176)</f>
        <v>1</v>
      </c>
    </row>
    <row r="189" spans="1:4" hidden="1" x14ac:dyDescent="0.25">
      <c r="A189" t="s">
        <v>172</v>
      </c>
      <c r="B189">
        <f>COUNTIF(Данные!B:B,'задача 2'!A114)</f>
        <v>2</v>
      </c>
      <c r="C189">
        <f>SUMIF(Данные!B:B,'задача 2'!A114,Данные!D:D)</f>
        <v>78765</v>
      </c>
      <c r="D189">
        <f>COUNTIF('задача 1'!E:E,'задача 2'!A128)</f>
        <v>4</v>
      </c>
    </row>
    <row r="190" spans="1:4" hidden="1" x14ac:dyDescent="0.25">
      <c r="A190" t="s">
        <v>136</v>
      </c>
      <c r="B190">
        <f>COUNTIF(Данные!B:B,'задача 2'!A91)</f>
        <v>10</v>
      </c>
      <c r="C190">
        <f>SUMIF(Данные!B:B,'задача 2'!A91,Данные!D:D)</f>
        <v>485082</v>
      </c>
      <c r="D190">
        <f>COUNTIF('задача 1'!E:E,'задача 2'!A14)</f>
        <v>5</v>
      </c>
    </row>
    <row r="191" spans="1:4" hidden="1" x14ac:dyDescent="0.25">
      <c r="A191" t="s">
        <v>157</v>
      </c>
      <c r="B191">
        <f>COUNTIF(Данные!B:B,'задача 2'!A104)</f>
        <v>3</v>
      </c>
      <c r="C191">
        <f>SUMIF(Данные!B:B,'задача 2'!A104,Данные!D:D)</f>
        <v>173996</v>
      </c>
      <c r="D191">
        <f>COUNTIF('задача 1'!E:E,'задача 2'!A72)</f>
        <v>4</v>
      </c>
    </row>
    <row r="192" spans="1:4" hidden="1" x14ac:dyDescent="0.25">
      <c r="A192" t="s">
        <v>193</v>
      </c>
      <c r="B192">
        <f>COUNTIF(Данные!B:B,'задача 2'!A125)</f>
        <v>3</v>
      </c>
      <c r="C192">
        <f>SUMIF(Данные!B:B,'задача 2'!A125,Данные!D:D)</f>
        <v>102971</v>
      </c>
      <c r="D192">
        <f>COUNTIF('задача 1'!E:E,'задача 2'!A161)</f>
        <v>6</v>
      </c>
    </row>
    <row r="193" spans="1:4" hidden="1" x14ac:dyDescent="0.25">
      <c r="A193" t="s">
        <v>107</v>
      </c>
      <c r="B193">
        <f>COUNTIF(Данные!B:B,'задача 2'!A70)</f>
        <v>3</v>
      </c>
      <c r="C193">
        <f>SUMIF(Данные!B:B,'задача 2'!A70,Данные!D:D)</f>
        <v>189526</v>
      </c>
      <c r="D193">
        <f>COUNTIF('задача 1'!E:E,'задача 2'!A6)</f>
        <v>2</v>
      </c>
    </row>
    <row r="194" spans="1:4" hidden="1" x14ac:dyDescent="0.25">
      <c r="A194" t="s">
        <v>31</v>
      </c>
      <c r="B194">
        <f>COUNTIF(Данные!B:B,'задача 2'!A15)</f>
        <v>5</v>
      </c>
      <c r="C194">
        <f>SUMIF(Данные!B:B,'задача 2'!A15,Данные!D:D)</f>
        <v>234553</v>
      </c>
      <c r="D194">
        <f>COUNTIF('задача 1'!E:E,'задача 2'!A173)</f>
        <v>5</v>
      </c>
    </row>
    <row r="195" spans="1:4" hidden="1" x14ac:dyDescent="0.25">
      <c r="A195" t="s">
        <v>244</v>
      </c>
      <c r="B195">
        <f>COUNTIF(Данные!B:B,'задача 2'!A151)</f>
        <v>5</v>
      </c>
      <c r="C195">
        <f>SUMIF(Данные!B:B,'задача 2'!A151,Данные!D:D)</f>
        <v>266861</v>
      </c>
      <c r="D195">
        <f>COUNTIF('задача 1'!E:E,'задача 2'!A163)</f>
        <v>6</v>
      </c>
    </row>
    <row r="196" spans="1:4" hidden="1" x14ac:dyDescent="0.25">
      <c r="A196" t="s">
        <v>292</v>
      </c>
      <c r="B196">
        <f>COUNTIF(Данные!B:B,'задача 2'!A170)</f>
        <v>8</v>
      </c>
      <c r="C196">
        <f>SUMIF(Данные!B:B,'задача 2'!A170,Данные!D:D)</f>
        <v>428509</v>
      </c>
      <c r="D196">
        <f>COUNTIF('задача 1'!E:E,'задача 2'!A112)</f>
        <v>7</v>
      </c>
    </row>
  </sheetData>
  <autoFilter ref="A1:D196" xr:uid="{0D3A32FC-EB7B-4224-8690-257683D35357}">
    <filterColumn colId="3">
      <filters>
        <filter val="1"/>
      </filters>
    </filterColumn>
  </autoFilter>
  <sortState xmlns:xlrd2="http://schemas.microsoft.com/office/spreadsheetml/2017/richdata2" ref="A2:D1001">
    <sortCondition ref="A1:A1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198D-C857-45DE-9046-252DDA5CD7F8}">
  <dimension ref="A1:O1001"/>
  <sheetViews>
    <sheetView topLeftCell="K1" workbookViewId="0">
      <selection activeCell="Q15" sqref="Q15"/>
    </sheetView>
  </sheetViews>
  <sheetFormatPr defaultRowHeight="15" x14ac:dyDescent="0.25"/>
  <cols>
    <col min="1" max="1" width="35.42578125" bestFit="1" customWidth="1"/>
    <col min="2" max="2" width="12.28515625" bestFit="1" customWidth="1"/>
    <col min="5" max="5" width="10.28515625" bestFit="1" customWidth="1"/>
    <col min="11" max="11" width="35.42578125" bestFit="1" customWidth="1"/>
    <col min="12" max="12" width="10.28515625" bestFit="1" customWidth="1"/>
    <col min="14" max="14" width="35.42578125" bestFit="1" customWidth="1"/>
    <col min="15" max="15" width="15.42578125" bestFit="1" customWidth="1"/>
  </cols>
  <sheetData>
    <row r="1" spans="1:15" x14ac:dyDescent="0.25">
      <c r="A1" s="1" t="s">
        <v>1</v>
      </c>
      <c r="B1" s="1" t="s">
        <v>2</v>
      </c>
      <c r="C1" t="s">
        <v>515</v>
      </c>
      <c r="D1" t="s">
        <v>516</v>
      </c>
      <c r="E1" t="s">
        <v>517</v>
      </c>
      <c r="K1" s="1" t="s">
        <v>1</v>
      </c>
      <c r="L1" t="s">
        <v>517</v>
      </c>
      <c r="N1" s="1" t="s">
        <v>1</v>
      </c>
      <c r="O1" t="s">
        <v>518</v>
      </c>
    </row>
    <row r="2" spans="1:15" x14ac:dyDescent="0.25">
      <c r="A2" t="s">
        <v>6</v>
      </c>
      <c r="B2" t="s">
        <v>7</v>
      </c>
      <c r="C2">
        <f>YEAR(B2)</f>
        <v>2023</v>
      </c>
      <c r="D2">
        <f>MONTH(B2)</f>
        <v>9</v>
      </c>
      <c r="E2" t="str">
        <f>C2&amp;"-"&amp;D2</f>
        <v>2023-9</v>
      </c>
      <c r="K2" t="s">
        <v>322</v>
      </c>
      <c r="L2" t="s">
        <v>495</v>
      </c>
      <c r="N2" t="s">
        <v>66</v>
      </c>
      <c r="O2">
        <f>COUNTIF(K:K,N2)</f>
        <v>11</v>
      </c>
    </row>
    <row r="3" spans="1:15" x14ac:dyDescent="0.25">
      <c r="A3" t="s">
        <v>9</v>
      </c>
      <c r="B3" t="s">
        <v>7</v>
      </c>
      <c r="C3">
        <f t="shared" ref="C3:C66" si="0">YEAR(B3)</f>
        <v>2023</v>
      </c>
      <c r="D3">
        <f t="shared" ref="D3:D66" si="1">MONTH(B3)</f>
        <v>9</v>
      </c>
      <c r="E3" t="str">
        <f t="shared" ref="E3:E66" si="2">C3&amp;"-"&amp;D3</f>
        <v>2023-9</v>
      </c>
      <c r="K3" t="s">
        <v>317</v>
      </c>
      <c r="L3" t="s">
        <v>495</v>
      </c>
      <c r="N3" t="s">
        <v>47</v>
      </c>
      <c r="O3">
        <f>COUNTIF(K:K,N3)</f>
        <v>9</v>
      </c>
    </row>
    <row r="4" spans="1:15" x14ac:dyDescent="0.25">
      <c r="A4" t="s">
        <v>11</v>
      </c>
      <c r="B4" t="s">
        <v>7</v>
      </c>
      <c r="C4">
        <f t="shared" si="0"/>
        <v>2023</v>
      </c>
      <c r="D4">
        <f t="shared" si="1"/>
        <v>9</v>
      </c>
      <c r="E4" t="str">
        <f t="shared" si="2"/>
        <v>2023-9</v>
      </c>
      <c r="K4" t="s">
        <v>317</v>
      </c>
      <c r="L4" t="s">
        <v>496</v>
      </c>
      <c r="N4" t="s">
        <v>129</v>
      </c>
      <c r="O4">
        <f>COUNTIF(K:K,N4)</f>
        <v>8</v>
      </c>
    </row>
    <row r="5" spans="1:15" x14ac:dyDescent="0.25">
      <c r="A5" t="s">
        <v>13</v>
      </c>
      <c r="B5" t="s">
        <v>14</v>
      </c>
      <c r="C5">
        <f t="shared" si="0"/>
        <v>2023</v>
      </c>
      <c r="D5">
        <f t="shared" si="1"/>
        <v>9</v>
      </c>
      <c r="E5" t="str">
        <f t="shared" si="2"/>
        <v>2023-9</v>
      </c>
      <c r="K5" t="s">
        <v>438</v>
      </c>
      <c r="L5" t="s">
        <v>500</v>
      </c>
      <c r="N5" t="s">
        <v>138</v>
      </c>
      <c r="O5">
        <f>COUNTIF(K:K,N5)</f>
        <v>8</v>
      </c>
    </row>
    <row r="6" spans="1:15" x14ac:dyDescent="0.25">
      <c r="A6" t="s">
        <v>16</v>
      </c>
      <c r="B6" t="s">
        <v>14</v>
      </c>
      <c r="C6">
        <f t="shared" si="0"/>
        <v>2023</v>
      </c>
      <c r="D6">
        <f t="shared" si="1"/>
        <v>9</v>
      </c>
      <c r="E6" t="str">
        <f t="shared" si="2"/>
        <v>2023-9</v>
      </c>
      <c r="K6" t="s">
        <v>92</v>
      </c>
      <c r="L6" t="s">
        <v>489</v>
      </c>
      <c r="N6" t="s">
        <v>87</v>
      </c>
      <c r="O6">
        <f>COUNTIF(K:K,N6)</f>
        <v>8</v>
      </c>
    </row>
    <row r="7" spans="1:15" x14ac:dyDescent="0.25">
      <c r="A7" t="s">
        <v>18</v>
      </c>
      <c r="B7" t="s">
        <v>14</v>
      </c>
      <c r="C7">
        <f t="shared" si="0"/>
        <v>2023</v>
      </c>
      <c r="D7">
        <f t="shared" si="1"/>
        <v>9</v>
      </c>
      <c r="E7" t="str">
        <f t="shared" si="2"/>
        <v>2023-9</v>
      </c>
      <c r="K7" t="s">
        <v>92</v>
      </c>
      <c r="L7" t="s">
        <v>498</v>
      </c>
      <c r="N7" t="s">
        <v>108</v>
      </c>
      <c r="O7">
        <f>COUNTIF(K:K,N7)</f>
        <v>8</v>
      </c>
    </row>
    <row r="8" spans="1:15" x14ac:dyDescent="0.25">
      <c r="A8" t="s">
        <v>19</v>
      </c>
      <c r="B8" t="s">
        <v>14</v>
      </c>
      <c r="C8">
        <f t="shared" si="0"/>
        <v>2023</v>
      </c>
      <c r="D8">
        <f t="shared" si="1"/>
        <v>9</v>
      </c>
      <c r="E8" t="str">
        <f t="shared" si="2"/>
        <v>2023-9</v>
      </c>
      <c r="K8" t="s">
        <v>168</v>
      </c>
      <c r="L8" t="s">
        <v>491</v>
      </c>
      <c r="N8" t="s">
        <v>107</v>
      </c>
      <c r="O8">
        <f>COUNTIF(K:K,N8)</f>
        <v>8</v>
      </c>
    </row>
    <row r="9" spans="1:15" x14ac:dyDescent="0.25">
      <c r="A9" t="s">
        <v>20</v>
      </c>
      <c r="B9" t="s">
        <v>21</v>
      </c>
      <c r="C9">
        <f t="shared" si="0"/>
        <v>2023</v>
      </c>
      <c r="D9">
        <f t="shared" si="1"/>
        <v>9</v>
      </c>
      <c r="E9" t="str">
        <f t="shared" si="2"/>
        <v>2023-9</v>
      </c>
      <c r="K9" t="s">
        <v>168</v>
      </c>
      <c r="L9" t="s">
        <v>497</v>
      </c>
      <c r="N9" t="s">
        <v>64</v>
      </c>
      <c r="O9">
        <f>COUNTIF(K:K,N9)</f>
        <v>7</v>
      </c>
    </row>
    <row r="10" spans="1:15" x14ac:dyDescent="0.25">
      <c r="A10" t="s">
        <v>22</v>
      </c>
      <c r="B10" t="s">
        <v>21</v>
      </c>
      <c r="C10">
        <f t="shared" si="0"/>
        <v>2023</v>
      </c>
      <c r="D10">
        <f t="shared" si="1"/>
        <v>9</v>
      </c>
      <c r="E10" t="str">
        <f t="shared" si="2"/>
        <v>2023-9</v>
      </c>
      <c r="K10" t="s">
        <v>89</v>
      </c>
      <c r="L10" t="s">
        <v>489</v>
      </c>
      <c r="N10" t="s">
        <v>195</v>
      </c>
      <c r="O10">
        <f>COUNTIF(K:K,N10)</f>
        <v>7</v>
      </c>
    </row>
    <row r="11" spans="1:15" x14ac:dyDescent="0.25">
      <c r="A11" t="s">
        <v>24</v>
      </c>
      <c r="B11" t="s">
        <v>21</v>
      </c>
      <c r="C11">
        <f t="shared" si="0"/>
        <v>2023</v>
      </c>
      <c r="D11">
        <f t="shared" si="1"/>
        <v>9</v>
      </c>
      <c r="E11" t="str">
        <f t="shared" si="2"/>
        <v>2023-9</v>
      </c>
      <c r="K11" t="s">
        <v>89</v>
      </c>
      <c r="L11" t="s">
        <v>490</v>
      </c>
      <c r="N11" t="s">
        <v>116</v>
      </c>
      <c r="O11">
        <f>COUNTIF(K:K,N11)</f>
        <v>7</v>
      </c>
    </row>
    <row r="12" spans="1:15" x14ac:dyDescent="0.25">
      <c r="A12" t="s">
        <v>25</v>
      </c>
      <c r="B12" t="s">
        <v>26</v>
      </c>
      <c r="C12">
        <f t="shared" si="0"/>
        <v>2023</v>
      </c>
      <c r="D12">
        <f t="shared" si="1"/>
        <v>9</v>
      </c>
      <c r="E12" t="str">
        <f t="shared" si="2"/>
        <v>2023-9</v>
      </c>
      <c r="K12" t="s">
        <v>89</v>
      </c>
      <c r="L12" t="s">
        <v>492</v>
      </c>
      <c r="N12" t="s">
        <v>115</v>
      </c>
      <c r="O12">
        <f>COUNTIF(K:K,N12)</f>
        <v>7</v>
      </c>
    </row>
    <row r="13" spans="1:15" x14ac:dyDescent="0.25">
      <c r="A13" t="s">
        <v>28</v>
      </c>
      <c r="B13" t="s">
        <v>26</v>
      </c>
      <c r="C13">
        <f t="shared" si="0"/>
        <v>2023</v>
      </c>
      <c r="D13">
        <f t="shared" si="1"/>
        <v>9</v>
      </c>
      <c r="E13" t="str">
        <f t="shared" si="2"/>
        <v>2023-9</v>
      </c>
      <c r="K13" t="s">
        <v>89</v>
      </c>
      <c r="L13" t="s">
        <v>500</v>
      </c>
      <c r="N13" t="s">
        <v>131</v>
      </c>
      <c r="O13">
        <f>COUNTIF(K:K,N13)</f>
        <v>7</v>
      </c>
    </row>
    <row r="14" spans="1:15" x14ac:dyDescent="0.25">
      <c r="A14" t="s">
        <v>29</v>
      </c>
      <c r="B14" t="s">
        <v>30</v>
      </c>
      <c r="C14">
        <f t="shared" si="0"/>
        <v>2023</v>
      </c>
      <c r="D14">
        <f t="shared" si="1"/>
        <v>9</v>
      </c>
      <c r="E14" t="str">
        <f t="shared" si="2"/>
        <v>2023-9</v>
      </c>
      <c r="K14" t="s">
        <v>64</v>
      </c>
      <c r="L14" t="s">
        <v>489</v>
      </c>
      <c r="N14" t="s">
        <v>86</v>
      </c>
      <c r="O14">
        <f>COUNTIF(K:K,N14)</f>
        <v>7</v>
      </c>
    </row>
    <row r="15" spans="1:15" x14ac:dyDescent="0.25">
      <c r="A15" t="s">
        <v>31</v>
      </c>
      <c r="B15" t="s">
        <v>30</v>
      </c>
      <c r="C15">
        <f t="shared" si="0"/>
        <v>2023</v>
      </c>
      <c r="D15">
        <f t="shared" si="1"/>
        <v>9</v>
      </c>
      <c r="E15" t="str">
        <f t="shared" si="2"/>
        <v>2023-9</v>
      </c>
      <c r="K15" t="s">
        <v>64</v>
      </c>
      <c r="L15" t="s">
        <v>490</v>
      </c>
      <c r="N15" t="s">
        <v>38</v>
      </c>
      <c r="O15">
        <f>COUNTIF(K:K,N15)</f>
        <v>7</v>
      </c>
    </row>
    <row r="16" spans="1:15" x14ac:dyDescent="0.25">
      <c r="A16" t="s">
        <v>32</v>
      </c>
      <c r="B16" t="s">
        <v>33</v>
      </c>
      <c r="C16">
        <f t="shared" si="0"/>
        <v>2023</v>
      </c>
      <c r="D16">
        <f t="shared" si="1"/>
        <v>9</v>
      </c>
      <c r="E16" t="str">
        <f t="shared" si="2"/>
        <v>2023-9</v>
      </c>
      <c r="K16" t="s">
        <v>64</v>
      </c>
      <c r="L16" t="s">
        <v>493</v>
      </c>
      <c r="N16" t="s">
        <v>235</v>
      </c>
      <c r="O16">
        <f>COUNTIF(K:K,N16)</f>
        <v>7</v>
      </c>
    </row>
    <row r="17" spans="1:15" x14ac:dyDescent="0.25">
      <c r="A17" t="s">
        <v>34</v>
      </c>
      <c r="B17" t="s">
        <v>33</v>
      </c>
      <c r="C17">
        <f t="shared" si="0"/>
        <v>2023</v>
      </c>
      <c r="D17">
        <f t="shared" si="1"/>
        <v>9</v>
      </c>
      <c r="E17" t="str">
        <f t="shared" si="2"/>
        <v>2023-9</v>
      </c>
      <c r="K17" t="s">
        <v>64</v>
      </c>
      <c r="L17" t="s">
        <v>494</v>
      </c>
      <c r="N17" t="s">
        <v>79</v>
      </c>
      <c r="O17">
        <f>COUNTIF(K:K,N17)</f>
        <v>7</v>
      </c>
    </row>
    <row r="18" spans="1:15" x14ac:dyDescent="0.25">
      <c r="A18" t="s">
        <v>35</v>
      </c>
      <c r="B18" t="s">
        <v>33</v>
      </c>
      <c r="C18">
        <f t="shared" si="0"/>
        <v>2023</v>
      </c>
      <c r="D18">
        <f t="shared" si="1"/>
        <v>9</v>
      </c>
      <c r="E18" t="str">
        <f t="shared" si="2"/>
        <v>2023-9</v>
      </c>
      <c r="K18" t="s">
        <v>64</v>
      </c>
      <c r="L18" t="s">
        <v>496</v>
      </c>
      <c r="N18" t="s">
        <v>207</v>
      </c>
      <c r="O18">
        <f>COUNTIF(K:K,N18)</f>
        <v>7</v>
      </c>
    </row>
    <row r="19" spans="1:15" x14ac:dyDescent="0.25">
      <c r="A19" t="s">
        <v>37</v>
      </c>
      <c r="B19" t="s">
        <v>33</v>
      </c>
      <c r="C19">
        <f t="shared" si="0"/>
        <v>2023</v>
      </c>
      <c r="D19">
        <f t="shared" si="1"/>
        <v>9</v>
      </c>
      <c r="E19" t="str">
        <f t="shared" si="2"/>
        <v>2023-9</v>
      </c>
      <c r="K19" t="s">
        <v>64</v>
      </c>
      <c r="L19" t="s">
        <v>497</v>
      </c>
      <c r="N19" t="s">
        <v>59</v>
      </c>
      <c r="O19">
        <f>COUNTIF(K:K,N19)</f>
        <v>7</v>
      </c>
    </row>
    <row r="20" spans="1:15" x14ac:dyDescent="0.25">
      <c r="A20" t="s">
        <v>38</v>
      </c>
      <c r="B20" t="s">
        <v>33</v>
      </c>
      <c r="C20">
        <f t="shared" si="0"/>
        <v>2023</v>
      </c>
      <c r="D20">
        <f t="shared" si="1"/>
        <v>9</v>
      </c>
      <c r="E20" t="str">
        <f t="shared" si="2"/>
        <v>2023-9</v>
      </c>
      <c r="K20" t="s">
        <v>64</v>
      </c>
      <c r="L20" t="s">
        <v>499</v>
      </c>
      <c r="N20" t="s">
        <v>101</v>
      </c>
      <c r="O20">
        <f>COUNTIF(K:K,N20)</f>
        <v>7</v>
      </c>
    </row>
    <row r="21" spans="1:15" x14ac:dyDescent="0.25">
      <c r="A21" t="s">
        <v>39</v>
      </c>
      <c r="B21" t="s">
        <v>33</v>
      </c>
      <c r="C21">
        <f t="shared" si="0"/>
        <v>2023</v>
      </c>
      <c r="D21">
        <f t="shared" si="1"/>
        <v>9</v>
      </c>
      <c r="E21" t="str">
        <f t="shared" si="2"/>
        <v>2023-9</v>
      </c>
      <c r="K21" t="s">
        <v>195</v>
      </c>
      <c r="L21" t="s">
        <v>491</v>
      </c>
      <c r="N21" t="s">
        <v>85</v>
      </c>
      <c r="O21">
        <f>COUNTIF(K:K,N21)</f>
        <v>7</v>
      </c>
    </row>
    <row r="22" spans="1:15" x14ac:dyDescent="0.25">
      <c r="A22" t="s">
        <v>40</v>
      </c>
      <c r="B22" t="s">
        <v>33</v>
      </c>
      <c r="C22">
        <f t="shared" si="0"/>
        <v>2023</v>
      </c>
      <c r="D22">
        <f t="shared" si="1"/>
        <v>9</v>
      </c>
      <c r="E22" t="str">
        <f t="shared" si="2"/>
        <v>2023-9</v>
      </c>
      <c r="K22" t="s">
        <v>195</v>
      </c>
      <c r="L22" t="s">
        <v>495</v>
      </c>
      <c r="N22" t="s">
        <v>60</v>
      </c>
      <c r="O22">
        <f>COUNTIF(K:K,N22)</f>
        <v>6</v>
      </c>
    </row>
    <row r="23" spans="1:15" x14ac:dyDescent="0.25">
      <c r="A23" t="s">
        <v>41</v>
      </c>
      <c r="B23" t="s">
        <v>42</v>
      </c>
      <c r="C23">
        <f t="shared" si="0"/>
        <v>2023</v>
      </c>
      <c r="D23">
        <f t="shared" si="1"/>
        <v>9</v>
      </c>
      <c r="E23" t="str">
        <f t="shared" si="2"/>
        <v>2023-9</v>
      </c>
      <c r="K23" t="s">
        <v>195</v>
      </c>
      <c r="L23" t="s">
        <v>497</v>
      </c>
      <c r="N23" t="s">
        <v>243</v>
      </c>
      <c r="O23">
        <f>COUNTIF(K:K,N23)</f>
        <v>6</v>
      </c>
    </row>
    <row r="24" spans="1:15" x14ac:dyDescent="0.25">
      <c r="A24" t="s">
        <v>43</v>
      </c>
      <c r="B24" t="s">
        <v>42</v>
      </c>
      <c r="C24">
        <f t="shared" si="0"/>
        <v>2023</v>
      </c>
      <c r="D24">
        <f t="shared" si="1"/>
        <v>9</v>
      </c>
      <c r="E24" t="str">
        <f t="shared" si="2"/>
        <v>2023-9</v>
      </c>
      <c r="K24" t="s">
        <v>195</v>
      </c>
      <c r="L24" t="s">
        <v>498</v>
      </c>
      <c r="N24" t="s">
        <v>75</v>
      </c>
      <c r="O24">
        <f>COUNTIF(K:K,N24)</f>
        <v>6</v>
      </c>
    </row>
    <row r="25" spans="1:15" x14ac:dyDescent="0.25">
      <c r="A25" t="s">
        <v>44</v>
      </c>
      <c r="B25" t="s">
        <v>42</v>
      </c>
      <c r="C25">
        <f t="shared" si="0"/>
        <v>2023</v>
      </c>
      <c r="D25">
        <f t="shared" si="1"/>
        <v>9</v>
      </c>
      <c r="E25" t="str">
        <f t="shared" si="2"/>
        <v>2023-9</v>
      </c>
      <c r="K25" t="s">
        <v>195</v>
      </c>
      <c r="L25" t="s">
        <v>499</v>
      </c>
      <c r="N25" t="s">
        <v>55</v>
      </c>
      <c r="O25">
        <f>COUNTIF(K:K,N25)</f>
        <v>6</v>
      </c>
    </row>
    <row r="26" spans="1:15" x14ac:dyDescent="0.25">
      <c r="A26" t="s">
        <v>45</v>
      </c>
      <c r="B26" t="s">
        <v>42</v>
      </c>
      <c r="C26">
        <f t="shared" si="0"/>
        <v>2023</v>
      </c>
      <c r="D26">
        <f t="shared" si="1"/>
        <v>9</v>
      </c>
      <c r="E26" t="str">
        <f t="shared" si="2"/>
        <v>2023-9</v>
      </c>
      <c r="K26" t="s">
        <v>195</v>
      </c>
      <c r="L26" t="s">
        <v>500</v>
      </c>
      <c r="N26" t="s">
        <v>264</v>
      </c>
      <c r="O26">
        <f>COUNTIF(K:K,N26)</f>
        <v>6</v>
      </c>
    </row>
    <row r="27" spans="1:15" x14ac:dyDescent="0.25">
      <c r="A27" t="s">
        <v>47</v>
      </c>
      <c r="B27" t="s">
        <v>42</v>
      </c>
      <c r="C27">
        <f t="shared" si="0"/>
        <v>2023</v>
      </c>
      <c r="D27">
        <f t="shared" si="1"/>
        <v>9</v>
      </c>
      <c r="E27" t="str">
        <f t="shared" si="2"/>
        <v>2023-9</v>
      </c>
      <c r="K27" t="s">
        <v>195</v>
      </c>
      <c r="L27" t="s">
        <v>501</v>
      </c>
      <c r="N27" t="s">
        <v>281</v>
      </c>
      <c r="O27">
        <f>COUNTIF(K:K,N27)</f>
        <v>6</v>
      </c>
    </row>
    <row r="28" spans="1:15" x14ac:dyDescent="0.25">
      <c r="A28" t="s">
        <v>41</v>
      </c>
      <c r="B28" t="s">
        <v>49</v>
      </c>
      <c r="C28">
        <f t="shared" si="0"/>
        <v>2023</v>
      </c>
      <c r="D28">
        <f t="shared" si="1"/>
        <v>9</v>
      </c>
      <c r="E28" t="str">
        <f t="shared" si="2"/>
        <v>2023-9</v>
      </c>
      <c r="K28" t="s">
        <v>126</v>
      </c>
      <c r="L28" t="s">
        <v>490</v>
      </c>
      <c r="N28" t="s">
        <v>63</v>
      </c>
      <c r="O28">
        <f>COUNTIF(K:K,N28)</f>
        <v>6</v>
      </c>
    </row>
    <row r="29" spans="1:15" x14ac:dyDescent="0.25">
      <c r="A29" t="s">
        <v>44</v>
      </c>
      <c r="B29" t="s">
        <v>50</v>
      </c>
      <c r="C29">
        <f t="shared" si="0"/>
        <v>2023</v>
      </c>
      <c r="D29">
        <f t="shared" si="1"/>
        <v>9</v>
      </c>
      <c r="E29" t="str">
        <f t="shared" si="2"/>
        <v>2023-9</v>
      </c>
      <c r="K29" t="s">
        <v>126</v>
      </c>
      <c r="L29" t="s">
        <v>492</v>
      </c>
      <c r="N29" t="s">
        <v>248</v>
      </c>
      <c r="O29">
        <f>COUNTIF(K:K,N29)</f>
        <v>6</v>
      </c>
    </row>
    <row r="30" spans="1:15" x14ac:dyDescent="0.25">
      <c r="A30" t="s">
        <v>51</v>
      </c>
      <c r="B30" t="s">
        <v>50</v>
      </c>
      <c r="C30">
        <f t="shared" si="0"/>
        <v>2023</v>
      </c>
      <c r="D30">
        <f t="shared" si="1"/>
        <v>9</v>
      </c>
      <c r="E30" t="str">
        <f t="shared" si="2"/>
        <v>2023-9</v>
      </c>
      <c r="K30" t="s">
        <v>126</v>
      </c>
      <c r="L30" t="s">
        <v>499</v>
      </c>
      <c r="N30" t="s">
        <v>71</v>
      </c>
      <c r="O30">
        <f>COUNTIF(K:K,N30)</f>
        <v>6</v>
      </c>
    </row>
    <row r="31" spans="1:15" x14ac:dyDescent="0.25">
      <c r="A31" t="s">
        <v>53</v>
      </c>
      <c r="B31" t="s">
        <v>54</v>
      </c>
      <c r="C31">
        <f t="shared" si="0"/>
        <v>2023</v>
      </c>
      <c r="D31">
        <f t="shared" si="1"/>
        <v>9</v>
      </c>
      <c r="E31" t="str">
        <f t="shared" si="2"/>
        <v>2023-9</v>
      </c>
      <c r="K31" t="s">
        <v>184</v>
      </c>
      <c r="L31" t="s">
        <v>491</v>
      </c>
      <c r="N31" t="s">
        <v>6</v>
      </c>
      <c r="O31">
        <f>COUNTIF(K:K,N31)</f>
        <v>6</v>
      </c>
    </row>
    <row r="32" spans="1:15" x14ac:dyDescent="0.25">
      <c r="A32" t="s">
        <v>55</v>
      </c>
      <c r="B32" t="s">
        <v>54</v>
      </c>
      <c r="C32">
        <f t="shared" si="0"/>
        <v>2023</v>
      </c>
      <c r="D32">
        <f t="shared" si="1"/>
        <v>9</v>
      </c>
      <c r="E32" t="str">
        <f t="shared" si="2"/>
        <v>2023-9</v>
      </c>
      <c r="K32" t="s">
        <v>184</v>
      </c>
      <c r="L32" t="s">
        <v>493</v>
      </c>
      <c r="N32" t="s">
        <v>53</v>
      </c>
      <c r="O32">
        <f>COUNTIF(K:K,N32)</f>
        <v>6</v>
      </c>
    </row>
    <row r="33" spans="1:15" x14ac:dyDescent="0.25">
      <c r="A33" t="s">
        <v>56</v>
      </c>
      <c r="B33" t="s">
        <v>54</v>
      </c>
      <c r="C33">
        <f t="shared" si="0"/>
        <v>2023</v>
      </c>
      <c r="D33">
        <f t="shared" si="1"/>
        <v>9</v>
      </c>
      <c r="E33" t="str">
        <f t="shared" si="2"/>
        <v>2023-9</v>
      </c>
      <c r="K33" t="s">
        <v>184</v>
      </c>
      <c r="L33" t="s">
        <v>496</v>
      </c>
      <c r="N33" t="s">
        <v>191</v>
      </c>
      <c r="O33">
        <f>COUNTIF(K:K,N33)</f>
        <v>6</v>
      </c>
    </row>
    <row r="34" spans="1:15" x14ac:dyDescent="0.25">
      <c r="A34" t="s">
        <v>57</v>
      </c>
      <c r="B34" t="s">
        <v>58</v>
      </c>
      <c r="C34">
        <f t="shared" si="0"/>
        <v>2023</v>
      </c>
      <c r="D34">
        <f t="shared" si="1"/>
        <v>9</v>
      </c>
      <c r="E34" t="str">
        <f t="shared" si="2"/>
        <v>2023-9</v>
      </c>
      <c r="K34" t="s">
        <v>184</v>
      </c>
      <c r="L34" t="s">
        <v>499</v>
      </c>
      <c r="N34" t="s">
        <v>57</v>
      </c>
      <c r="O34">
        <f>COUNTIF(K:K,N34)</f>
        <v>6</v>
      </c>
    </row>
    <row r="35" spans="1:15" x14ac:dyDescent="0.25">
      <c r="A35" t="s">
        <v>59</v>
      </c>
      <c r="B35" t="s">
        <v>58</v>
      </c>
      <c r="C35">
        <f t="shared" si="0"/>
        <v>2023</v>
      </c>
      <c r="D35">
        <f t="shared" si="1"/>
        <v>9</v>
      </c>
      <c r="E35" t="str">
        <f t="shared" si="2"/>
        <v>2023-9</v>
      </c>
      <c r="K35" t="s">
        <v>60</v>
      </c>
      <c r="L35" t="s">
        <v>489</v>
      </c>
      <c r="N35" t="s">
        <v>151</v>
      </c>
      <c r="O35">
        <f>COUNTIF(K:K,N35)</f>
        <v>6</v>
      </c>
    </row>
    <row r="36" spans="1:15" x14ac:dyDescent="0.25">
      <c r="A36" t="s">
        <v>60</v>
      </c>
      <c r="B36" t="s">
        <v>58</v>
      </c>
      <c r="C36">
        <f t="shared" si="0"/>
        <v>2023</v>
      </c>
      <c r="D36">
        <f t="shared" si="1"/>
        <v>9</v>
      </c>
      <c r="E36" t="str">
        <f t="shared" si="2"/>
        <v>2023-9</v>
      </c>
      <c r="K36" t="s">
        <v>60</v>
      </c>
      <c r="L36" t="s">
        <v>491</v>
      </c>
      <c r="N36" t="s">
        <v>98</v>
      </c>
      <c r="O36">
        <f>COUNTIF(K:K,N36)</f>
        <v>6</v>
      </c>
    </row>
    <row r="37" spans="1:15" x14ac:dyDescent="0.25">
      <c r="A37" t="s">
        <v>61</v>
      </c>
      <c r="B37" t="s">
        <v>58</v>
      </c>
      <c r="C37">
        <f t="shared" si="0"/>
        <v>2023</v>
      </c>
      <c r="D37">
        <f t="shared" si="1"/>
        <v>9</v>
      </c>
      <c r="E37" t="str">
        <f t="shared" si="2"/>
        <v>2023-9</v>
      </c>
      <c r="K37" t="s">
        <v>60</v>
      </c>
      <c r="L37" t="s">
        <v>494</v>
      </c>
      <c r="N37" t="s">
        <v>70</v>
      </c>
      <c r="O37">
        <f>COUNTIF(K:K,N37)</f>
        <v>6</v>
      </c>
    </row>
    <row r="38" spans="1:15" x14ac:dyDescent="0.25">
      <c r="A38" t="s">
        <v>62</v>
      </c>
      <c r="B38" t="s">
        <v>58</v>
      </c>
      <c r="C38">
        <f t="shared" si="0"/>
        <v>2023</v>
      </c>
      <c r="D38">
        <f t="shared" si="1"/>
        <v>9</v>
      </c>
      <c r="E38" t="str">
        <f t="shared" si="2"/>
        <v>2023-9</v>
      </c>
      <c r="K38" t="s">
        <v>60</v>
      </c>
      <c r="L38" t="s">
        <v>495</v>
      </c>
      <c r="N38" t="s">
        <v>105</v>
      </c>
      <c r="O38">
        <f>COUNTIF(K:K,N38)</f>
        <v>6</v>
      </c>
    </row>
    <row r="39" spans="1:15" x14ac:dyDescent="0.25">
      <c r="A39" t="s">
        <v>63</v>
      </c>
      <c r="B39" t="s">
        <v>58</v>
      </c>
      <c r="C39">
        <f t="shared" si="0"/>
        <v>2023</v>
      </c>
      <c r="D39">
        <f t="shared" si="1"/>
        <v>9</v>
      </c>
      <c r="E39" t="str">
        <f t="shared" si="2"/>
        <v>2023-9</v>
      </c>
      <c r="K39" t="s">
        <v>60</v>
      </c>
      <c r="L39" t="s">
        <v>497</v>
      </c>
      <c r="N39" t="s">
        <v>73</v>
      </c>
      <c r="O39">
        <f>COUNTIF(K:K,N39)</f>
        <v>6</v>
      </c>
    </row>
    <row r="40" spans="1:15" x14ac:dyDescent="0.25">
      <c r="A40" t="s">
        <v>64</v>
      </c>
      <c r="B40" t="s">
        <v>65</v>
      </c>
      <c r="C40">
        <f t="shared" si="0"/>
        <v>2023</v>
      </c>
      <c r="D40">
        <f t="shared" si="1"/>
        <v>9</v>
      </c>
      <c r="E40" t="str">
        <f t="shared" si="2"/>
        <v>2023-9</v>
      </c>
      <c r="K40" t="s">
        <v>60</v>
      </c>
      <c r="L40" t="s">
        <v>498</v>
      </c>
      <c r="N40" t="s">
        <v>270</v>
      </c>
      <c r="O40">
        <f>COUNTIF(K:K,N40)</f>
        <v>6</v>
      </c>
    </row>
    <row r="41" spans="1:15" x14ac:dyDescent="0.25">
      <c r="A41" t="s">
        <v>66</v>
      </c>
      <c r="B41" t="s">
        <v>65</v>
      </c>
      <c r="C41">
        <f t="shared" si="0"/>
        <v>2023</v>
      </c>
      <c r="D41">
        <f t="shared" si="1"/>
        <v>9</v>
      </c>
      <c r="E41" t="str">
        <f t="shared" si="2"/>
        <v>2023-9</v>
      </c>
      <c r="K41" t="s">
        <v>180</v>
      </c>
      <c r="L41" t="s">
        <v>491</v>
      </c>
      <c r="N41" t="s">
        <v>20</v>
      </c>
      <c r="O41">
        <f>COUNTIF(K:K,N41)</f>
        <v>6</v>
      </c>
    </row>
    <row r="42" spans="1:15" x14ac:dyDescent="0.25">
      <c r="A42" t="s">
        <v>67</v>
      </c>
      <c r="B42" t="s">
        <v>65</v>
      </c>
      <c r="C42">
        <f t="shared" si="0"/>
        <v>2023</v>
      </c>
      <c r="D42">
        <f t="shared" si="1"/>
        <v>9</v>
      </c>
      <c r="E42" t="str">
        <f t="shared" si="2"/>
        <v>2023-9</v>
      </c>
      <c r="K42" t="s">
        <v>180</v>
      </c>
      <c r="L42" t="s">
        <v>492</v>
      </c>
      <c r="N42" t="s">
        <v>206</v>
      </c>
      <c r="O42">
        <f>COUNTIF(K:K,N42)</f>
        <v>6</v>
      </c>
    </row>
    <row r="43" spans="1:15" x14ac:dyDescent="0.25">
      <c r="A43" t="s">
        <v>68</v>
      </c>
      <c r="B43" t="s">
        <v>65</v>
      </c>
      <c r="C43">
        <f t="shared" si="0"/>
        <v>2023</v>
      </c>
      <c r="D43">
        <f t="shared" si="1"/>
        <v>9</v>
      </c>
      <c r="E43" t="str">
        <f t="shared" si="2"/>
        <v>2023-9</v>
      </c>
      <c r="K43" t="s">
        <v>180</v>
      </c>
      <c r="L43" t="s">
        <v>495</v>
      </c>
      <c r="N43" t="s">
        <v>68</v>
      </c>
      <c r="O43">
        <f>COUNTIF(K:K,N43)</f>
        <v>6</v>
      </c>
    </row>
    <row r="44" spans="1:15" x14ac:dyDescent="0.25">
      <c r="A44" t="s">
        <v>37</v>
      </c>
      <c r="B44" t="s">
        <v>65</v>
      </c>
      <c r="C44">
        <f t="shared" si="0"/>
        <v>2023</v>
      </c>
      <c r="D44">
        <f t="shared" si="1"/>
        <v>9</v>
      </c>
      <c r="E44" t="str">
        <f t="shared" si="2"/>
        <v>2023-9</v>
      </c>
      <c r="K44" t="s">
        <v>180</v>
      </c>
      <c r="L44" t="s">
        <v>496</v>
      </c>
      <c r="N44" t="s">
        <v>136</v>
      </c>
      <c r="O44">
        <f>COUNTIF(K:K,N44)</f>
        <v>6</v>
      </c>
    </row>
    <row r="45" spans="1:15" x14ac:dyDescent="0.25">
      <c r="A45" t="s">
        <v>69</v>
      </c>
      <c r="B45" t="s">
        <v>65</v>
      </c>
      <c r="C45">
        <f t="shared" si="0"/>
        <v>2023</v>
      </c>
      <c r="D45">
        <f t="shared" si="1"/>
        <v>9</v>
      </c>
      <c r="E45" t="str">
        <f t="shared" si="2"/>
        <v>2023-9</v>
      </c>
      <c r="K45" t="s">
        <v>180</v>
      </c>
      <c r="L45" t="s">
        <v>497</v>
      </c>
      <c r="N45" t="s">
        <v>180</v>
      </c>
      <c r="O45">
        <f>COUNTIF(K:K,N45)</f>
        <v>5</v>
      </c>
    </row>
    <row r="46" spans="1:15" x14ac:dyDescent="0.25">
      <c r="A46" t="s">
        <v>70</v>
      </c>
      <c r="B46" t="s">
        <v>65</v>
      </c>
      <c r="C46">
        <f t="shared" si="0"/>
        <v>2023</v>
      </c>
      <c r="D46">
        <f t="shared" si="1"/>
        <v>9</v>
      </c>
      <c r="E46" t="str">
        <f t="shared" si="2"/>
        <v>2023-9</v>
      </c>
      <c r="K46" t="s">
        <v>158</v>
      </c>
      <c r="L46" t="s">
        <v>490</v>
      </c>
      <c r="N46" t="s">
        <v>158</v>
      </c>
      <c r="O46">
        <f>COUNTIF(K:K,N46)</f>
        <v>5</v>
      </c>
    </row>
    <row r="47" spans="1:15" x14ac:dyDescent="0.25">
      <c r="A47" t="s">
        <v>71</v>
      </c>
      <c r="B47" t="s">
        <v>72</v>
      </c>
      <c r="C47">
        <f t="shared" si="0"/>
        <v>2023</v>
      </c>
      <c r="D47">
        <f t="shared" si="1"/>
        <v>9</v>
      </c>
      <c r="E47" t="str">
        <f t="shared" si="2"/>
        <v>2023-9</v>
      </c>
      <c r="K47" t="s">
        <v>158</v>
      </c>
      <c r="L47" t="s">
        <v>492</v>
      </c>
      <c r="N47" t="s">
        <v>161</v>
      </c>
      <c r="O47">
        <f>COUNTIF(K:K,N47)</f>
        <v>5</v>
      </c>
    </row>
    <row r="48" spans="1:15" x14ac:dyDescent="0.25">
      <c r="A48" t="s">
        <v>73</v>
      </c>
      <c r="B48" t="s">
        <v>72</v>
      </c>
      <c r="C48">
        <f t="shared" si="0"/>
        <v>2023</v>
      </c>
      <c r="D48">
        <f t="shared" si="1"/>
        <v>9</v>
      </c>
      <c r="E48" t="str">
        <f t="shared" si="2"/>
        <v>2023-9</v>
      </c>
      <c r="K48" t="s">
        <v>158</v>
      </c>
      <c r="L48" t="s">
        <v>494</v>
      </c>
      <c r="N48" t="s">
        <v>77</v>
      </c>
      <c r="O48">
        <f>COUNTIF(K:K,N48)</f>
        <v>5</v>
      </c>
    </row>
    <row r="49" spans="1:15" x14ac:dyDescent="0.25">
      <c r="A49" t="s">
        <v>74</v>
      </c>
      <c r="B49" t="s">
        <v>72</v>
      </c>
      <c r="C49">
        <f t="shared" si="0"/>
        <v>2023</v>
      </c>
      <c r="D49">
        <f t="shared" si="1"/>
        <v>9</v>
      </c>
      <c r="E49" t="str">
        <f t="shared" si="2"/>
        <v>2023-9</v>
      </c>
      <c r="K49" t="s">
        <v>158</v>
      </c>
      <c r="L49" t="s">
        <v>496</v>
      </c>
      <c r="N49" t="s">
        <v>148</v>
      </c>
      <c r="O49">
        <f>COUNTIF(K:K,N49)</f>
        <v>5</v>
      </c>
    </row>
    <row r="50" spans="1:15" x14ac:dyDescent="0.25">
      <c r="A50" t="s">
        <v>75</v>
      </c>
      <c r="B50" t="s">
        <v>76</v>
      </c>
      <c r="C50">
        <f t="shared" si="0"/>
        <v>2023</v>
      </c>
      <c r="D50">
        <f t="shared" si="1"/>
        <v>9</v>
      </c>
      <c r="E50" t="str">
        <f t="shared" si="2"/>
        <v>2023-9</v>
      </c>
      <c r="K50" t="s">
        <v>158</v>
      </c>
      <c r="L50" t="s">
        <v>500</v>
      </c>
      <c r="N50" t="s">
        <v>95</v>
      </c>
      <c r="O50">
        <f>COUNTIF(K:K,N50)</f>
        <v>5</v>
      </c>
    </row>
    <row r="51" spans="1:15" x14ac:dyDescent="0.25">
      <c r="A51" t="s">
        <v>77</v>
      </c>
      <c r="B51" t="s">
        <v>78</v>
      </c>
      <c r="C51">
        <f t="shared" si="0"/>
        <v>2023</v>
      </c>
      <c r="D51">
        <f t="shared" si="1"/>
        <v>9</v>
      </c>
      <c r="E51" t="str">
        <f t="shared" si="2"/>
        <v>2023-9</v>
      </c>
      <c r="K51" t="s">
        <v>161</v>
      </c>
      <c r="L51" t="s">
        <v>491</v>
      </c>
      <c r="N51" t="s">
        <v>37</v>
      </c>
      <c r="O51">
        <f>COUNTIF(K:K,N51)</f>
        <v>5</v>
      </c>
    </row>
    <row r="52" spans="1:15" x14ac:dyDescent="0.25">
      <c r="A52" t="s">
        <v>79</v>
      </c>
      <c r="B52" t="s">
        <v>78</v>
      </c>
      <c r="C52">
        <f t="shared" si="0"/>
        <v>2023</v>
      </c>
      <c r="D52">
        <f t="shared" si="1"/>
        <v>9</v>
      </c>
      <c r="E52" t="str">
        <f t="shared" si="2"/>
        <v>2023-9</v>
      </c>
      <c r="K52" t="s">
        <v>161</v>
      </c>
      <c r="L52" t="s">
        <v>492</v>
      </c>
      <c r="N52" t="s">
        <v>84</v>
      </c>
      <c r="O52">
        <f>COUNTIF(K:K,N52)</f>
        <v>5</v>
      </c>
    </row>
    <row r="53" spans="1:15" x14ac:dyDescent="0.25">
      <c r="A53" t="s">
        <v>80</v>
      </c>
      <c r="B53" t="s">
        <v>78</v>
      </c>
      <c r="C53">
        <f t="shared" si="0"/>
        <v>2023</v>
      </c>
      <c r="D53">
        <f t="shared" si="1"/>
        <v>9</v>
      </c>
      <c r="E53" t="str">
        <f t="shared" si="2"/>
        <v>2023-9</v>
      </c>
      <c r="K53" t="s">
        <v>161</v>
      </c>
      <c r="L53" t="s">
        <v>494</v>
      </c>
      <c r="N53" t="s">
        <v>39</v>
      </c>
      <c r="O53">
        <f>COUNTIF(K:K,N53)</f>
        <v>5</v>
      </c>
    </row>
    <row r="54" spans="1:15" x14ac:dyDescent="0.25">
      <c r="A54" t="s">
        <v>81</v>
      </c>
      <c r="B54" t="s">
        <v>78</v>
      </c>
      <c r="C54">
        <f t="shared" si="0"/>
        <v>2023</v>
      </c>
      <c r="D54">
        <f t="shared" si="1"/>
        <v>9</v>
      </c>
      <c r="E54" t="str">
        <f t="shared" si="2"/>
        <v>2023-9</v>
      </c>
      <c r="K54" t="s">
        <v>161</v>
      </c>
      <c r="L54" t="s">
        <v>498</v>
      </c>
      <c r="N54" t="s">
        <v>229</v>
      </c>
      <c r="O54">
        <f>COUNTIF(K:K,N54)</f>
        <v>5</v>
      </c>
    </row>
    <row r="55" spans="1:15" x14ac:dyDescent="0.25">
      <c r="A55" t="s">
        <v>82</v>
      </c>
      <c r="B55" t="s">
        <v>83</v>
      </c>
      <c r="C55">
        <f t="shared" si="0"/>
        <v>2023</v>
      </c>
      <c r="D55">
        <f t="shared" si="1"/>
        <v>9</v>
      </c>
      <c r="E55" t="str">
        <f t="shared" si="2"/>
        <v>2023-9</v>
      </c>
      <c r="K55" t="s">
        <v>161</v>
      </c>
      <c r="L55" t="s">
        <v>499</v>
      </c>
      <c r="N55" t="s">
        <v>113</v>
      </c>
      <c r="O55">
        <f>COUNTIF(K:K,N55)</f>
        <v>5</v>
      </c>
    </row>
    <row r="56" spans="1:15" x14ac:dyDescent="0.25">
      <c r="A56" t="s">
        <v>84</v>
      </c>
      <c r="B56" t="s">
        <v>83</v>
      </c>
      <c r="C56">
        <f t="shared" si="0"/>
        <v>2023</v>
      </c>
      <c r="D56">
        <f t="shared" si="1"/>
        <v>9</v>
      </c>
      <c r="E56" t="str">
        <f t="shared" si="2"/>
        <v>2023-9</v>
      </c>
      <c r="K56" t="s">
        <v>77</v>
      </c>
      <c r="L56" t="s">
        <v>489</v>
      </c>
      <c r="N56" t="s">
        <v>156</v>
      </c>
      <c r="O56">
        <f>COUNTIF(K:K,N56)</f>
        <v>5</v>
      </c>
    </row>
    <row r="57" spans="1:15" x14ac:dyDescent="0.25">
      <c r="A57" t="s">
        <v>66</v>
      </c>
      <c r="B57" t="s">
        <v>83</v>
      </c>
      <c r="C57">
        <f t="shared" si="0"/>
        <v>2023</v>
      </c>
      <c r="D57">
        <f t="shared" si="1"/>
        <v>9</v>
      </c>
      <c r="E57" t="str">
        <f t="shared" si="2"/>
        <v>2023-9</v>
      </c>
      <c r="K57" t="s">
        <v>77</v>
      </c>
      <c r="L57" t="s">
        <v>492</v>
      </c>
      <c r="N57" t="s">
        <v>62</v>
      </c>
      <c r="O57">
        <f>COUNTIF(K:K,N57)</f>
        <v>5</v>
      </c>
    </row>
    <row r="58" spans="1:15" x14ac:dyDescent="0.25">
      <c r="A58" t="s">
        <v>85</v>
      </c>
      <c r="B58" t="s">
        <v>83</v>
      </c>
      <c r="C58">
        <f t="shared" si="0"/>
        <v>2023</v>
      </c>
      <c r="D58">
        <f t="shared" si="1"/>
        <v>9</v>
      </c>
      <c r="E58" t="str">
        <f t="shared" si="2"/>
        <v>2023-9</v>
      </c>
      <c r="K58" t="s">
        <v>77</v>
      </c>
      <c r="L58" t="s">
        <v>495</v>
      </c>
      <c r="N58" t="s">
        <v>32</v>
      </c>
      <c r="O58">
        <f>COUNTIF(K:K,N58)</f>
        <v>5</v>
      </c>
    </row>
    <row r="59" spans="1:15" x14ac:dyDescent="0.25">
      <c r="A59" t="s">
        <v>86</v>
      </c>
      <c r="B59" t="s">
        <v>83</v>
      </c>
      <c r="C59">
        <f t="shared" si="0"/>
        <v>2023</v>
      </c>
      <c r="D59">
        <f t="shared" si="1"/>
        <v>9</v>
      </c>
      <c r="E59" t="str">
        <f t="shared" si="2"/>
        <v>2023-9</v>
      </c>
      <c r="K59" t="s">
        <v>77</v>
      </c>
      <c r="L59" t="s">
        <v>498</v>
      </c>
      <c r="N59" t="s">
        <v>150</v>
      </c>
      <c r="O59">
        <f>COUNTIF(K:K,N59)</f>
        <v>5</v>
      </c>
    </row>
    <row r="60" spans="1:15" x14ac:dyDescent="0.25">
      <c r="A60" t="s">
        <v>87</v>
      </c>
      <c r="B60" t="s">
        <v>88</v>
      </c>
      <c r="C60">
        <f t="shared" si="0"/>
        <v>2023</v>
      </c>
      <c r="D60">
        <f t="shared" si="1"/>
        <v>9</v>
      </c>
      <c r="E60" t="str">
        <f t="shared" si="2"/>
        <v>2023-9</v>
      </c>
      <c r="K60" t="s">
        <v>77</v>
      </c>
      <c r="L60" t="s">
        <v>500</v>
      </c>
      <c r="N60" t="s">
        <v>56</v>
      </c>
      <c r="O60">
        <f>COUNTIF(K:K,N60)</f>
        <v>5</v>
      </c>
    </row>
    <row r="61" spans="1:15" x14ac:dyDescent="0.25">
      <c r="A61" t="s">
        <v>89</v>
      </c>
      <c r="B61" t="s">
        <v>88</v>
      </c>
      <c r="C61">
        <f t="shared" si="0"/>
        <v>2023</v>
      </c>
      <c r="D61">
        <f t="shared" si="1"/>
        <v>9</v>
      </c>
      <c r="E61" t="str">
        <f t="shared" si="2"/>
        <v>2023-9</v>
      </c>
      <c r="K61" t="s">
        <v>243</v>
      </c>
      <c r="L61" t="s">
        <v>492</v>
      </c>
      <c r="N61" t="s">
        <v>175</v>
      </c>
      <c r="O61">
        <f>COUNTIF(K:K,N61)</f>
        <v>5</v>
      </c>
    </row>
    <row r="62" spans="1:15" x14ac:dyDescent="0.25">
      <c r="A62" t="s">
        <v>90</v>
      </c>
      <c r="B62" t="s">
        <v>88</v>
      </c>
      <c r="C62">
        <f t="shared" si="0"/>
        <v>2023</v>
      </c>
      <c r="D62">
        <f t="shared" si="1"/>
        <v>9</v>
      </c>
      <c r="E62" t="str">
        <f t="shared" si="2"/>
        <v>2023-9</v>
      </c>
      <c r="K62" t="s">
        <v>243</v>
      </c>
      <c r="L62" t="s">
        <v>493</v>
      </c>
      <c r="N62" t="s">
        <v>181</v>
      </c>
      <c r="O62">
        <f>COUNTIF(K:K,N62)</f>
        <v>5</v>
      </c>
    </row>
    <row r="63" spans="1:15" x14ac:dyDescent="0.25">
      <c r="A63" t="s">
        <v>69</v>
      </c>
      <c r="B63" t="s">
        <v>88</v>
      </c>
      <c r="C63">
        <f t="shared" si="0"/>
        <v>2023</v>
      </c>
      <c r="D63">
        <f t="shared" si="1"/>
        <v>9</v>
      </c>
      <c r="E63" t="str">
        <f t="shared" si="2"/>
        <v>2023-9</v>
      </c>
      <c r="K63" t="s">
        <v>243</v>
      </c>
      <c r="L63" t="s">
        <v>494</v>
      </c>
      <c r="N63" t="s">
        <v>102</v>
      </c>
      <c r="O63">
        <f>COUNTIF(K:K,N63)</f>
        <v>5</v>
      </c>
    </row>
    <row r="64" spans="1:15" x14ac:dyDescent="0.25">
      <c r="A64" t="s">
        <v>71</v>
      </c>
      <c r="B64" t="s">
        <v>88</v>
      </c>
      <c r="C64">
        <f t="shared" si="0"/>
        <v>2023</v>
      </c>
      <c r="D64">
        <f t="shared" si="1"/>
        <v>9</v>
      </c>
      <c r="E64" t="str">
        <f t="shared" si="2"/>
        <v>2023-9</v>
      </c>
      <c r="K64" t="s">
        <v>243</v>
      </c>
      <c r="L64" t="s">
        <v>496</v>
      </c>
      <c r="N64" t="s">
        <v>171</v>
      </c>
      <c r="O64">
        <f>COUNTIF(K:K,N64)</f>
        <v>5</v>
      </c>
    </row>
    <row r="65" spans="1:15" x14ac:dyDescent="0.25">
      <c r="A65" t="s">
        <v>91</v>
      </c>
      <c r="B65" t="s">
        <v>88</v>
      </c>
      <c r="C65">
        <f t="shared" si="0"/>
        <v>2023</v>
      </c>
      <c r="D65">
        <f t="shared" si="1"/>
        <v>9</v>
      </c>
      <c r="E65" t="str">
        <f t="shared" si="2"/>
        <v>2023-9</v>
      </c>
      <c r="K65" t="s">
        <v>243</v>
      </c>
      <c r="L65" t="s">
        <v>499</v>
      </c>
      <c r="N65" t="s">
        <v>256</v>
      </c>
      <c r="O65">
        <f>COUNTIF(K:K,N65)</f>
        <v>5</v>
      </c>
    </row>
    <row r="66" spans="1:15" x14ac:dyDescent="0.25">
      <c r="A66" t="s">
        <v>79</v>
      </c>
      <c r="B66" t="s">
        <v>88</v>
      </c>
      <c r="C66">
        <f t="shared" si="0"/>
        <v>2023</v>
      </c>
      <c r="D66">
        <f t="shared" si="1"/>
        <v>9</v>
      </c>
      <c r="E66" t="str">
        <f t="shared" si="2"/>
        <v>2023-9</v>
      </c>
      <c r="K66" t="s">
        <v>243</v>
      </c>
      <c r="L66" t="s">
        <v>500</v>
      </c>
      <c r="N66" t="s">
        <v>24</v>
      </c>
      <c r="O66">
        <f>COUNTIF(K:K,N66)</f>
        <v>5</v>
      </c>
    </row>
    <row r="67" spans="1:15" x14ac:dyDescent="0.25">
      <c r="A67" t="s">
        <v>73</v>
      </c>
      <c r="B67" t="s">
        <v>88</v>
      </c>
      <c r="C67">
        <f t="shared" ref="C67:C130" si="3">YEAR(B67)</f>
        <v>2023</v>
      </c>
      <c r="D67">
        <f t="shared" ref="D67:D130" si="4">MONTH(B67)</f>
        <v>9</v>
      </c>
      <c r="E67" t="str">
        <f t="shared" ref="E67:E130" si="5">C67&amp;"-"&amp;D67</f>
        <v>2023-9</v>
      </c>
      <c r="K67" t="s">
        <v>148</v>
      </c>
      <c r="L67" t="s">
        <v>490</v>
      </c>
      <c r="N67" t="s">
        <v>82</v>
      </c>
      <c r="O67">
        <f>COUNTIF(K:K,N67)</f>
        <v>5</v>
      </c>
    </row>
    <row r="68" spans="1:15" x14ac:dyDescent="0.25">
      <c r="A68" t="s">
        <v>92</v>
      </c>
      <c r="B68" t="s">
        <v>88</v>
      </c>
      <c r="C68">
        <f t="shared" si="3"/>
        <v>2023</v>
      </c>
      <c r="D68">
        <f t="shared" si="4"/>
        <v>9</v>
      </c>
      <c r="E68" t="str">
        <f t="shared" si="5"/>
        <v>2023-9</v>
      </c>
      <c r="K68" t="s">
        <v>148</v>
      </c>
      <c r="L68" t="s">
        <v>494</v>
      </c>
      <c r="N68" t="s">
        <v>109</v>
      </c>
      <c r="O68">
        <f>COUNTIF(K:K,N68)</f>
        <v>5</v>
      </c>
    </row>
    <row r="69" spans="1:15" x14ac:dyDescent="0.25">
      <c r="A69" t="s">
        <v>93</v>
      </c>
      <c r="B69" t="s">
        <v>88</v>
      </c>
      <c r="C69">
        <f t="shared" si="3"/>
        <v>2023</v>
      </c>
      <c r="D69">
        <f t="shared" si="4"/>
        <v>9</v>
      </c>
      <c r="E69" t="str">
        <f t="shared" si="5"/>
        <v>2023-9</v>
      </c>
      <c r="K69" t="s">
        <v>148</v>
      </c>
      <c r="L69" t="s">
        <v>498</v>
      </c>
      <c r="N69" t="s">
        <v>118</v>
      </c>
      <c r="O69">
        <f>COUNTIF(K:K,N69)</f>
        <v>5</v>
      </c>
    </row>
    <row r="70" spans="1:15" x14ac:dyDescent="0.25">
      <c r="A70" t="s">
        <v>29</v>
      </c>
      <c r="B70" t="s">
        <v>94</v>
      </c>
      <c r="C70">
        <f t="shared" si="3"/>
        <v>2023</v>
      </c>
      <c r="D70">
        <f t="shared" si="4"/>
        <v>9</v>
      </c>
      <c r="E70" t="str">
        <f t="shared" si="5"/>
        <v>2023-9</v>
      </c>
      <c r="K70" t="s">
        <v>148</v>
      </c>
      <c r="L70" t="s">
        <v>499</v>
      </c>
      <c r="N70" t="s">
        <v>11</v>
      </c>
      <c r="O70">
        <f>COUNTIF(K:K,N70)</f>
        <v>5</v>
      </c>
    </row>
    <row r="71" spans="1:15" x14ac:dyDescent="0.25">
      <c r="A71" t="s">
        <v>87</v>
      </c>
      <c r="B71" t="s">
        <v>94</v>
      </c>
      <c r="C71">
        <f t="shared" si="3"/>
        <v>2023</v>
      </c>
      <c r="D71">
        <f t="shared" si="4"/>
        <v>9</v>
      </c>
      <c r="E71" t="str">
        <f t="shared" si="5"/>
        <v>2023-9</v>
      </c>
      <c r="K71" t="s">
        <v>148</v>
      </c>
      <c r="L71" t="s">
        <v>500</v>
      </c>
      <c r="N71" t="s">
        <v>9</v>
      </c>
      <c r="O71">
        <f>COUNTIF(K:K,N71)</f>
        <v>5</v>
      </c>
    </row>
    <row r="72" spans="1:15" x14ac:dyDescent="0.25">
      <c r="A72" t="s">
        <v>95</v>
      </c>
      <c r="B72" t="s">
        <v>96</v>
      </c>
      <c r="C72">
        <f t="shared" si="3"/>
        <v>2023</v>
      </c>
      <c r="D72">
        <f t="shared" si="4"/>
        <v>9</v>
      </c>
      <c r="E72" t="str">
        <f t="shared" si="5"/>
        <v>2023-9</v>
      </c>
      <c r="K72" t="s">
        <v>95</v>
      </c>
      <c r="L72" t="s">
        <v>489</v>
      </c>
      <c r="N72" t="s">
        <v>316</v>
      </c>
      <c r="O72">
        <f>COUNTIF(K:K,N72)</f>
        <v>5</v>
      </c>
    </row>
    <row r="73" spans="1:15" x14ac:dyDescent="0.25">
      <c r="A73" t="s">
        <v>97</v>
      </c>
      <c r="B73" t="s">
        <v>96</v>
      </c>
      <c r="C73">
        <f t="shared" si="3"/>
        <v>2023</v>
      </c>
      <c r="D73">
        <f t="shared" si="4"/>
        <v>9</v>
      </c>
      <c r="E73" t="str">
        <f t="shared" si="5"/>
        <v>2023-9</v>
      </c>
      <c r="K73" t="s">
        <v>95</v>
      </c>
      <c r="L73" t="s">
        <v>490</v>
      </c>
      <c r="N73" t="s">
        <v>93</v>
      </c>
      <c r="O73">
        <f>COUNTIF(K:K,N73)</f>
        <v>5</v>
      </c>
    </row>
    <row r="74" spans="1:15" x14ac:dyDescent="0.25">
      <c r="A74" t="s">
        <v>98</v>
      </c>
      <c r="B74" t="s">
        <v>96</v>
      </c>
      <c r="C74">
        <f t="shared" si="3"/>
        <v>2023</v>
      </c>
      <c r="D74">
        <f t="shared" si="4"/>
        <v>9</v>
      </c>
      <c r="E74" t="str">
        <f t="shared" si="5"/>
        <v>2023-9</v>
      </c>
      <c r="K74" t="s">
        <v>95</v>
      </c>
      <c r="L74" t="s">
        <v>491</v>
      </c>
      <c r="N74" t="s">
        <v>300</v>
      </c>
      <c r="O74">
        <f>COUNTIF(K:K,N74)</f>
        <v>5</v>
      </c>
    </row>
    <row r="75" spans="1:15" x14ac:dyDescent="0.25">
      <c r="A75" t="s">
        <v>99</v>
      </c>
      <c r="B75" t="s">
        <v>100</v>
      </c>
      <c r="C75">
        <f t="shared" si="3"/>
        <v>2023</v>
      </c>
      <c r="D75">
        <f t="shared" si="4"/>
        <v>9</v>
      </c>
      <c r="E75" t="str">
        <f t="shared" si="5"/>
        <v>2023-9</v>
      </c>
      <c r="K75" t="s">
        <v>95</v>
      </c>
      <c r="L75" t="s">
        <v>498</v>
      </c>
      <c r="N75" t="s">
        <v>141</v>
      </c>
      <c r="O75">
        <f>COUNTIF(K:K,N75)</f>
        <v>5</v>
      </c>
    </row>
    <row r="76" spans="1:15" x14ac:dyDescent="0.25">
      <c r="A76" t="s">
        <v>101</v>
      </c>
      <c r="B76" t="s">
        <v>100</v>
      </c>
      <c r="C76">
        <f t="shared" si="3"/>
        <v>2023</v>
      </c>
      <c r="D76">
        <f t="shared" si="4"/>
        <v>9</v>
      </c>
      <c r="E76" t="str">
        <f t="shared" si="5"/>
        <v>2023-9</v>
      </c>
      <c r="K76" t="s">
        <v>95</v>
      </c>
      <c r="L76" t="s">
        <v>500</v>
      </c>
      <c r="N76" t="s">
        <v>146</v>
      </c>
      <c r="O76">
        <f>COUNTIF(K:K,N76)</f>
        <v>5</v>
      </c>
    </row>
    <row r="77" spans="1:15" x14ac:dyDescent="0.25">
      <c r="A77" t="s">
        <v>102</v>
      </c>
      <c r="B77" t="s">
        <v>100</v>
      </c>
      <c r="C77">
        <f t="shared" si="3"/>
        <v>2023</v>
      </c>
      <c r="D77">
        <f t="shared" si="4"/>
        <v>9</v>
      </c>
      <c r="E77" t="str">
        <f t="shared" si="5"/>
        <v>2023-9</v>
      </c>
      <c r="K77" t="s">
        <v>47</v>
      </c>
      <c r="L77" t="s">
        <v>489</v>
      </c>
      <c r="N77" t="s">
        <v>28</v>
      </c>
      <c r="O77">
        <f>COUNTIF(K:K,N77)</f>
        <v>5</v>
      </c>
    </row>
    <row r="78" spans="1:15" x14ac:dyDescent="0.25">
      <c r="A78" t="s">
        <v>103</v>
      </c>
      <c r="B78" t="s">
        <v>104</v>
      </c>
      <c r="C78">
        <f t="shared" si="3"/>
        <v>2023</v>
      </c>
      <c r="D78">
        <f t="shared" si="4"/>
        <v>9</v>
      </c>
      <c r="E78" t="str">
        <f t="shared" si="5"/>
        <v>2023-9</v>
      </c>
      <c r="K78" t="s">
        <v>47</v>
      </c>
      <c r="L78" t="s">
        <v>490</v>
      </c>
      <c r="N78" t="s">
        <v>25</v>
      </c>
      <c r="O78">
        <f>COUNTIF(K:K,N78)</f>
        <v>5</v>
      </c>
    </row>
    <row r="79" spans="1:15" x14ac:dyDescent="0.25">
      <c r="A79" t="s">
        <v>13</v>
      </c>
      <c r="B79" t="s">
        <v>104</v>
      </c>
      <c r="C79">
        <f t="shared" si="3"/>
        <v>2023</v>
      </c>
      <c r="D79">
        <f t="shared" si="4"/>
        <v>9</v>
      </c>
      <c r="E79" t="str">
        <f t="shared" si="5"/>
        <v>2023-9</v>
      </c>
      <c r="K79" t="s">
        <v>47</v>
      </c>
      <c r="L79" t="s">
        <v>492</v>
      </c>
      <c r="N79" t="s">
        <v>97</v>
      </c>
      <c r="O79">
        <f>COUNTIF(K:K,N79)</f>
        <v>5</v>
      </c>
    </row>
    <row r="80" spans="1:15" x14ac:dyDescent="0.25">
      <c r="A80" t="s">
        <v>105</v>
      </c>
      <c r="B80" t="s">
        <v>104</v>
      </c>
      <c r="C80">
        <f t="shared" si="3"/>
        <v>2023</v>
      </c>
      <c r="D80">
        <f t="shared" si="4"/>
        <v>9</v>
      </c>
      <c r="E80" t="str">
        <f t="shared" si="5"/>
        <v>2023-9</v>
      </c>
      <c r="K80" t="s">
        <v>47</v>
      </c>
      <c r="L80" t="s">
        <v>493</v>
      </c>
      <c r="N80" t="s">
        <v>193</v>
      </c>
      <c r="O80">
        <f>COUNTIF(K:K,N80)</f>
        <v>5</v>
      </c>
    </row>
    <row r="81" spans="1:15" x14ac:dyDescent="0.25">
      <c r="A81" t="s">
        <v>20</v>
      </c>
      <c r="B81" t="s">
        <v>104</v>
      </c>
      <c r="C81">
        <f t="shared" si="3"/>
        <v>2023</v>
      </c>
      <c r="D81">
        <f t="shared" si="4"/>
        <v>9</v>
      </c>
      <c r="E81" t="str">
        <f t="shared" si="5"/>
        <v>2023-9</v>
      </c>
      <c r="K81" t="s">
        <v>47</v>
      </c>
      <c r="L81" t="s">
        <v>494</v>
      </c>
      <c r="N81" t="s">
        <v>89</v>
      </c>
      <c r="O81">
        <f>COUNTIF(K:K,N81)</f>
        <v>4</v>
      </c>
    </row>
    <row r="82" spans="1:15" x14ac:dyDescent="0.25">
      <c r="A82" t="s">
        <v>73</v>
      </c>
      <c r="B82" t="s">
        <v>106</v>
      </c>
      <c r="C82">
        <f t="shared" si="3"/>
        <v>2023</v>
      </c>
      <c r="D82">
        <f t="shared" si="4"/>
        <v>10</v>
      </c>
      <c r="E82" t="str">
        <f t="shared" si="5"/>
        <v>2023-10</v>
      </c>
      <c r="K82" t="s">
        <v>47</v>
      </c>
      <c r="L82" t="s">
        <v>495</v>
      </c>
      <c r="N82" t="s">
        <v>184</v>
      </c>
      <c r="O82">
        <f>COUNTIF(K:K,N82)</f>
        <v>4</v>
      </c>
    </row>
    <row r="83" spans="1:15" x14ac:dyDescent="0.25">
      <c r="A83" t="s">
        <v>107</v>
      </c>
      <c r="B83" t="s">
        <v>106</v>
      </c>
      <c r="C83">
        <f t="shared" si="3"/>
        <v>2023</v>
      </c>
      <c r="D83">
        <f t="shared" si="4"/>
        <v>10</v>
      </c>
      <c r="E83" t="str">
        <f t="shared" si="5"/>
        <v>2023-10</v>
      </c>
      <c r="K83" t="s">
        <v>47</v>
      </c>
      <c r="L83" t="s">
        <v>496</v>
      </c>
      <c r="N83" t="s">
        <v>304</v>
      </c>
      <c r="O83">
        <f>COUNTIF(K:K,N83)</f>
        <v>4</v>
      </c>
    </row>
    <row r="84" spans="1:15" x14ac:dyDescent="0.25">
      <c r="A84" t="s">
        <v>108</v>
      </c>
      <c r="B84" t="s">
        <v>106</v>
      </c>
      <c r="C84">
        <f t="shared" si="3"/>
        <v>2023</v>
      </c>
      <c r="D84">
        <f t="shared" si="4"/>
        <v>10</v>
      </c>
      <c r="E84" t="str">
        <f t="shared" si="5"/>
        <v>2023-10</v>
      </c>
      <c r="K84" t="s">
        <v>47</v>
      </c>
      <c r="L84" t="s">
        <v>498</v>
      </c>
      <c r="N84" t="s">
        <v>111</v>
      </c>
      <c r="O84">
        <f>COUNTIF(K:K,N84)</f>
        <v>4</v>
      </c>
    </row>
    <row r="85" spans="1:15" x14ac:dyDescent="0.25">
      <c r="A85" t="s">
        <v>109</v>
      </c>
      <c r="B85" t="s">
        <v>106</v>
      </c>
      <c r="C85">
        <f t="shared" si="3"/>
        <v>2023</v>
      </c>
      <c r="D85">
        <f t="shared" si="4"/>
        <v>10</v>
      </c>
      <c r="E85" t="str">
        <f t="shared" si="5"/>
        <v>2023-10</v>
      </c>
      <c r="K85" t="s">
        <v>47</v>
      </c>
      <c r="L85" t="s">
        <v>500</v>
      </c>
      <c r="N85" t="s">
        <v>240</v>
      </c>
      <c r="O85">
        <f>COUNTIF(K:K,N85)</f>
        <v>4</v>
      </c>
    </row>
    <row r="86" spans="1:15" x14ac:dyDescent="0.25">
      <c r="A86" t="s">
        <v>81</v>
      </c>
      <c r="B86" t="s">
        <v>110</v>
      </c>
      <c r="C86">
        <f t="shared" si="3"/>
        <v>2023</v>
      </c>
      <c r="D86">
        <f t="shared" si="4"/>
        <v>10</v>
      </c>
      <c r="E86" t="str">
        <f t="shared" si="5"/>
        <v>2023-10</v>
      </c>
      <c r="K86" t="s">
        <v>216</v>
      </c>
      <c r="L86" t="s">
        <v>492</v>
      </c>
      <c r="N86" t="s">
        <v>40</v>
      </c>
      <c r="O86">
        <f>COUNTIF(K:K,N86)</f>
        <v>4</v>
      </c>
    </row>
    <row r="87" spans="1:15" x14ac:dyDescent="0.25">
      <c r="A87" t="s">
        <v>111</v>
      </c>
      <c r="B87" t="s">
        <v>110</v>
      </c>
      <c r="C87">
        <f t="shared" si="3"/>
        <v>2023</v>
      </c>
      <c r="D87">
        <f t="shared" si="4"/>
        <v>10</v>
      </c>
      <c r="E87" t="str">
        <f t="shared" si="5"/>
        <v>2023-10</v>
      </c>
      <c r="K87" t="s">
        <v>216</v>
      </c>
      <c r="L87" t="s">
        <v>499</v>
      </c>
      <c r="N87" t="s">
        <v>22</v>
      </c>
      <c r="O87">
        <f>COUNTIF(K:K,N87)</f>
        <v>4</v>
      </c>
    </row>
    <row r="88" spans="1:15" x14ac:dyDescent="0.25">
      <c r="A88" t="s">
        <v>95</v>
      </c>
      <c r="B88" t="s">
        <v>110</v>
      </c>
      <c r="C88">
        <f t="shared" si="3"/>
        <v>2023</v>
      </c>
      <c r="D88">
        <f t="shared" si="4"/>
        <v>10</v>
      </c>
      <c r="E88" t="str">
        <f t="shared" si="5"/>
        <v>2023-10</v>
      </c>
      <c r="K88" t="s">
        <v>304</v>
      </c>
      <c r="L88" t="s">
        <v>494</v>
      </c>
      <c r="N88" t="s">
        <v>74</v>
      </c>
      <c r="O88">
        <f>COUNTIF(K:K,N88)</f>
        <v>4</v>
      </c>
    </row>
    <row r="89" spans="1:15" x14ac:dyDescent="0.25">
      <c r="A89" t="s">
        <v>112</v>
      </c>
      <c r="B89" t="s">
        <v>110</v>
      </c>
      <c r="C89">
        <f t="shared" si="3"/>
        <v>2023</v>
      </c>
      <c r="D89">
        <f t="shared" si="4"/>
        <v>10</v>
      </c>
      <c r="E89" t="str">
        <f t="shared" si="5"/>
        <v>2023-10</v>
      </c>
      <c r="K89" t="s">
        <v>304</v>
      </c>
      <c r="L89" t="s">
        <v>495</v>
      </c>
      <c r="N89" t="s">
        <v>122</v>
      </c>
      <c r="O89">
        <f>COUNTIF(K:K,N89)</f>
        <v>4</v>
      </c>
    </row>
    <row r="90" spans="1:15" x14ac:dyDescent="0.25">
      <c r="A90" t="s">
        <v>113</v>
      </c>
      <c r="B90" t="s">
        <v>110</v>
      </c>
      <c r="C90">
        <f t="shared" si="3"/>
        <v>2023</v>
      </c>
      <c r="D90">
        <f t="shared" si="4"/>
        <v>10</v>
      </c>
      <c r="E90" t="str">
        <f t="shared" si="5"/>
        <v>2023-10</v>
      </c>
      <c r="K90" t="s">
        <v>304</v>
      </c>
      <c r="L90" t="s">
        <v>499</v>
      </c>
      <c r="N90" t="s">
        <v>173</v>
      </c>
      <c r="O90">
        <f>COUNTIF(K:K,N90)</f>
        <v>4</v>
      </c>
    </row>
    <row r="91" spans="1:15" x14ac:dyDescent="0.25">
      <c r="A91" t="s">
        <v>71</v>
      </c>
      <c r="B91" t="s">
        <v>110</v>
      </c>
      <c r="C91">
        <f t="shared" si="3"/>
        <v>2023</v>
      </c>
      <c r="D91">
        <f t="shared" si="4"/>
        <v>10</v>
      </c>
      <c r="E91" t="str">
        <f t="shared" si="5"/>
        <v>2023-10</v>
      </c>
      <c r="K91" t="s">
        <v>304</v>
      </c>
      <c r="L91" t="s">
        <v>500</v>
      </c>
      <c r="N91" t="s">
        <v>67</v>
      </c>
      <c r="O91">
        <f>COUNTIF(K:K,N91)</f>
        <v>4</v>
      </c>
    </row>
    <row r="92" spans="1:15" x14ac:dyDescent="0.25">
      <c r="A92" t="s">
        <v>75</v>
      </c>
      <c r="B92" t="s">
        <v>114</v>
      </c>
      <c r="C92">
        <f t="shared" si="3"/>
        <v>2023</v>
      </c>
      <c r="D92">
        <f t="shared" si="4"/>
        <v>10</v>
      </c>
      <c r="E92" t="str">
        <f t="shared" si="5"/>
        <v>2023-10</v>
      </c>
      <c r="K92" t="s">
        <v>116</v>
      </c>
      <c r="L92" t="s">
        <v>490</v>
      </c>
      <c r="N92" t="s">
        <v>228</v>
      </c>
      <c r="O92">
        <f>COUNTIF(K:K,N92)</f>
        <v>4</v>
      </c>
    </row>
    <row r="93" spans="1:15" x14ac:dyDescent="0.25">
      <c r="A93" t="s">
        <v>115</v>
      </c>
      <c r="B93" t="s">
        <v>114</v>
      </c>
      <c r="C93">
        <f t="shared" si="3"/>
        <v>2023</v>
      </c>
      <c r="D93">
        <f t="shared" si="4"/>
        <v>10</v>
      </c>
      <c r="E93" t="str">
        <f t="shared" si="5"/>
        <v>2023-10</v>
      </c>
      <c r="K93" t="s">
        <v>116</v>
      </c>
      <c r="L93" t="s">
        <v>492</v>
      </c>
      <c r="N93" t="s">
        <v>209</v>
      </c>
      <c r="O93">
        <f>COUNTIF(K:K,N93)</f>
        <v>4</v>
      </c>
    </row>
    <row r="94" spans="1:15" x14ac:dyDescent="0.25">
      <c r="A94" t="s">
        <v>57</v>
      </c>
      <c r="B94" t="s">
        <v>114</v>
      </c>
      <c r="C94">
        <f t="shared" si="3"/>
        <v>2023</v>
      </c>
      <c r="D94">
        <f t="shared" si="4"/>
        <v>10</v>
      </c>
      <c r="E94" t="str">
        <f t="shared" si="5"/>
        <v>2023-10</v>
      </c>
      <c r="K94" t="s">
        <v>116</v>
      </c>
      <c r="L94" t="s">
        <v>495</v>
      </c>
      <c r="N94" t="s">
        <v>258</v>
      </c>
      <c r="O94">
        <f>COUNTIF(K:K,N94)</f>
        <v>4</v>
      </c>
    </row>
    <row r="95" spans="1:15" x14ac:dyDescent="0.25">
      <c r="A95" t="s">
        <v>116</v>
      </c>
      <c r="B95" t="s">
        <v>117</v>
      </c>
      <c r="C95">
        <f t="shared" si="3"/>
        <v>2023</v>
      </c>
      <c r="D95">
        <f t="shared" si="4"/>
        <v>10</v>
      </c>
      <c r="E95" t="str">
        <f t="shared" si="5"/>
        <v>2023-10</v>
      </c>
      <c r="K95" t="s">
        <v>116</v>
      </c>
      <c r="L95" t="s">
        <v>496</v>
      </c>
      <c r="N95" t="s">
        <v>238</v>
      </c>
      <c r="O95">
        <f>COUNTIF(K:K,N95)</f>
        <v>4</v>
      </c>
    </row>
    <row r="96" spans="1:15" x14ac:dyDescent="0.25">
      <c r="A96" t="s">
        <v>68</v>
      </c>
      <c r="B96" t="s">
        <v>117</v>
      </c>
      <c r="C96">
        <f t="shared" si="3"/>
        <v>2023</v>
      </c>
      <c r="D96">
        <f t="shared" si="4"/>
        <v>10</v>
      </c>
      <c r="E96" t="str">
        <f t="shared" si="5"/>
        <v>2023-10</v>
      </c>
      <c r="K96" t="s">
        <v>116</v>
      </c>
      <c r="L96" t="s">
        <v>497</v>
      </c>
      <c r="N96" t="s">
        <v>335</v>
      </c>
      <c r="O96">
        <f>COUNTIF(K:K,N96)</f>
        <v>4</v>
      </c>
    </row>
    <row r="97" spans="1:15" x14ac:dyDescent="0.25">
      <c r="A97" t="s">
        <v>118</v>
      </c>
      <c r="B97" t="s">
        <v>119</v>
      </c>
      <c r="C97">
        <f t="shared" si="3"/>
        <v>2023</v>
      </c>
      <c r="D97">
        <f t="shared" si="4"/>
        <v>10</v>
      </c>
      <c r="E97" t="str">
        <f t="shared" si="5"/>
        <v>2023-10</v>
      </c>
      <c r="K97" t="s">
        <v>116</v>
      </c>
      <c r="L97" t="s">
        <v>499</v>
      </c>
      <c r="N97" t="s">
        <v>144</v>
      </c>
      <c r="O97">
        <f>COUNTIF(K:K,N97)</f>
        <v>4</v>
      </c>
    </row>
    <row r="98" spans="1:15" x14ac:dyDescent="0.25">
      <c r="A98" t="s">
        <v>120</v>
      </c>
      <c r="B98" t="s">
        <v>119</v>
      </c>
      <c r="C98">
        <f t="shared" si="3"/>
        <v>2023</v>
      </c>
      <c r="D98">
        <f t="shared" si="4"/>
        <v>10</v>
      </c>
      <c r="E98" t="str">
        <f t="shared" si="5"/>
        <v>2023-10</v>
      </c>
      <c r="K98" t="s">
        <v>116</v>
      </c>
      <c r="L98" t="s">
        <v>500</v>
      </c>
      <c r="N98" t="s">
        <v>139</v>
      </c>
      <c r="O98">
        <f>COUNTIF(K:K,N98)</f>
        <v>4</v>
      </c>
    </row>
    <row r="99" spans="1:15" x14ac:dyDescent="0.25">
      <c r="A99" t="s">
        <v>101</v>
      </c>
      <c r="B99" t="s">
        <v>119</v>
      </c>
      <c r="C99">
        <f t="shared" si="3"/>
        <v>2023</v>
      </c>
      <c r="D99">
        <f t="shared" si="4"/>
        <v>10</v>
      </c>
      <c r="E99" t="str">
        <f t="shared" si="5"/>
        <v>2023-10</v>
      </c>
      <c r="K99" t="s">
        <v>37</v>
      </c>
      <c r="L99" t="s">
        <v>489</v>
      </c>
      <c r="N99" t="s">
        <v>202</v>
      </c>
      <c r="O99">
        <f>COUNTIF(K:K,N99)</f>
        <v>4</v>
      </c>
    </row>
    <row r="100" spans="1:15" x14ac:dyDescent="0.25">
      <c r="A100" t="s">
        <v>75</v>
      </c>
      <c r="B100" t="s">
        <v>119</v>
      </c>
      <c r="C100">
        <f t="shared" si="3"/>
        <v>2023</v>
      </c>
      <c r="D100">
        <f t="shared" si="4"/>
        <v>10</v>
      </c>
      <c r="E100" t="str">
        <f t="shared" si="5"/>
        <v>2023-10</v>
      </c>
      <c r="K100" t="s">
        <v>37</v>
      </c>
      <c r="L100" t="s">
        <v>491</v>
      </c>
      <c r="N100" t="s">
        <v>272</v>
      </c>
      <c r="O100">
        <f>COUNTIF(K:K,N100)</f>
        <v>4</v>
      </c>
    </row>
    <row r="101" spans="1:15" x14ac:dyDescent="0.25">
      <c r="A101" t="s">
        <v>121</v>
      </c>
      <c r="B101" t="s">
        <v>119</v>
      </c>
      <c r="C101">
        <f t="shared" si="3"/>
        <v>2023</v>
      </c>
      <c r="D101">
        <f t="shared" si="4"/>
        <v>10</v>
      </c>
      <c r="E101" t="str">
        <f t="shared" si="5"/>
        <v>2023-10</v>
      </c>
      <c r="K101" t="s">
        <v>37</v>
      </c>
      <c r="L101" t="s">
        <v>492</v>
      </c>
      <c r="N101" t="s">
        <v>239</v>
      </c>
      <c r="O101">
        <f>COUNTIF(K:K,N101)</f>
        <v>4</v>
      </c>
    </row>
    <row r="102" spans="1:15" x14ac:dyDescent="0.25">
      <c r="A102" t="s">
        <v>122</v>
      </c>
      <c r="B102" t="s">
        <v>119</v>
      </c>
      <c r="C102">
        <f t="shared" si="3"/>
        <v>2023</v>
      </c>
      <c r="D102">
        <f t="shared" si="4"/>
        <v>10</v>
      </c>
      <c r="E102" t="str">
        <f t="shared" si="5"/>
        <v>2023-10</v>
      </c>
      <c r="K102" t="s">
        <v>37</v>
      </c>
      <c r="L102" t="s">
        <v>495</v>
      </c>
      <c r="N102" t="s">
        <v>34</v>
      </c>
      <c r="O102">
        <f>COUNTIF(K:K,N102)</f>
        <v>4</v>
      </c>
    </row>
    <row r="103" spans="1:15" x14ac:dyDescent="0.25">
      <c r="A103" t="s">
        <v>123</v>
      </c>
      <c r="B103" t="s">
        <v>119</v>
      </c>
      <c r="C103">
        <f t="shared" si="3"/>
        <v>2023</v>
      </c>
      <c r="D103">
        <f t="shared" si="4"/>
        <v>10</v>
      </c>
      <c r="E103" t="str">
        <f t="shared" si="5"/>
        <v>2023-10</v>
      </c>
      <c r="K103" t="s">
        <v>37</v>
      </c>
      <c r="L103" t="s">
        <v>497</v>
      </c>
      <c r="N103" t="s">
        <v>165</v>
      </c>
      <c r="O103">
        <f>COUNTIF(K:K,N103)</f>
        <v>4</v>
      </c>
    </row>
    <row r="104" spans="1:15" x14ac:dyDescent="0.25">
      <c r="A104" t="s">
        <v>68</v>
      </c>
      <c r="B104" t="s">
        <v>124</v>
      </c>
      <c r="C104">
        <f t="shared" si="3"/>
        <v>2023</v>
      </c>
      <c r="D104">
        <f t="shared" si="4"/>
        <v>10</v>
      </c>
      <c r="E104" t="str">
        <f t="shared" si="5"/>
        <v>2023-10</v>
      </c>
      <c r="K104" t="s">
        <v>111</v>
      </c>
      <c r="L104" t="s">
        <v>490</v>
      </c>
      <c r="N104" t="s">
        <v>81</v>
      </c>
      <c r="O104">
        <f>COUNTIF(K:K,N104)</f>
        <v>4</v>
      </c>
    </row>
    <row r="105" spans="1:15" x14ac:dyDescent="0.25">
      <c r="A105" t="s">
        <v>87</v>
      </c>
      <c r="B105" t="s">
        <v>124</v>
      </c>
      <c r="C105">
        <f t="shared" si="3"/>
        <v>2023</v>
      </c>
      <c r="D105">
        <f t="shared" si="4"/>
        <v>10</v>
      </c>
      <c r="E105" t="str">
        <f t="shared" si="5"/>
        <v>2023-10</v>
      </c>
      <c r="K105" t="s">
        <v>111</v>
      </c>
      <c r="L105" t="s">
        <v>494</v>
      </c>
      <c r="N105" t="s">
        <v>232</v>
      </c>
      <c r="O105">
        <f>COUNTIF(K:K,N105)</f>
        <v>4</v>
      </c>
    </row>
    <row r="106" spans="1:15" x14ac:dyDescent="0.25">
      <c r="A106" t="s">
        <v>125</v>
      </c>
      <c r="B106" t="s">
        <v>124</v>
      </c>
      <c r="C106">
        <f t="shared" si="3"/>
        <v>2023</v>
      </c>
      <c r="D106">
        <f t="shared" si="4"/>
        <v>10</v>
      </c>
      <c r="E106" t="str">
        <f t="shared" si="5"/>
        <v>2023-10</v>
      </c>
      <c r="K106" t="s">
        <v>111</v>
      </c>
      <c r="L106" t="s">
        <v>496</v>
      </c>
      <c r="N106" t="s">
        <v>103</v>
      </c>
      <c r="O106">
        <f>COUNTIF(K:K,N106)</f>
        <v>4</v>
      </c>
    </row>
    <row r="107" spans="1:15" x14ac:dyDescent="0.25">
      <c r="A107" t="s">
        <v>126</v>
      </c>
      <c r="B107" t="s">
        <v>124</v>
      </c>
      <c r="C107">
        <f t="shared" si="3"/>
        <v>2023</v>
      </c>
      <c r="D107">
        <f t="shared" si="4"/>
        <v>10</v>
      </c>
      <c r="E107" t="str">
        <f t="shared" si="5"/>
        <v>2023-10</v>
      </c>
      <c r="K107" t="s">
        <v>111</v>
      </c>
      <c r="L107" t="s">
        <v>499</v>
      </c>
      <c r="N107" t="s">
        <v>134</v>
      </c>
      <c r="O107">
        <f>COUNTIF(K:K,N107)</f>
        <v>4</v>
      </c>
    </row>
    <row r="108" spans="1:15" x14ac:dyDescent="0.25">
      <c r="A108" t="s">
        <v>127</v>
      </c>
      <c r="B108" t="s">
        <v>124</v>
      </c>
      <c r="C108">
        <f t="shared" si="3"/>
        <v>2023</v>
      </c>
      <c r="D108">
        <f t="shared" si="4"/>
        <v>10</v>
      </c>
      <c r="E108" t="str">
        <f t="shared" si="5"/>
        <v>2023-10</v>
      </c>
      <c r="K108" t="s">
        <v>84</v>
      </c>
      <c r="L108" t="s">
        <v>489</v>
      </c>
      <c r="N108" t="s">
        <v>112</v>
      </c>
      <c r="O108">
        <f>COUNTIF(K:K,N108)</f>
        <v>4</v>
      </c>
    </row>
    <row r="109" spans="1:15" x14ac:dyDescent="0.25">
      <c r="A109" t="s">
        <v>24</v>
      </c>
      <c r="B109" t="s">
        <v>124</v>
      </c>
      <c r="C109">
        <f t="shared" si="3"/>
        <v>2023</v>
      </c>
      <c r="D109">
        <f t="shared" si="4"/>
        <v>10</v>
      </c>
      <c r="E109" t="str">
        <f t="shared" si="5"/>
        <v>2023-10</v>
      </c>
      <c r="K109" t="s">
        <v>84</v>
      </c>
      <c r="L109" t="s">
        <v>490</v>
      </c>
      <c r="N109" t="s">
        <v>198</v>
      </c>
      <c r="O109">
        <f>COUNTIF(K:K,N109)</f>
        <v>4</v>
      </c>
    </row>
    <row r="110" spans="1:15" x14ac:dyDescent="0.25">
      <c r="A110" t="s">
        <v>126</v>
      </c>
      <c r="B110" t="s">
        <v>128</v>
      </c>
      <c r="C110">
        <f t="shared" si="3"/>
        <v>2023</v>
      </c>
      <c r="D110">
        <f t="shared" si="4"/>
        <v>10</v>
      </c>
      <c r="E110" t="str">
        <f t="shared" si="5"/>
        <v>2023-10</v>
      </c>
      <c r="K110" t="s">
        <v>84</v>
      </c>
      <c r="L110" t="s">
        <v>494</v>
      </c>
      <c r="N110" t="s">
        <v>123</v>
      </c>
      <c r="O110">
        <f>COUNTIF(K:K,N110)</f>
        <v>4</v>
      </c>
    </row>
    <row r="111" spans="1:15" x14ac:dyDescent="0.25">
      <c r="A111" t="s">
        <v>129</v>
      </c>
      <c r="B111" t="s">
        <v>128</v>
      </c>
      <c r="C111">
        <f t="shared" si="3"/>
        <v>2023</v>
      </c>
      <c r="D111">
        <f t="shared" si="4"/>
        <v>10</v>
      </c>
      <c r="E111" t="str">
        <f t="shared" si="5"/>
        <v>2023-10</v>
      </c>
      <c r="K111" t="s">
        <v>84</v>
      </c>
      <c r="L111" t="s">
        <v>496</v>
      </c>
      <c r="N111" t="s">
        <v>29</v>
      </c>
      <c r="O111">
        <f>COUNTIF(K:K,N111)</f>
        <v>4</v>
      </c>
    </row>
    <row r="112" spans="1:15" x14ac:dyDescent="0.25">
      <c r="A112" t="s">
        <v>127</v>
      </c>
      <c r="B112" t="s">
        <v>128</v>
      </c>
      <c r="C112">
        <f t="shared" si="3"/>
        <v>2023</v>
      </c>
      <c r="D112">
        <f t="shared" si="4"/>
        <v>10</v>
      </c>
      <c r="E112" t="str">
        <f t="shared" si="5"/>
        <v>2023-10</v>
      </c>
      <c r="K112" t="s">
        <v>84</v>
      </c>
      <c r="L112" t="s">
        <v>499</v>
      </c>
      <c r="N112" t="s">
        <v>203</v>
      </c>
      <c r="O112">
        <f>COUNTIF(K:K,N112)</f>
        <v>4</v>
      </c>
    </row>
    <row r="113" spans="1:15" x14ac:dyDescent="0.25">
      <c r="A113" t="s">
        <v>18</v>
      </c>
      <c r="B113" t="s">
        <v>128</v>
      </c>
      <c r="C113">
        <f t="shared" si="3"/>
        <v>2023</v>
      </c>
      <c r="D113">
        <f t="shared" si="4"/>
        <v>10</v>
      </c>
      <c r="E113" t="str">
        <f t="shared" si="5"/>
        <v>2023-10</v>
      </c>
      <c r="K113" t="s">
        <v>240</v>
      </c>
      <c r="L113" t="s">
        <v>492</v>
      </c>
      <c r="N113" t="s">
        <v>271</v>
      </c>
      <c r="O113">
        <f>COUNTIF(K:K,N113)</f>
        <v>4</v>
      </c>
    </row>
    <row r="114" spans="1:15" x14ac:dyDescent="0.25">
      <c r="A114" t="s">
        <v>28</v>
      </c>
      <c r="B114" t="s">
        <v>128</v>
      </c>
      <c r="C114">
        <f t="shared" si="3"/>
        <v>2023</v>
      </c>
      <c r="D114">
        <f t="shared" si="4"/>
        <v>10</v>
      </c>
      <c r="E114" t="str">
        <f t="shared" si="5"/>
        <v>2023-10</v>
      </c>
      <c r="K114" t="s">
        <v>240</v>
      </c>
      <c r="L114" t="s">
        <v>493</v>
      </c>
      <c r="N114" t="s">
        <v>280</v>
      </c>
      <c r="O114">
        <f>COUNTIF(K:K,N114)</f>
        <v>4</v>
      </c>
    </row>
    <row r="115" spans="1:15" x14ac:dyDescent="0.25">
      <c r="A115" t="s">
        <v>130</v>
      </c>
      <c r="B115" t="s">
        <v>128</v>
      </c>
      <c r="C115">
        <f t="shared" si="3"/>
        <v>2023</v>
      </c>
      <c r="D115">
        <f t="shared" si="4"/>
        <v>10</v>
      </c>
      <c r="E115" t="str">
        <f t="shared" si="5"/>
        <v>2023-10</v>
      </c>
      <c r="K115" t="s">
        <v>240</v>
      </c>
      <c r="L115" t="s">
        <v>494</v>
      </c>
      <c r="N115" t="s">
        <v>293</v>
      </c>
      <c r="O115">
        <f>COUNTIF(K:K,N115)</f>
        <v>4</v>
      </c>
    </row>
    <row r="116" spans="1:15" x14ac:dyDescent="0.25">
      <c r="A116" t="s">
        <v>31</v>
      </c>
      <c r="B116" t="s">
        <v>128</v>
      </c>
      <c r="C116">
        <f t="shared" si="3"/>
        <v>2023</v>
      </c>
      <c r="D116">
        <f t="shared" si="4"/>
        <v>10</v>
      </c>
      <c r="E116" t="str">
        <f t="shared" si="5"/>
        <v>2023-10</v>
      </c>
      <c r="K116" t="s">
        <v>240</v>
      </c>
      <c r="L116" t="s">
        <v>500</v>
      </c>
      <c r="N116" t="s">
        <v>61</v>
      </c>
      <c r="O116">
        <f>COUNTIF(K:K,N116)</f>
        <v>4</v>
      </c>
    </row>
    <row r="117" spans="1:15" x14ac:dyDescent="0.25">
      <c r="A117" t="s">
        <v>131</v>
      </c>
      <c r="B117" t="s">
        <v>132</v>
      </c>
      <c r="C117">
        <f t="shared" si="3"/>
        <v>2023</v>
      </c>
      <c r="D117">
        <f t="shared" si="4"/>
        <v>10</v>
      </c>
      <c r="E117" t="str">
        <f t="shared" si="5"/>
        <v>2023-10</v>
      </c>
      <c r="K117" t="s">
        <v>75</v>
      </c>
      <c r="L117" t="s">
        <v>489</v>
      </c>
      <c r="N117" t="s">
        <v>185</v>
      </c>
      <c r="O117">
        <f>COUNTIF(K:K,N117)</f>
        <v>4</v>
      </c>
    </row>
    <row r="118" spans="1:15" x14ac:dyDescent="0.25">
      <c r="A118" t="s">
        <v>85</v>
      </c>
      <c r="B118" t="s">
        <v>132</v>
      </c>
      <c r="C118">
        <f t="shared" si="3"/>
        <v>2023</v>
      </c>
      <c r="D118">
        <f t="shared" si="4"/>
        <v>10</v>
      </c>
      <c r="E118" t="str">
        <f t="shared" si="5"/>
        <v>2023-10</v>
      </c>
      <c r="K118" t="s">
        <v>75</v>
      </c>
      <c r="L118" t="s">
        <v>490</v>
      </c>
      <c r="N118" t="s">
        <v>163</v>
      </c>
      <c r="O118">
        <f>COUNTIF(K:K,N118)</f>
        <v>4</v>
      </c>
    </row>
    <row r="119" spans="1:15" x14ac:dyDescent="0.25">
      <c r="A119" t="s">
        <v>93</v>
      </c>
      <c r="B119" t="s">
        <v>132</v>
      </c>
      <c r="C119">
        <f t="shared" si="3"/>
        <v>2023</v>
      </c>
      <c r="D119">
        <f t="shared" si="4"/>
        <v>10</v>
      </c>
      <c r="E119" t="str">
        <f t="shared" si="5"/>
        <v>2023-10</v>
      </c>
      <c r="K119" t="s">
        <v>75</v>
      </c>
      <c r="L119" t="s">
        <v>491</v>
      </c>
      <c r="N119" t="s">
        <v>296</v>
      </c>
      <c r="O119">
        <f>COUNTIF(K:K,N119)</f>
        <v>4</v>
      </c>
    </row>
    <row r="120" spans="1:15" x14ac:dyDescent="0.25">
      <c r="A120" t="s">
        <v>133</v>
      </c>
      <c r="B120" t="s">
        <v>132</v>
      </c>
      <c r="C120">
        <f t="shared" si="3"/>
        <v>2023</v>
      </c>
      <c r="D120">
        <f t="shared" si="4"/>
        <v>10</v>
      </c>
      <c r="E120" t="str">
        <f t="shared" si="5"/>
        <v>2023-10</v>
      </c>
      <c r="K120" t="s">
        <v>75</v>
      </c>
      <c r="L120" t="s">
        <v>495</v>
      </c>
      <c r="N120" t="s">
        <v>190</v>
      </c>
      <c r="O120">
        <f>COUNTIF(K:K,N120)</f>
        <v>4</v>
      </c>
    </row>
    <row r="121" spans="1:15" x14ac:dyDescent="0.25">
      <c r="A121" t="s">
        <v>134</v>
      </c>
      <c r="B121" t="s">
        <v>135</v>
      </c>
      <c r="C121">
        <f t="shared" si="3"/>
        <v>2023</v>
      </c>
      <c r="D121">
        <f t="shared" si="4"/>
        <v>10</v>
      </c>
      <c r="E121" t="str">
        <f t="shared" si="5"/>
        <v>2023-10</v>
      </c>
      <c r="K121" t="s">
        <v>75</v>
      </c>
      <c r="L121" t="s">
        <v>496</v>
      </c>
      <c r="N121" t="s">
        <v>172</v>
      </c>
      <c r="O121">
        <f>COUNTIF(K:K,N121)</f>
        <v>4</v>
      </c>
    </row>
    <row r="122" spans="1:15" x14ac:dyDescent="0.25">
      <c r="A122" t="s">
        <v>125</v>
      </c>
      <c r="B122" t="s">
        <v>135</v>
      </c>
      <c r="C122">
        <f t="shared" si="3"/>
        <v>2023</v>
      </c>
      <c r="D122">
        <f t="shared" si="4"/>
        <v>10</v>
      </c>
      <c r="E122" t="str">
        <f t="shared" si="5"/>
        <v>2023-10</v>
      </c>
      <c r="K122" t="s">
        <v>75</v>
      </c>
      <c r="L122" t="s">
        <v>499</v>
      </c>
      <c r="N122" t="s">
        <v>157</v>
      </c>
      <c r="O122">
        <f>COUNTIF(K:K,N122)</f>
        <v>4</v>
      </c>
    </row>
    <row r="123" spans="1:15" x14ac:dyDescent="0.25">
      <c r="A123" t="s">
        <v>16</v>
      </c>
      <c r="B123" t="s">
        <v>135</v>
      </c>
      <c r="C123">
        <f t="shared" si="3"/>
        <v>2023</v>
      </c>
      <c r="D123">
        <f t="shared" si="4"/>
        <v>10</v>
      </c>
      <c r="E123" t="str">
        <f t="shared" si="5"/>
        <v>2023-10</v>
      </c>
      <c r="K123" t="s">
        <v>55</v>
      </c>
      <c r="L123" t="s">
        <v>489</v>
      </c>
      <c r="N123" t="s">
        <v>31</v>
      </c>
      <c r="O123">
        <f>COUNTIF(K:K,N123)</f>
        <v>4</v>
      </c>
    </row>
    <row r="124" spans="1:15" x14ac:dyDescent="0.25">
      <c r="A124" t="s">
        <v>136</v>
      </c>
      <c r="B124" t="s">
        <v>135</v>
      </c>
      <c r="C124">
        <f t="shared" si="3"/>
        <v>2023</v>
      </c>
      <c r="D124">
        <f t="shared" si="4"/>
        <v>10</v>
      </c>
      <c r="E124" t="str">
        <f t="shared" si="5"/>
        <v>2023-10</v>
      </c>
      <c r="K124" t="s">
        <v>55</v>
      </c>
      <c r="L124" t="s">
        <v>491</v>
      </c>
      <c r="N124" t="s">
        <v>292</v>
      </c>
      <c r="O124">
        <f>COUNTIF(K:K,N124)</f>
        <v>4</v>
      </c>
    </row>
    <row r="125" spans="1:15" x14ac:dyDescent="0.25">
      <c r="A125" t="s">
        <v>18</v>
      </c>
      <c r="B125" t="s">
        <v>137</v>
      </c>
      <c r="C125">
        <f t="shared" si="3"/>
        <v>2023</v>
      </c>
      <c r="D125">
        <f t="shared" si="4"/>
        <v>10</v>
      </c>
      <c r="E125" t="str">
        <f t="shared" si="5"/>
        <v>2023-10</v>
      </c>
      <c r="K125" t="s">
        <v>55</v>
      </c>
      <c r="L125" t="s">
        <v>492</v>
      </c>
      <c r="N125" t="s">
        <v>126</v>
      </c>
      <c r="O125">
        <f>COUNTIF(K:K,N125)</f>
        <v>3</v>
      </c>
    </row>
    <row r="126" spans="1:15" x14ac:dyDescent="0.25">
      <c r="A126" t="s">
        <v>138</v>
      </c>
      <c r="B126" t="s">
        <v>137</v>
      </c>
      <c r="C126">
        <f t="shared" si="3"/>
        <v>2023</v>
      </c>
      <c r="D126">
        <f t="shared" si="4"/>
        <v>10</v>
      </c>
      <c r="E126" t="str">
        <f t="shared" si="5"/>
        <v>2023-10</v>
      </c>
      <c r="K126" t="s">
        <v>55</v>
      </c>
      <c r="L126" t="s">
        <v>494</v>
      </c>
      <c r="N126" t="s">
        <v>130</v>
      </c>
      <c r="O126">
        <f>COUNTIF(K:K,N126)</f>
        <v>3</v>
      </c>
    </row>
    <row r="127" spans="1:15" x14ac:dyDescent="0.25">
      <c r="A127" t="s">
        <v>139</v>
      </c>
      <c r="B127" t="s">
        <v>137</v>
      </c>
      <c r="C127">
        <f t="shared" si="3"/>
        <v>2023</v>
      </c>
      <c r="D127">
        <f t="shared" si="4"/>
        <v>10</v>
      </c>
      <c r="E127" t="str">
        <f t="shared" si="5"/>
        <v>2023-10</v>
      </c>
      <c r="K127" t="s">
        <v>55</v>
      </c>
      <c r="L127" t="s">
        <v>499</v>
      </c>
      <c r="N127" t="s">
        <v>170</v>
      </c>
      <c r="O127">
        <f>COUNTIF(K:K,N127)</f>
        <v>3</v>
      </c>
    </row>
    <row r="128" spans="1:15" x14ac:dyDescent="0.25">
      <c r="A128" t="s">
        <v>70</v>
      </c>
      <c r="B128" t="s">
        <v>137</v>
      </c>
      <c r="C128">
        <f t="shared" si="3"/>
        <v>2023</v>
      </c>
      <c r="D128">
        <f t="shared" si="4"/>
        <v>10</v>
      </c>
      <c r="E128" t="str">
        <f t="shared" si="5"/>
        <v>2023-10</v>
      </c>
      <c r="K128" t="s">
        <v>55</v>
      </c>
      <c r="L128" t="s">
        <v>500</v>
      </c>
      <c r="N128" t="s">
        <v>227</v>
      </c>
      <c r="O128">
        <f>COUNTIF(K:K,N128)</f>
        <v>3</v>
      </c>
    </row>
    <row r="129" spans="1:15" x14ac:dyDescent="0.25">
      <c r="A129" t="s">
        <v>108</v>
      </c>
      <c r="B129" t="s">
        <v>137</v>
      </c>
      <c r="C129">
        <f t="shared" si="3"/>
        <v>2023</v>
      </c>
      <c r="D129">
        <f t="shared" si="4"/>
        <v>10</v>
      </c>
      <c r="E129" t="str">
        <f t="shared" si="5"/>
        <v>2023-10</v>
      </c>
      <c r="K129" t="s">
        <v>40</v>
      </c>
      <c r="L129" t="s">
        <v>489</v>
      </c>
      <c r="N129" t="s">
        <v>149</v>
      </c>
      <c r="O129">
        <f>COUNTIF(K:K,N129)</f>
        <v>3</v>
      </c>
    </row>
    <row r="130" spans="1:15" x14ac:dyDescent="0.25">
      <c r="A130" t="s">
        <v>95</v>
      </c>
      <c r="B130" t="s">
        <v>137</v>
      </c>
      <c r="C130">
        <f t="shared" si="3"/>
        <v>2023</v>
      </c>
      <c r="D130">
        <f t="shared" si="4"/>
        <v>10</v>
      </c>
      <c r="E130" t="str">
        <f t="shared" si="5"/>
        <v>2023-10</v>
      </c>
      <c r="K130" t="s">
        <v>40</v>
      </c>
      <c r="L130" t="s">
        <v>491</v>
      </c>
      <c r="N130" t="s">
        <v>188</v>
      </c>
      <c r="O130">
        <f>COUNTIF(K:K,N130)</f>
        <v>3</v>
      </c>
    </row>
    <row r="131" spans="1:15" x14ac:dyDescent="0.25">
      <c r="A131" t="s">
        <v>140</v>
      </c>
      <c r="B131" t="s">
        <v>137</v>
      </c>
      <c r="C131">
        <f t="shared" ref="C131:C194" si="6">YEAR(B131)</f>
        <v>2023</v>
      </c>
      <c r="D131">
        <f t="shared" ref="D131:D194" si="7">MONTH(B131)</f>
        <v>10</v>
      </c>
      <c r="E131" t="str">
        <f t="shared" ref="E131:E194" si="8">C131&amp;"-"&amp;D131</f>
        <v>2023-10</v>
      </c>
      <c r="K131" t="s">
        <v>40</v>
      </c>
      <c r="L131" t="s">
        <v>497</v>
      </c>
      <c r="N131" t="s">
        <v>237</v>
      </c>
      <c r="O131">
        <f>COUNTIF(K:K,N131)</f>
        <v>3</v>
      </c>
    </row>
    <row r="132" spans="1:15" x14ac:dyDescent="0.25">
      <c r="A132" t="s">
        <v>66</v>
      </c>
      <c r="B132" t="s">
        <v>137</v>
      </c>
      <c r="C132">
        <f t="shared" si="6"/>
        <v>2023</v>
      </c>
      <c r="D132">
        <f t="shared" si="7"/>
        <v>10</v>
      </c>
      <c r="E132" t="str">
        <f t="shared" si="8"/>
        <v>2023-10</v>
      </c>
      <c r="K132" t="s">
        <v>40</v>
      </c>
      <c r="L132" t="s">
        <v>499</v>
      </c>
      <c r="N132" t="s">
        <v>302</v>
      </c>
      <c r="O132">
        <f>COUNTIF(K:K,N132)</f>
        <v>3</v>
      </c>
    </row>
    <row r="133" spans="1:15" x14ac:dyDescent="0.25">
      <c r="A133" t="s">
        <v>141</v>
      </c>
      <c r="B133" t="s">
        <v>137</v>
      </c>
      <c r="C133">
        <f t="shared" si="6"/>
        <v>2023</v>
      </c>
      <c r="D133">
        <f t="shared" si="7"/>
        <v>10</v>
      </c>
      <c r="E133" t="str">
        <f t="shared" si="8"/>
        <v>2023-10</v>
      </c>
      <c r="K133" t="s">
        <v>115</v>
      </c>
      <c r="L133" t="s">
        <v>490</v>
      </c>
      <c r="N133" t="s">
        <v>364</v>
      </c>
      <c r="O133">
        <f>COUNTIF(K:K,N133)</f>
        <v>3</v>
      </c>
    </row>
    <row r="134" spans="1:15" x14ac:dyDescent="0.25">
      <c r="A134" t="s">
        <v>89</v>
      </c>
      <c r="B134" t="s">
        <v>142</v>
      </c>
      <c r="C134">
        <f t="shared" si="6"/>
        <v>2023</v>
      </c>
      <c r="D134">
        <f t="shared" si="7"/>
        <v>10</v>
      </c>
      <c r="E134" t="str">
        <f t="shared" si="8"/>
        <v>2023-10</v>
      </c>
      <c r="K134" t="s">
        <v>115</v>
      </c>
      <c r="L134" t="s">
        <v>491</v>
      </c>
      <c r="N134" t="s">
        <v>187</v>
      </c>
      <c r="O134">
        <f>COUNTIF(K:K,N134)</f>
        <v>3</v>
      </c>
    </row>
    <row r="135" spans="1:15" x14ac:dyDescent="0.25">
      <c r="A135" t="s">
        <v>84</v>
      </c>
      <c r="B135" t="s">
        <v>142</v>
      </c>
      <c r="C135">
        <f t="shared" si="6"/>
        <v>2023</v>
      </c>
      <c r="D135">
        <f t="shared" si="7"/>
        <v>10</v>
      </c>
      <c r="E135" t="str">
        <f t="shared" si="8"/>
        <v>2023-10</v>
      </c>
      <c r="K135" t="s">
        <v>115</v>
      </c>
      <c r="L135" t="s">
        <v>493</v>
      </c>
      <c r="N135" t="s">
        <v>90</v>
      </c>
      <c r="O135">
        <f>COUNTIF(K:K,N135)</f>
        <v>3</v>
      </c>
    </row>
    <row r="136" spans="1:15" x14ac:dyDescent="0.25">
      <c r="A136" t="s">
        <v>70</v>
      </c>
      <c r="B136" t="s">
        <v>143</v>
      </c>
      <c r="C136">
        <f t="shared" si="6"/>
        <v>2023</v>
      </c>
      <c r="D136">
        <f t="shared" si="7"/>
        <v>10</v>
      </c>
      <c r="E136" t="str">
        <f t="shared" si="8"/>
        <v>2023-10</v>
      </c>
      <c r="K136" t="s">
        <v>115</v>
      </c>
      <c r="L136" t="s">
        <v>494</v>
      </c>
      <c r="N136" t="s">
        <v>91</v>
      </c>
      <c r="O136">
        <f>COUNTIF(K:K,N136)</f>
        <v>3</v>
      </c>
    </row>
    <row r="137" spans="1:15" x14ac:dyDescent="0.25">
      <c r="A137" t="s">
        <v>144</v>
      </c>
      <c r="B137" t="s">
        <v>145</v>
      </c>
      <c r="C137">
        <f t="shared" si="6"/>
        <v>2023</v>
      </c>
      <c r="D137">
        <f t="shared" si="7"/>
        <v>10</v>
      </c>
      <c r="E137" t="str">
        <f t="shared" si="8"/>
        <v>2023-10</v>
      </c>
      <c r="K137" t="s">
        <v>115</v>
      </c>
      <c r="L137" t="s">
        <v>495</v>
      </c>
      <c r="N137" t="s">
        <v>125</v>
      </c>
      <c r="O137">
        <f>COUNTIF(K:K,N137)</f>
        <v>3</v>
      </c>
    </row>
    <row r="138" spans="1:15" x14ac:dyDescent="0.25">
      <c r="A138" t="s">
        <v>146</v>
      </c>
      <c r="B138" t="s">
        <v>145</v>
      </c>
      <c r="C138">
        <f t="shared" si="6"/>
        <v>2023</v>
      </c>
      <c r="D138">
        <f t="shared" si="7"/>
        <v>10</v>
      </c>
      <c r="E138" t="str">
        <f t="shared" si="8"/>
        <v>2023-10</v>
      </c>
      <c r="K138" t="s">
        <v>115</v>
      </c>
      <c r="L138" t="s">
        <v>498</v>
      </c>
      <c r="N138" t="s">
        <v>140</v>
      </c>
      <c r="O138">
        <f>COUNTIF(K:K,N138)</f>
        <v>3</v>
      </c>
    </row>
    <row r="139" spans="1:15" x14ac:dyDescent="0.25">
      <c r="A139" t="s">
        <v>131</v>
      </c>
      <c r="B139" t="s">
        <v>145</v>
      </c>
      <c r="C139">
        <f t="shared" si="6"/>
        <v>2023</v>
      </c>
      <c r="D139">
        <f t="shared" si="7"/>
        <v>10</v>
      </c>
      <c r="E139" t="str">
        <f t="shared" si="8"/>
        <v>2023-10</v>
      </c>
      <c r="K139" t="s">
        <v>115</v>
      </c>
      <c r="L139" t="s">
        <v>500</v>
      </c>
      <c r="N139" t="s">
        <v>268</v>
      </c>
      <c r="O139">
        <f>COUNTIF(K:K,N139)</f>
        <v>3</v>
      </c>
    </row>
    <row r="140" spans="1:15" x14ac:dyDescent="0.25">
      <c r="A140" t="s">
        <v>113</v>
      </c>
      <c r="B140" t="s">
        <v>147</v>
      </c>
      <c r="C140">
        <f t="shared" si="6"/>
        <v>2023</v>
      </c>
      <c r="D140">
        <f t="shared" si="7"/>
        <v>10</v>
      </c>
      <c r="E140" t="str">
        <f t="shared" si="8"/>
        <v>2023-10</v>
      </c>
      <c r="K140" t="s">
        <v>417</v>
      </c>
      <c r="L140" t="s">
        <v>499</v>
      </c>
      <c r="N140" t="s">
        <v>16</v>
      </c>
      <c r="O140">
        <f>COUNTIF(K:K,N140)</f>
        <v>3</v>
      </c>
    </row>
    <row r="141" spans="1:15" x14ac:dyDescent="0.25">
      <c r="A141" t="s">
        <v>95</v>
      </c>
      <c r="B141" t="s">
        <v>147</v>
      </c>
      <c r="C141">
        <f t="shared" si="6"/>
        <v>2023</v>
      </c>
      <c r="D141">
        <f t="shared" si="7"/>
        <v>10</v>
      </c>
      <c r="E141" t="str">
        <f t="shared" si="8"/>
        <v>2023-10</v>
      </c>
      <c r="K141" t="s">
        <v>22</v>
      </c>
      <c r="L141" t="s">
        <v>489</v>
      </c>
      <c r="N141" t="s">
        <v>153</v>
      </c>
      <c r="O141">
        <f>COUNTIF(K:K,N141)</f>
        <v>3</v>
      </c>
    </row>
    <row r="142" spans="1:15" x14ac:dyDescent="0.25">
      <c r="A142" t="s">
        <v>148</v>
      </c>
      <c r="B142" t="s">
        <v>147</v>
      </c>
      <c r="C142">
        <f t="shared" si="6"/>
        <v>2023</v>
      </c>
      <c r="D142">
        <f t="shared" si="7"/>
        <v>10</v>
      </c>
      <c r="E142" t="str">
        <f t="shared" si="8"/>
        <v>2023-10</v>
      </c>
      <c r="K142" t="s">
        <v>22</v>
      </c>
      <c r="L142" t="s">
        <v>492</v>
      </c>
      <c r="N142" t="s">
        <v>197</v>
      </c>
      <c r="O142">
        <f>COUNTIF(K:K,N142)</f>
        <v>3</v>
      </c>
    </row>
    <row r="143" spans="1:15" x14ac:dyDescent="0.25">
      <c r="A143" t="s">
        <v>149</v>
      </c>
      <c r="B143" t="s">
        <v>147</v>
      </c>
      <c r="C143">
        <f t="shared" si="6"/>
        <v>2023</v>
      </c>
      <c r="D143">
        <f t="shared" si="7"/>
        <v>10</v>
      </c>
      <c r="E143" t="str">
        <f t="shared" si="8"/>
        <v>2023-10</v>
      </c>
      <c r="K143" t="s">
        <v>22</v>
      </c>
      <c r="L143" t="s">
        <v>493</v>
      </c>
      <c r="N143" t="s">
        <v>121</v>
      </c>
      <c r="O143">
        <f>COUNTIF(K:K,N143)</f>
        <v>3</v>
      </c>
    </row>
    <row r="144" spans="1:15" x14ac:dyDescent="0.25">
      <c r="A144" t="s">
        <v>150</v>
      </c>
      <c r="B144" t="s">
        <v>147</v>
      </c>
      <c r="C144">
        <f t="shared" si="6"/>
        <v>2023</v>
      </c>
      <c r="D144">
        <f t="shared" si="7"/>
        <v>10</v>
      </c>
      <c r="E144" t="str">
        <f t="shared" si="8"/>
        <v>2023-10</v>
      </c>
      <c r="K144" t="s">
        <v>22</v>
      </c>
      <c r="L144" t="s">
        <v>499</v>
      </c>
      <c r="N144" t="s">
        <v>312</v>
      </c>
      <c r="O144">
        <f>COUNTIF(K:K,N144)</f>
        <v>3</v>
      </c>
    </row>
    <row r="145" spans="1:15" x14ac:dyDescent="0.25">
      <c r="A145" t="s">
        <v>151</v>
      </c>
      <c r="B145" t="s">
        <v>147</v>
      </c>
      <c r="C145">
        <f t="shared" si="6"/>
        <v>2023</v>
      </c>
      <c r="D145">
        <f t="shared" si="7"/>
        <v>10</v>
      </c>
      <c r="E145" t="str">
        <f t="shared" si="8"/>
        <v>2023-10</v>
      </c>
      <c r="K145" t="s">
        <v>39</v>
      </c>
      <c r="L145" t="s">
        <v>489</v>
      </c>
      <c r="N145" t="s">
        <v>252</v>
      </c>
      <c r="O145">
        <f>COUNTIF(K:K,N145)</f>
        <v>3</v>
      </c>
    </row>
    <row r="146" spans="1:15" x14ac:dyDescent="0.25">
      <c r="A146" t="s">
        <v>86</v>
      </c>
      <c r="B146" t="s">
        <v>147</v>
      </c>
      <c r="C146">
        <f t="shared" si="6"/>
        <v>2023</v>
      </c>
      <c r="D146">
        <f t="shared" si="7"/>
        <v>10</v>
      </c>
      <c r="E146" t="str">
        <f t="shared" si="8"/>
        <v>2023-10</v>
      </c>
      <c r="K146" t="s">
        <v>39</v>
      </c>
      <c r="L146" t="s">
        <v>491</v>
      </c>
      <c r="N146" t="s">
        <v>223</v>
      </c>
      <c r="O146">
        <f>COUNTIF(K:K,N146)</f>
        <v>3</v>
      </c>
    </row>
    <row r="147" spans="1:15" x14ac:dyDescent="0.25">
      <c r="A147" t="s">
        <v>47</v>
      </c>
      <c r="B147" t="s">
        <v>152</v>
      </c>
      <c r="C147">
        <f t="shared" si="6"/>
        <v>2023</v>
      </c>
      <c r="D147">
        <f t="shared" si="7"/>
        <v>10</v>
      </c>
      <c r="E147" t="str">
        <f t="shared" si="8"/>
        <v>2023-10</v>
      </c>
      <c r="K147" t="s">
        <v>39</v>
      </c>
      <c r="L147" t="s">
        <v>492</v>
      </c>
      <c r="N147" t="s">
        <v>249</v>
      </c>
      <c r="O147">
        <f>COUNTIF(K:K,N147)</f>
        <v>3</v>
      </c>
    </row>
    <row r="148" spans="1:15" x14ac:dyDescent="0.25">
      <c r="A148" t="s">
        <v>11</v>
      </c>
      <c r="B148" t="s">
        <v>152</v>
      </c>
      <c r="C148">
        <f t="shared" si="6"/>
        <v>2023</v>
      </c>
      <c r="D148">
        <f t="shared" si="7"/>
        <v>10</v>
      </c>
      <c r="E148" t="str">
        <f t="shared" si="8"/>
        <v>2023-10</v>
      </c>
      <c r="K148" t="s">
        <v>39</v>
      </c>
      <c r="L148" t="s">
        <v>494</v>
      </c>
      <c r="N148" t="s">
        <v>214</v>
      </c>
      <c r="O148">
        <f>COUNTIF(K:K,N148)</f>
        <v>3</v>
      </c>
    </row>
    <row r="149" spans="1:15" x14ac:dyDescent="0.25">
      <c r="A149" t="s">
        <v>153</v>
      </c>
      <c r="B149" t="s">
        <v>152</v>
      </c>
      <c r="C149">
        <f t="shared" si="6"/>
        <v>2023</v>
      </c>
      <c r="D149">
        <f t="shared" si="7"/>
        <v>10</v>
      </c>
      <c r="E149" t="str">
        <f t="shared" si="8"/>
        <v>2023-10</v>
      </c>
      <c r="K149" t="s">
        <v>39</v>
      </c>
      <c r="L149" t="s">
        <v>496</v>
      </c>
      <c r="N149" t="s">
        <v>219</v>
      </c>
      <c r="O149">
        <f>COUNTIF(K:K,N149)</f>
        <v>3</v>
      </c>
    </row>
    <row r="150" spans="1:15" x14ac:dyDescent="0.25">
      <c r="A150" t="s">
        <v>141</v>
      </c>
      <c r="B150" t="s">
        <v>154</v>
      </c>
      <c r="C150">
        <f t="shared" si="6"/>
        <v>2023</v>
      </c>
      <c r="D150">
        <f t="shared" si="7"/>
        <v>10</v>
      </c>
      <c r="E150" t="str">
        <f t="shared" si="8"/>
        <v>2023-10</v>
      </c>
      <c r="K150" t="s">
        <v>130</v>
      </c>
      <c r="L150" t="s">
        <v>490</v>
      </c>
      <c r="N150" t="s">
        <v>45</v>
      </c>
      <c r="O150">
        <f>COUNTIF(K:K,N150)</f>
        <v>3</v>
      </c>
    </row>
    <row r="151" spans="1:15" x14ac:dyDescent="0.25">
      <c r="A151" t="s">
        <v>133</v>
      </c>
      <c r="B151" t="s">
        <v>154</v>
      </c>
      <c r="C151">
        <f t="shared" si="6"/>
        <v>2023</v>
      </c>
      <c r="D151">
        <f t="shared" si="7"/>
        <v>10</v>
      </c>
      <c r="E151" t="str">
        <f t="shared" si="8"/>
        <v>2023-10</v>
      </c>
      <c r="K151" t="s">
        <v>130</v>
      </c>
      <c r="L151" t="s">
        <v>491</v>
      </c>
      <c r="N151" t="s">
        <v>275</v>
      </c>
      <c r="O151">
        <f>COUNTIF(K:K,N151)</f>
        <v>3</v>
      </c>
    </row>
    <row r="152" spans="1:15" x14ac:dyDescent="0.25">
      <c r="A152" t="s">
        <v>64</v>
      </c>
      <c r="B152" t="s">
        <v>155</v>
      </c>
      <c r="C152">
        <f t="shared" si="6"/>
        <v>2023</v>
      </c>
      <c r="D152">
        <f t="shared" si="7"/>
        <v>10</v>
      </c>
      <c r="E152" t="str">
        <f t="shared" si="8"/>
        <v>2023-10</v>
      </c>
      <c r="K152" t="s">
        <v>130</v>
      </c>
      <c r="L152" t="s">
        <v>494</v>
      </c>
      <c r="N152" t="s">
        <v>13</v>
      </c>
      <c r="O152">
        <f>COUNTIF(K:K,N152)</f>
        <v>3</v>
      </c>
    </row>
    <row r="153" spans="1:15" x14ac:dyDescent="0.25">
      <c r="A153" t="s">
        <v>156</v>
      </c>
      <c r="B153" t="s">
        <v>155</v>
      </c>
      <c r="C153">
        <f t="shared" si="6"/>
        <v>2023</v>
      </c>
      <c r="D153">
        <f t="shared" si="7"/>
        <v>10</v>
      </c>
      <c r="E153" t="str">
        <f t="shared" si="8"/>
        <v>2023-10</v>
      </c>
      <c r="K153" t="s">
        <v>19</v>
      </c>
      <c r="L153" t="s">
        <v>489</v>
      </c>
      <c r="N153" t="s">
        <v>212</v>
      </c>
      <c r="O153">
        <f>COUNTIF(K:K,N153)</f>
        <v>3</v>
      </c>
    </row>
    <row r="154" spans="1:15" x14ac:dyDescent="0.25">
      <c r="A154" t="s">
        <v>45</v>
      </c>
      <c r="B154" t="s">
        <v>155</v>
      </c>
      <c r="C154">
        <f t="shared" si="6"/>
        <v>2023</v>
      </c>
      <c r="D154">
        <f t="shared" si="7"/>
        <v>10</v>
      </c>
      <c r="E154" t="str">
        <f t="shared" si="8"/>
        <v>2023-10</v>
      </c>
      <c r="K154" t="s">
        <v>19</v>
      </c>
      <c r="L154" t="s">
        <v>493</v>
      </c>
      <c r="N154" t="s">
        <v>287</v>
      </c>
      <c r="O154">
        <f>COUNTIF(K:K,N154)</f>
        <v>3</v>
      </c>
    </row>
    <row r="155" spans="1:15" x14ac:dyDescent="0.25">
      <c r="A155" t="s">
        <v>29</v>
      </c>
      <c r="B155" t="s">
        <v>155</v>
      </c>
      <c r="C155">
        <f t="shared" si="6"/>
        <v>2023</v>
      </c>
      <c r="D155">
        <f t="shared" si="7"/>
        <v>10</v>
      </c>
      <c r="E155" t="str">
        <f t="shared" si="8"/>
        <v>2023-10</v>
      </c>
      <c r="K155" t="s">
        <v>229</v>
      </c>
      <c r="L155" t="s">
        <v>492</v>
      </c>
      <c r="N155" t="s">
        <v>18</v>
      </c>
      <c r="O155">
        <f>COUNTIF(K:K,N155)</f>
        <v>3</v>
      </c>
    </row>
    <row r="156" spans="1:15" x14ac:dyDescent="0.25">
      <c r="A156" t="s">
        <v>109</v>
      </c>
      <c r="B156" t="s">
        <v>155</v>
      </c>
      <c r="C156">
        <f t="shared" si="6"/>
        <v>2023</v>
      </c>
      <c r="D156">
        <f t="shared" si="7"/>
        <v>10</v>
      </c>
      <c r="E156" t="str">
        <f t="shared" si="8"/>
        <v>2023-10</v>
      </c>
      <c r="K156" t="s">
        <v>229</v>
      </c>
      <c r="L156" t="s">
        <v>497</v>
      </c>
      <c r="N156" t="s">
        <v>160</v>
      </c>
      <c r="O156">
        <f>COUNTIF(K:K,N156)</f>
        <v>3</v>
      </c>
    </row>
    <row r="157" spans="1:15" x14ac:dyDescent="0.25">
      <c r="A157" t="s">
        <v>157</v>
      </c>
      <c r="B157" t="s">
        <v>155</v>
      </c>
      <c r="C157">
        <f t="shared" si="6"/>
        <v>2023</v>
      </c>
      <c r="D157">
        <f t="shared" si="7"/>
        <v>10</v>
      </c>
      <c r="E157" t="str">
        <f t="shared" si="8"/>
        <v>2023-10</v>
      </c>
      <c r="K157" t="s">
        <v>229</v>
      </c>
      <c r="L157" t="s">
        <v>498</v>
      </c>
      <c r="N157" t="s">
        <v>41</v>
      </c>
      <c r="O157">
        <f>COUNTIF(K:K,N157)</f>
        <v>3</v>
      </c>
    </row>
    <row r="158" spans="1:15" x14ac:dyDescent="0.25">
      <c r="A158" t="s">
        <v>158</v>
      </c>
      <c r="B158" t="s">
        <v>155</v>
      </c>
      <c r="C158">
        <f t="shared" si="6"/>
        <v>2023</v>
      </c>
      <c r="D158">
        <f t="shared" si="7"/>
        <v>10</v>
      </c>
      <c r="E158" t="str">
        <f t="shared" si="8"/>
        <v>2023-10</v>
      </c>
      <c r="K158" t="s">
        <v>229</v>
      </c>
      <c r="L158" t="s">
        <v>499</v>
      </c>
      <c r="N158" t="s">
        <v>317</v>
      </c>
      <c r="O158">
        <f>COUNTIF(K:K,N158)</f>
        <v>2</v>
      </c>
    </row>
    <row r="159" spans="1:15" x14ac:dyDescent="0.25">
      <c r="A159" t="s">
        <v>79</v>
      </c>
      <c r="B159" t="s">
        <v>155</v>
      </c>
      <c r="C159">
        <f t="shared" si="6"/>
        <v>2023</v>
      </c>
      <c r="D159">
        <f t="shared" si="7"/>
        <v>10</v>
      </c>
      <c r="E159" t="str">
        <f t="shared" si="8"/>
        <v>2023-10</v>
      </c>
      <c r="K159" t="s">
        <v>229</v>
      </c>
      <c r="L159" t="s">
        <v>500</v>
      </c>
      <c r="N159" t="s">
        <v>92</v>
      </c>
      <c r="O159">
        <f>COUNTIF(K:K,N159)</f>
        <v>2</v>
      </c>
    </row>
    <row r="160" spans="1:15" x14ac:dyDescent="0.25">
      <c r="A160" t="s">
        <v>24</v>
      </c>
      <c r="B160" t="s">
        <v>159</v>
      </c>
      <c r="C160">
        <f t="shared" si="6"/>
        <v>2023</v>
      </c>
      <c r="D160">
        <f t="shared" si="7"/>
        <v>10</v>
      </c>
      <c r="E160" t="str">
        <f t="shared" si="8"/>
        <v>2023-10</v>
      </c>
      <c r="K160" t="s">
        <v>170</v>
      </c>
      <c r="L160" t="s">
        <v>491</v>
      </c>
      <c r="N160" t="s">
        <v>168</v>
      </c>
      <c r="O160">
        <f>COUNTIF(K:K,N160)</f>
        <v>2</v>
      </c>
    </row>
    <row r="161" spans="1:15" x14ac:dyDescent="0.25">
      <c r="A161" t="s">
        <v>115</v>
      </c>
      <c r="B161" t="s">
        <v>159</v>
      </c>
      <c r="C161">
        <f t="shared" si="6"/>
        <v>2023</v>
      </c>
      <c r="D161">
        <f t="shared" si="7"/>
        <v>10</v>
      </c>
      <c r="E161" t="str">
        <f t="shared" si="8"/>
        <v>2023-10</v>
      </c>
      <c r="K161" t="s">
        <v>170</v>
      </c>
      <c r="L161" t="s">
        <v>498</v>
      </c>
      <c r="N161" t="s">
        <v>216</v>
      </c>
      <c r="O161">
        <f>COUNTIF(K:K,N161)</f>
        <v>2</v>
      </c>
    </row>
    <row r="162" spans="1:15" x14ac:dyDescent="0.25">
      <c r="A162" t="s">
        <v>160</v>
      </c>
      <c r="B162" t="s">
        <v>159</v>
      </c>
      <c r="C162">
        <f t="shared" si="6"/>
        <v>2023</v>
      </c>
      <c r="D162">
        <f t="shared" si="7"/>
        <v>10</v>
      </c>
      <c r="E162" t="str">
        <f t="shared" si="8"/>
        <v>2023-10</v>
      </c>
      <c r="K162" t="s">
        <v>170</v>
      </c>
      <c r="L162" t="s">
        <v>499</v>
      </c>
      <c r="N162" t="s">
        <v>19</v>
      </c>
      <c r="O162">
        <f>COUNTIF(K:K,N162)</f>
        <v>2</v>
      </c>
    </row>
    <row r="163" spans="1:15" x14ac:dyDescent="0.25">
      <c r="A163" t="s">
        <v>161</v>
      </c>
      <c r="B163" t="s">
        <v>162</v>
      </c>
      <c r="C163">
        <f t="shared" si="6"/>
        <v>2023</v>
      </c>
      <c r="D163">
        <f t="shared" si="7"/>
        <v>11</v>
      </c>
      <c r="E163" t="str">
        <f t="shared" si="8"/>
        <v>2023-11</v>
      </c>
      <c r="K163" t="s">
        <v>227</v>
      </c>
      <c r="L163" t="s">
        <v>492</v>
      </c>
      <c r="N163" t="s">
        <v>35</v>
      </c>
      <c r="O163">
        <f>COUNTIF(K:K,N163)</f>
        <v>2</v>
      </c>
    </row>
    <row r="164" spans="1:15" x14ac:dyDescent="0.25">
      <c r="A164" t="s">
        <v>163</v>
      </c>
      <c r="B164" t="s">
        <v>162</v>
      </c>
      <c r="C164">
        <f t="shared" si="6"/>
        <v>2023</v>
      </c>
      <c r="D164">
        <f t="shared" si="7"/>
        <v>11</v>
      </c>
      <c r="E164" t="str">
        <f t="shared" si="8"/>
        <v>2023-11</v>
      </c>
      <c r="K164" t="s">
        <v>227</v>
      </c>
      <c r="L164" t="s">
        <v>493</v>
      </c>
      <c r="N164" t="s">
        <v>350</v>
      </c>
      <c r="O164">
        <f>COUNTIF(K:K,N164)</f>
        <v>2</v>
      </c>
    </row>
    <row r="165" spans="1:15" x14ac:dyDescent="0.25">
      <c r="A165" t="s">
        <v>108</v>
      </c>
      <c r="B165" t="s">
        <v>162</v>
      </c>
      <c r="C165">
        <f t="shared" si="6"/>
        <v>2023</v>
      </c>
      <c r="D165">
        <f t="shared" si="7"/>
        <v>11</v>
      </c>
      <c r="E165" t="str">
        <f t="shared" si="8"/>
        <v>2023-11</v>
      </c>
      <c r="K165" t="s">
        <v>227</v>
      </c>
      <c r="L165" t="s">
        <v>495</v>
      </c>
      <c r="N165" t="s">
        <v>320</v>
      </c>
      <c r="O165">
        <f>COUNTIF(K:K,N165)</f>
        <v>2</v>
      </c>
    </row>
    <row r="166" spans="1:15" x14ac:dyDescent="0.25">
      <c r="A166" t="s">
        <v>73</v>
      </c>
      <c r="B166" t="s">
        <v>164</v>
      </c>
      <c r="C166">
        <f t="shared" si="6"/>
        <v>2023</v>
      </c>
      <c r="D166">
        <f t="shared" si="7"/>
        <v>11</v>
      </c>
      <c r="E166" t="str">
        <f t="shared" si="8"/>
        <v>2023-11</v>
      </c>
      <c r="K166" t="s">
        <v>264</v>
      </c>
      <c r="L166" t="s">
        <v>493</v>
      </c>
      <c r="N166" t="s">
        <v>120</v>
      </c>
      <c r="O166">
        <f>COUNTIF(K:K,N166)</f>
        <v>2</v>
      </c>
    </row>
    <row r="167" spans="1:15" x14ac:dyDescent="0.25">
      <c r="A167" t="s">
        <v>165</v>
      </c>
      <c r="B167" t="s">
        <v>164</v>
      </c>
      <c r="C167">
        <f t="shared" si="6"/>
        <v>2023</v>
      </c>
      <c r="D167">
        <f t="shared" si="7"/>
        <v>11</v>
      </c>
      <c r="E167" t="str">
        <f t="shared" si="8"/>
        <v>2023-11</v>
      </c>
      <c r="K167" t="s">
        <v>264</v>
      </c>
      <c r="L167" t="s">
        <v>495</v>
      </c>
      <c r="N167" t="s">
        <v>325</v>
      </c>
      <c r="O167">
        <f>COUNTIF(K:K,N167)</f>
        <v>2</v>
      </c>
    </row>
    <row r="168" spans="1:15" x14ac:dyDescent="0.25">
      <c r="A168" t="s">
        <v>166</v>
      </c>
      <c r="B168" t="s">
        <v>167</v>
      </c>
      <c r="C168">
        <f t="shared" si="6"/>
        <v>2023</v>
      </c>
      <c r="D168">
        <f t="shared" si="7"/>
        <v>11</v>
      </c>
      <c r="E168" t="str">
        <f t="shared" si="8"/>
        <v>2023-11</v>
      </c>
      <c r="K168" t="s">
        <v>264</v>
      </c>
      <c r="L168" t="s">
        <v>496</v>
      </c>
      <c r="N168" t="s">
        <v>231</v>
      </c>
      <c r="O168">
        <f>COUNTIF(K:K,N168)</f>
        <v>2</v>
      </c>
    </row>
    <row r="169" spans="1:15" x14ac:dyDescent="0.25">
      <c r="A169" t="s">
        <v>168</v>
      </c>
      <c r="B169" t="s">
        <v>167</v>
      </c>
      <c r="C169">
        <f t="shared" si="6"/>
        <v>2023</v>
      </c>
      <c r="D169">
        <f t="shared" si="7"/>
        <v>11</v>
      </c>
      <c r="E169" t="str">
        <f t="shared" si="8"/>
        <v>2023-11</v>
      </c>
      <c r="K169" t="s">
        <v>264</v>
      </c>
      <c r="L169" t="s">
        <v>497</v>
      </c>
      <c r="N169" t="s">
        <v>69</v>
      </c>
      <c r="O169">
        <f>COUNTIF(K:K,N169)</f>
        <v>2</v>
      </c>
    </row>
    <row r="170" spans="1:15" x14ac:dyDescent="0.25">
      <c r="A170" t="s">
        <v>134</v>
      </c>
      <c r="B170" t="s">
        <v>167</v>
      </c>
      <c r="C170">
        <f t="shared" si="6"/>
        <v>2023</v>
      </c>
      <c r="D170">
        <f t="shared" si="7"/>
        <v>11</v>
      </c>
      <c r="E170" t="str">
        <f t="shared" si="8"/>
        <v>2023-11</v>
      </c>
      <c r="K170" t="s">
        <v>264</v>
      </c>
      <c r="L170" t="s">
        <v>498</v>
      </c>
      <c r="N170" t="s">
        <v>44</v>
      </c>
      <c r="O170">
        <f>COUNTIF(K:K,N170)</f>
        <v>2</v>
      </c>
    </row>
    <row r="171" spans="1:15" x14ac:dyDescent="0.25">
      <c r="A171" t="s">
        <v>75</v>
      </c>
      <c r="B171" t="s">
        <v>169</v>
      </c>
      <c r="C171">
        <f t="shared" si="6"/>
        <v>2023</v>
      </c>
      <c r="D171">
        <f t="shared" si="7"/>
        <v>11</v>
      </c>
      <c r="E171" t="str">
        <f t="shared" si="8"/>
        <v>2023-11</v>
      </c>
      <c r="K171" t="s">
        <v>264</v>
      </c>
      <c r="L171" t="s">
        <v>501</v>
      </c>
      <c r="N171" t="s">
        <v>133</v>
      </c>
      <c r="O171">
        <f>COUNTIF(K:K,N171)</f>
        <v>2</v>
      </c>
    </row>
    <row r="172" spans="1:15" x14ac:dyDescent="0.25">
      <c r="A172" t="s">
        <v>170</v>
      </c>
      <c r="B172" t="s">
        <v>169</v>
      </c>
      <c r="C172">
        <f t="shared" si="6"/>
        <v>2023</v>
      </c>
      <c r="D172">
        <f t="shared" si="7"/>
        <v>11</v>
      </c>
      <c r="E172" t="str">
        <f t="shared" si="8"/>
        <v>2023-11</v>
      </c>
      <c r="K172" t="s">
        <v>281</v>
      </c>
      <c r="L172" t="s">
        <v>493</v>
      </c>
      <c r="N172" t="s">
        <v>200</v>
      </c>
      <c r="O172">
        <f>COUNTIF(K:K,N172)</f>
        <v>2</v>
      </c>
    </row>
    <row r="173" spans="1:15" x14ac:dyDescent="0.25">
      <c r="A173" t="s">
        <v>87</v>
      </c>
      <c r="B173" t="s">
        <v>169</v>
      </c>
      <c r="C173">
        <f t="shared" si="6"/>
        <v>2023</v>
      </c>
      <c r="D173">
        <f t="shared" si="7"/>
        <v>11</v>
      </c>
      <c r="E173" t="str">
        <f t="shared" si="8"/>
        <v>2023-11</v>
      </c>
      <c r="K173" t="s">
        <v>281</v>
      </c>
      <c r="L173" t="s">
        <v>496</v>
      </c>
      <c r="N173" t="s">
        <v>51</v>
      </c>
      <c r="O173">
        <f>COUNTIF(K:K,N173)</f>
        <v>2</v>
      </c>
    </row>
    <row r="174" spans="1:15" x14ac:dyDescent="0.25">
      <c r="A174" t="s">
        <v>171</v>
      </c>
      <c r="B174" t="s">
        <v>169</v>
      </c>
      <c r="C174">
        <f t="shared" si="6"/>
        <v>2023</v>
      </c>
      <c r="D174">
        <f t="shared" si="7"/>
        <v>11</v>
      </c>
      <c r="E174" t="str">
        <f t="shared" si="8"/>
        <v>2023-11</v>
      </c>
      <c r="K174" t="s">
        <v>281</v>
      </c>
      <c r="L174" t="s">
        <v>497</v>
      </c>
      <c r="N174" t="s">
        <v>80</v>
      </c>
      <c r="O174">
        <f>COUNTIF(K:K,N174)</f>
        <v>2</v>
      </c>
    </row>
    <row r="175" spans="1:15" x14ac:dyDescent="0.25">
      <c r="A175" t="s">
        <v>172</v>
      </c>
      <c r="B175" t="s">
        <v>169</v>
      </c>
      <c r="C175">
        <f t="shared" si="6"/>
        <v>2023</v>
      </c>
      <c r="D175">
        <f t="shared" si="7"/>
        <v>11</v>
      </c>
      <c r="E175" t="str">
        <f t="shared" si="8"/>
        <v>2023-11</v>
      </c>
      <c r="K175" t="s">
        <v>281</v>
      </c>
      <c r="L175" t="s">
        <v>498</v>
      </c>
      <c r="N175" t="s">
        <v>127</v>
      </c>
      <c r="O175">
        <f>COUNTIF(K:K,N175)</f>
        <v>2</v>
      </c>
    </row>
    <row r="176" spans="1:15" x14ac:dyDescent="0.25">
      <c r="A176" t="s">
        <v>20</v>
      </c>
      <c r="B176" t="s">
        <v>169</v>
      </c>
      <c r="C176">
        <f t="shared" si="6"/>
        <v>2023</v>
      </c>
      <c r="D176">
        <f t="shared" si="7"/>
        <v>11</v>
      </c>
      <c r="E176" t="str">
        <f t="shared" si="8"/>
        <v>2023-11</v>
      </c>
      <c r="K176" t="s">
        <v>281</v>
      </c>
      <c r="L176" t="s">
        <v>499</v>
      </c>
      <c r="N176" t="s">
        <v>330</v>
      </c>
      <c r="O176">
        <f>COUNTIF(K:K,N176)</f>
        <v>2</v>
      </c>
    </row>
    <row r="177" spans="1:15" x14ac:dyDescent="0.25">
      <c r="A177" t="s">
        <v>63</v>
      </c>
      <c r="B177" t="s">
        <v>169</v>
      </c>
      <c r="C177">
        <f t="shared" si="6"/>
        <v>2023</v>
      </c>
      <c r="D177">
        <f t="shared" si="7"/>
        <v>11</v>
      </c>
      <c r="E177" t="str">
        <f t="shared" si="8"/>
        <v>2023-11</v>
      </c>
      <c r="K177" t="s">
        <v>281</v>
      </c>
      <c r="L177" t="s">
        <v>500</v>
      </c>
      <c r="N177" t="s">
        <v>359</v>
      </c>
      <c r="O177">
        <f>COUNTIF(K:K,N177)</f>
        <v>2</v>
      </c>
    </row>
    <row r="178" spans="1:15" x14ac:dyDescent="0.25">
      <c r="A178" t="s">
        <v>173</v>
      </c>
      <c r="B178" t="s">
        <v>169</v>
      </c>
      <c r="C178">
        <f t="shared" si="6"/>
        <v>2023</v>
      </c>
      <c r="D178">
        <f t="shared" si="7"/>
        <v>11</v>
      </c>
      <c r="E178" t="str">
        <f t="shared" si="8"/>
        <v>2023-11</v>
      </c>
      <c r="K178" t="s">
        <v>131</v>
      </c>
      <c r="L178" t="s">
        <v>490</v>
      </c>
      <c r="N178" t="s">
        <v>338</v>
      </c>
      <c r="O178">
        <f>COUNTIF(K:K,N178)</f>
        <v>2</v>
      </c>
    </row>
    <row r="179" spans="1:15" x14ac:dyDescent="0.25">
      <c r="A179" t="s">
        <v>121</v>
      </c>
      <c r="B179" t="s">
        <v>174</v>
      </c>
      <c r="C179">
        <f t="shared" si="6"/>
        <v>2023</v>
      </c>
      <c r="D179">
        <f t="shared" si="7"/>
        <v>11</v>
      </c>
      <c r="E179" t="str">
        <f t="shared" si="8"/>
        <v>2023-11</v>
      </c>
      <c r="K179" t="s">
        <v>131</v>
      </c>
      <c r="L179" t="s">
        <v>492</v>
      </c>
      <c r="N179" t="s">
        <v>282</v>
      </c>
      <c r="O179">
        <f>COUNTIF(K:K,N179)</f>
        <v>2</v>
      </c>
    </row>
    <row r="180" spans="1:15" x14ac:dyDescent="0.25">
      <c r="A180" t="s">
        <v>136</v>
      </c>
      <c r="B180" t="s">
        <v>174</v>
      </c>
      <c r="C180">
        <f t="shared" si="6"/>
        <v>2023</v>
      </c>
      <c r="D180">
        <f t="shared" si="7"/>
        <v>11</v>
      </c>
      <c r="E180" t="str">
        <f t="shared" si="8"/>
        <v>2023-11</v>
      </c>
      <c r="K180" t="s">
        <v>131</v>
      </c>
      <c r="L180" t="s">
        <v>493</v>
      </c>
      <c r="N180" t="s">
        <v>428</v>
      </c>
      <c r="O180">
        <f>COUNTIF(K:K,N180)</f>
        <v>2</v>
      </c>
    </row>
    <row r="181" spans="1:15" x14ac:dyDescent="0.25">
      <c r="A181" t="s">
        <v>53</v>
      </c>
      <c r="B181" t="s">
        <v>174</v>
      </c>
      <c r="C181">
        <f t="shared" si="6"/>
        <v>2023</v>
      </c>
      <c r="D181">
        <f t="shared" si="7"/>
        <v>11</v>
      </c>
      <c r="E181" t="str">
        <f t="shared" si="8"/>
        <v>2023-11</v>
      </c>
      <c r="K181" t="s">
        <v>131</v>
      </c>
      <c r="L181" t="s">
        <v>494</v>
      </c>
      <c r="N181" t="s">
        <v>328</v>
      </c>
      <c r="O181">
        <f>COUNTIF(K:K,N181)</f>
        <v>2</v>
      </c>
    </row>
    <row r="182" spans="1:15" x14ac:dyDescent="0.25">
      <c r="A182" t="s">
        <v>175</v>
      </c>
      <c r="B182" t="s">
        <v>176</v>
      </c>
      <c r="C182">
        <f t="shared" si="6"/>
        <v>2023</v>
      </c>
      <c r="D182">
        <f t="shared" si="7"/>
        <v>11</v>
      </c>
      <c r="E182" t="str">
        <f t="shared" si="8"/>
        <v>2023-11</v>
      </c>
      <c r="K182" t="s">
        <v>131</v>
      </c>
      <c r="L182" t="s">
        <v>496</v>
      </c>
      <c r="N182" t="s">
        <v>43</v>
      </c>
      <c r="O182">
        <f>COUNTIF(K:K,N182)</f>
        <v>2</v>
      </c>
    </row>
    <row r="183" spans="1:15" x14ac:dyDescent="0.25">
      <c r="A183" t="s">
        <v>71</v>
      </c>
      <c r="B183" t="s">
        <v>176</v>
      </c>
      <c r="C183">
        <f t="shared" si="6"/>
        <v>2023</v>
      </c>
      <c r="D183">
        <f t="shared" si="7"/>
        <v>11</v>
      </c>
      <c r="E183" t="str">
        <f t="shared" si="8"/>
        <v>2023-11</v>
      </c>
      <c r="K183" t="s">
        <v>131</v>
      </c>
      <c r="L183" t="s">
        <v>498</v>
      </c>
      <c r="N183" t="s">
        <v>244</v>
      </c>
      <c r="O183">
        <f>COUNTIF(K:K,N183)</f>
        <v>2</v>
      </c>
    </row>
    <row r="184" spans="1:15" x14ac:dyDescent="0.25">
      <c r="A184" t="s">
        <v>29</v>
      </c>
      <c r="B184" t="s">
        <v>177</v>
      </c>
      <c r="C184">
        <f t="shared" si="6"/>
        <v>2023</v>
      </c>
      <c r="D184">
        <f t="shared" si="7"/>
        <v>11</v>
      </c>
      <c r="E184" t="str">
        <f t="shared" si="8"/>
        <v>2023-11</v>
      </c>
      <c r="K184" t="s">
        <v>131</v>
      </c>
      <c r="L184" t="s">
        <v>499</v>
      </c>
      <c r="N184" t="s">
        <v>322</v>
      </c>
      <c r="O184">
        <f>COUNTIF(K:K,N184)</f>
        <v>1</v>
      </c>
    </row>
    <row r="185" spans="1:15" x14ac:dyDescent="0.25">
      <c r="A185" t="s">
        <v>87</v>
      </c>
      <c r="B185" t="s">
        <v>178</v>
      </c>
      <c r="C185">
        <f t="shared" si="6"/>
        <v>2023</v>
      </c>
      <c r="D185">
        <f t="shared" si="7"/>
        <v>11</v>
      </c>
      <c r="E185" t="str">
        <f t="shared" si="8"/>
        <v>2023-11</v>
      </c>
      <c r="K185" t="s">
        <v>74</v>
      </c>
      <c r="L185" t="s">
        <v>489</v>
      </c>
      <c r="N185" t="s">
        <v>438</v>
      </c>
      <c r="O185">
        <f>COUNTIF(K:K,N185)</f>
        <v>1</v>
      </c>
    </row>
    <row r="186" spans="1:15" x14ac:dyDescent="0.25">
      <c r="A186" t="s">
        <v>73</v>
      </c>
      <c r="B186" t="s">
        <v>178</v>
      </c>
      <c r="C186">
        <f t="shared" si="6"/>
        <v>2023</v>
      </c>
      <c r="D186">
        <f t="shared" si="7"/>
        <v>11</v>
      </c>
      <c r="E186" t="str">
        <f t="shared" si="8"/>
        <v>2023-11</v>
      </c>
      <c r="K186" t="s">
        <v>74</v>
      </c>
      <c r="L186" t="s">
        <v>491</v>
      </c>
      <c r="N186" t="s">
        <v>417</v>
      </c>
      <c r="O186">
        <f>COUNTIF(K:K,N186)</f>
        <v>1</v>
      </c>
    </row>
    <row r="187" spans="1:15" x14ac:dyDescent="0.25">
      <c r="A187" t="s">
        <v>20</v>
      </c>
      <c r="B187" t="s">
        <v>179</v>
      </c>
      <c r="C187">
        <f t="shared" si="6"/>
        <v>2023</v>
      </c>
      <c r="D187">
        <f t="shared" si="7"/>
        <v>11</v>
      </c>
      <c r="E187" t="str">
        <f t="shared" si="8"/>
        <v>2023-11</v>
      </c>
      <c r="K187" t="s">
        <v>74</v>
      </c>
      <c r="L187" t="s">
        <v>495</v>
      </c>
      <c r="N187" t="s">
        <v>273</v>
      </c>
      <c r="O187">
        <f>COUNTIF(K:K,N187)</f>
        <v>1</v>
      </c>
    </row>
    <row r="188" spans="1:15" x14ac:dyDescent="0.25">
      <c r="A188" t="s">
        <v>146</v>
      </c>
      <c r="B188" t="s">
        <v>179</v>
      </c>
      <c r="C188">
        <f t="shared" si="6"/>
        <v>2023</v>
      </c>
      <c r="D188">
        <f t="shared" si="7"/>
        <v>11</v>
      </c>
      <c r="E188" t="str">
        <f t="shared" si="8"/>
        <v>2023-11</v>
      </c>
      <c r="K188" t="s">
        <v>74</v>
      </c>
      <c r="L188" t="s">
        <v>499</v>
      </c>
      <c r="N188" t="s">
        <v>166</v>
      </c>
      <c r="O188">
        <f>COUNTIF(K:K,N188)</f>
        <v>1</v>
      </c>
    </row>
    <row r="189" spans="1:15" x14ac:dyDescent="0.25">
      <c r="A189" t="s">
        <v>180</v>
      </c>
      <c r="B189" t="s">
        <v>179</v>
      </c>
      <c r="C189">
        <f t="shared" si="6"/>
        <v>2023</v>
      </c>
      <c r="D189">
        <f t="shared" si="7"/>
        <v>11</v>
      </c>
      <c r="E189" t="str">
        <f t="shared" si="8"/>
        <v>2023-11</v>
      </c>
      <c r="K189" t="s">
        <v>149</v>
      </c>
      <c r="L189" t="s">
        <v>490</v>
      </c>
      <c r="N189" t="s">
        <v>99</v>
      </c>
      <c r="O189">
        <f>COUNTIF(K:K,N189)</f>
        <v>1</v>
      </c>
    </row>
    <row r="190" spans="1:15" x14ac:dyDescent="0.25">
      <c r="A190" t="s">
        <v>181</v>
      </c>
      <c r="B190" t="s">
        <v>179</v>
      </c>
      <c r="C190">
        <f t="shared" si="6"/>
        <v>2023</v>
      </c>
      <c r="D190">
        <f t="shared" si="7"/>
        <v>11</v>
      </c>
      <c r="E190" t="str">
        <f t="shared" si="8"/>
        <v>2023-11</v>
      </c>
      <c r="K190" t="s">
        <v>149</v>
      </c>
      <c r="L190" t="s">
        <v>498</v>
      </c>
      <c r="N190" t="s">
        <v>278</v>
      </c>
      <c r="O190">
        <f>COUNTIF(K:K,N190)</f>
        <v>1</v>
      </c>
    </row>
    <row r="191" spans="1:15" x14ac:dyDescent="0.25">
      <c r="A191" t="s">
        <v>171</v>
      </c>
      <c r="B191" t="s">
        <v>179</v>
      </c>
      <c r="C191">
        <f t="shared" si="6"/>
        <v>2023</v>
      </c>
      <c r="D191">
        <f t="shared" si="7"/>
        <v>11</v>
      </c>
      <c r="E191" t="str">
        <f t="shared" si="8"/>
        <v>2023-11</v>
      </c>
      <c r="K191" t="s">
        <v>149</v>
      </c>
      <c r="L191" t="s">
        <v>500</v>
      </c>
      <c r="N191" t="s">
        <v>313</v>
      </c>
      <c r="O191">
        <f>COUNTIF(K:K,N191)</f>
        <v>1</v>
      </c>
    </row>
    <row r="192" spans="1:15" x14ac:dyDescent="0.25">
      <c r="A192" t="s">
        <v>63</v>
      </c>
      <c r="B192" t="s">
        <v>179</v>
      </c>
      <c r="C192">
        <f t="shared" si="6"/>
        <v>2023</v>
      </c>
      <c r="D192">
        <f t="shared" si="7"/>
        <v>11</v>
      </c>
      <c r="E192" t="str">
        <f t="shared" si="8"/>
        <v>2023-11</v>
      </c>
      <c r="K192" t="s">
        <v>113</v>
      </c>
      <c r="L192" t="s">
        <v>490</v>
      </c>
      <c r="N192" t="s">
        <v>429</v>
      </c>
      <c r="O192">
        <f>COUNTIF(K:K,N192)</f>
        <v>1</v>
      </c>
    </row>
    <row r="193" spans="1:15" x14ac:dyDescent="0.25">
      <c r="A193" t="s">
        <v>134</v>
      </c>
      <c r="B193" t="s">
        <v>182</v>
      </c>
      <c r="C193">
        <f t="shared" si="6"/>
        <v>2023</v>
      </c>
      <c r="D193">
        <f t="shared" si="7"/>
        <v>11</v>
      </c>
      <c r="E193" t="str">
        <f t="shared" si="8"/>
        <v>2023-11</v>
      </c>
      <c r="K193" t="s">
        <v>113</v>
      </c>
      <c r="L193" t="s">
        <v>493</v>
      </c>
      <c r="N193" t="s">
        <v>449</v>
      </c>
      <c r="O193">
        <f>COUNTIF(K:K,N193)</f>
        <v>1</v>
      </c>
    </row>
    <row r="194" spans="1:15" x14ac:dyDescent="0.25">
      <c r="A194" t="s">
        <v>55</v>
      </c>
      <c r="B194" t="s">
        <v>183</v>
      </c>
      <c r="C194">
        <f t="shared" si="6"/>
        <v>2023</v>
      </c>
      <c r="D194">
        <f t="shared" si="7"/>
        <v>11</v>
      </c>
      <c r="E194" t="str">
        <f t="shared" si="8"/>
        <v>2023-11</v>
      </c>
      <c r="K194" t="s">
        <v>113</v>
      </c>
      <c r="L194" t="s">
        <v>494</v>
      </c>
      <c r="N194" t="s">
        <v>297</v>
      </c>
      <c r="O194">
        <f>COUNTIF(K:K,N194)</f>
        <v>1</v>
      </c>
    </row>
    <row r="195" spans="1:15" x14ac:dyDescent="0.25">
      <c r="A195" t="s">
        <v>184</v>
      </c>
      <c r="B195" t="s">
        <v>183</v>
      </c>
      <c r="C195">
        <f t="shared" ref="C195:C258" si="9">YEAR(B195)</f>
        <v>2023</v>
      </c>
      <c r="D195">
        <f t="shared" ref="D195:D258" si="10">MONTH(B195)</f>
        <v>11</v>
      </c>
      <c r="E195" t="str">
        <f t="shared" ref="E195:E258" si="11">C195&amp;"-"&amp;D195</f>
        <v>2023-11</v>
      </c>
      <c r="K195" t="s">
        <v>113</v>
      </c>
      <c r="L195" t="s">
        <v>496</v>
      </c>
      <c r="N195" t="s">
        <v>372</v>
      </c>
      <c r="O195">
        <f>COUNTIF(K:K,N195)</f>
        <v>1</v>
      </c>
    </row>
    <row r="196" spans="1:15" x14ac:dyDescent="0.25">
      <c r="A196" t="s">
        <v>103</v>
      </c>
      <c r="B196" t="s">
        <v>183</v>
      </c>
      <c r="C196">
        <f t="shared" si="9"/>
        <v>2023</v>
      </c>
      <c r="D196">
        <f t="shared" si="10"/>
        <v>11</v>
      </c>
      <c r="E196" t="str">
        <f t="shared" si="11"/>
        <v>2023-11</v>
      </c>
      <c r="K196" t="s">
        <v>113</v>
      </c>
      <c r="L196" t="s">
        <v>498</v>
      </c>
      <c r="N196" t="s">
        <v>290</v>
      </c>
      <c r="O196">
        <f>COUNTIF(K:K,N196)</f>
        <v>1</v>
      </c>
    </row>
    <row r="197" spans="1:15" x14ac:dyDescent="0.25">
      <c r="A197" t="s">
        <v>185</v>
      </c>
      <c r="B197" t="s">
        <v>183</v>
      </c>
      <c r="C197">
        <f t="shared" si="9"/>
        <v>2023</v>
      </c>
      <c r="D197">
        <f t="shared" si="10"/>
        <v>11</v>
      </c>
      <c r="E197" t="str">
        <f t="shared" si="11"/>
        <v>2023-11</v>
      </c>
      <c r="K197" t="s">
        <v>63</v>
      </c>
      <c r="L197" t="s">
        <v>489</v>
      </c>
    </row>
    <row r="198" spans="1:15" x14ac:dyDescent="0.25">
      <c r="A198" t="s">
        <v>74</v>
      </c>
      <c r="B198" t="s">
        <v>183</v>
      </c>
      <c r="C198">
        <f t="shared" si="9"/>
        <v>2023</v>
      </c>
      <c r="D198">
        <f t="shared" si="10"/>
        <v>11</v>
      </c>
      <c r="E198" t="str">
        <f t="shared" si="11"/>
        <v>2023-11</v>
      </c>
      <c r="K198" t="s">
        <v>63</v>
      </c>
      <c r="L198" t="s">
        <v>491</v>
      </c>
    </row>
    <row r="199" spans="1:15" x14ac:dyDescent="0.25">
      <c r="A199" t="s">
        <v>130</v>
      </c>
      <c r="B199" t="s">
        <v>186</v>
      </c>
      <c r="C199">
        <f t="shared" si="9"/>
        <v>2023</v>
      </c>
      <c r="D199">
        <f t="shared" si="10"/>
        <v>11</v>
      </c>
      <c r="E199" t="str">
        <f t="shared" si="11"/>
        <v>2023-11</v>
      </c>
      <c r="K199" t="s">
        <v>63</v>
      </c>
      <c r="L199" t="s">
        <v>492</v>
      </c>
    </row>
    <row r="200" spans="1:15" x14ac:dyDescent="0.25">
      <c r="A200" t="s">
        <v>187</v>
      </c>
      <c r="B200" t="s">
        <v>186</v>
      </c>
      <c r="C200">
        <f t="shared" si="9"/>
        <v>2023</v>
      </c>
      <c r="D200">
        <f t="shared" si="10"/>
        <v>11</v>
      </c>
      <c r="E200" t="str">
        <f t="shared" si="11"/>
        <v>2023-11</v>
      </c>
      <c r="K200" t="s">
        <v>63</v>
      </c>
      <c r="L200" t="s">
        <v>493</v>
      </c>
    </row>
    <row r="201" spans="1:15" x14ac:dyDescent="0.25">
      <c r="A201" t="s">
        <v>188</v>
      </c>
      <c r="B201" t="s">
        <v>186</v>
      </c>
      <c r="C201">
        <f t="shared" si="9"/>
        <v>2023</v>
      </c>
      <c r="D201">
        <f t="shared" si="10"/>
        <v>11</v>
      </c>
      <c r="E201" t="str">
        <f t="shared" si="11"/>
        <v>2023-11</v>
      </c>
      <c r="K201" t="s">
        <v>63</v>
      </c>
      <c r="L201" t="s">
        <v>494</v>
      </c>
    </row>
    <row r="202" spans="1:15" x14ac:dyDescent="0.25">
      <c r="A202" t="s">
        <v>41</v>
      </c>
      <c r="B202" t="s">
        <v>189</v>
      </c>
      <c r="C202">
        <f t="shared" si="9"/>
        <v>2023</v>
      </c>
      <c r="D202">
        <f t="shared" si="10"/>
        <v>11</v>
      </c>
      <c r="E202" t="str">
        <f t="shared" si="11"/>
        <v>2023-11</v>
      </c>
      <c r="K202" t="s">
        <v>63</v>
      </c>
      <c r="L202" t="s">
        <v>500</v>
      </c>
    </row>
    <row r="203" spans="1:15" x14ac:dyDescent="0.25">
      <c r="A203" t="s">
        <v>190</v>
      </c>
      <c r="B203" t="s">
        <v>189</v>
      </c>
      <c r="C203">
        <f t="shared" si="9"/>
        <v>2023</v>
      </c>
      <c r="D203">
        <f t="shared" si="10"/>
        <v>11</v>
      </c>
      <c r="E203" t="str">
        <f t="shared" si="11"/>
        <v>2023-11</v>
      </c>
      <c r="K203" t="s">
        <v>35</v>
      </c>
      <c r="L203" t="s">
        <v>489</v>
      </c>
    </row>
    <row r="204" spans="1:15" x14ac:dyDescent="0.25">
      <c r="A204" t="s">
        <v>37</v>
      </c>
      <c r="B204" t="s">
        <v>189</v>
      </c>
      <c r="C204">
        <f t="shared" si="9"/>
        <v>2023</v>
      </c>
      <c r="D204">
        <f t="shared" si="10"/>
        <v>11</v>
      </c>
      <c r="E204" t="str">
        <f t="shared" si="11"/>
        <v>2023-11</v>
      </c>
      <c r="K204" t="s">
        <v>35</v>
      </c>
      <c r="L204" t="s">
        <v>497</v>
      </c>
    </row>
    <row r="205" spans="1:15" x14ac:dyDescent="0.25">
      <c r="A205" t="s">
        <v>115</v>
      </c>
      <c r="B205" t="s">
        <v>189</v>
      </c>
      <c r="C205">
        <f t="shared" si="9"/>
        <v>2023</v>
      </c>
      <c r="D205">
        <f t="shared" si="10"/>
        <v>11</v>
      </c>
      <c r="E205" t="str">
        <f t="shared" si="11"/>
        <v>2023-11</v>
      </c>
      <c r="K205" t="s">
        <v>273</v>
      </c>
      <c r="L205" t="s">
        <v>493</v>
      </c>
    </row>
    <row r="206" spans="1:15" x14ac:dyDescent="0.25">
      <c r="A206" t="s">
        <v>138</v>
      </c>
      <c r="B206" t="s">
        <v>189</v>
      </c>
      <c r="C206">
        <f t="shared" si="9"/>
        <v>2023</v>
      </c>
      <c r="D206">
        <f t="shared" si="10"/>
        <v>11</v>
      </c>
      <c r="E206" t="str">
        <f t="shared" si="11"/>
        <v>2023-11</v>
      </c>
      <c r="K206" t="s">
        <v>350</v>
      </c>
      <c r="L206" t="s">
        <v>496</v>
      </c>
    </row>
    <row r="207" spans="1:15" x14ac:dyDescent="0.25">
      <c r="A207" t="s">
        <v>191</v>
      </c>
      <c r="B207" t="s">
        <v>189</v>
      </c>
      <c r="C207">
        <f t="shared" si="9"/>
        <v>2023</v>
      </c>
      <c r="D207">
        <f t="shared" si="10"/>
        <v>11</v>
      </c>
      <c r="E207" t="str">
        <f t="shared" si="11"/>
        <v>2023-11</v>
      </c>
      <c r="K207" t="s">
        <v>350</v>
      </c>
      <c r="L207" t="s">
        <v>497</v>
      </c>
    </row>
    <row r="208" spans="1:15" x14ac:dyDescent="0.25">
      <c r="A208" t="s">
        <v>107</v>
      </c>
      <c r="B208" t="s">
        <v>189</v>
      </c>
      <c r="C208">
        <f t="shared" si="9"/>
        <v>2023</v>
      </c>
      <c r="D208">
        <f t="shared" si="10"/>
        <v>11</v>
      </c>
      <c r="E208" t="str">
        <f t="shared" si="11"/>
        <v>2023-11</v>
      </c>
      <c r="K208" t="s">
        <v>156</v>
      </c>
      <c r="L208" t="s">
        <v>490</v>
      </c>
    </row>
    <row r="209" spans="1:12" x14ac:dyDescent="0.25">
      <c r="A209" t="s">
        <v>66</v>
      </c>
      <c r="B209" t="s">
        <v>189</v>
      </c>
      <c r="C209">
        <f t="shared" si="9"/>
        <v>2023</v>
      </c>
      <c r="D209">
        <f t="shared" si="10"/>
        <v>11</v>
      </c>
      <c r="E209" t="str">
        <f t="shared" si="11"/>
        <v>2023-11</v>
      </c>
      <c r="K209" t="s">
        <v>156</v>
      </c>
      <c r="L209" t="s">
        <v>492</v>
      </c>
    </row>
    <row r="210" spans="1:12" x14ac:dyDescent="0.25">
      <c r="A210" t="s">
        <v>121</v>
      </c>
      <c r="B210" t="s">
        <v>189</v>
      </c>
      <c r="C210">
        <f t="shared" si="9"/>
        <v>2023</v>
      </c>
      <c r="D210">
        <f t="shared" si="10"/>
        <v>11</v>
      </c>
      <c r="E210" t="str">
        <f t="shared" si="11"/>
        <v>2023-11</v>
      </c>
      <c r="K210" t="s">
        <v>156</v>
      </c>
      <c r="L210" t="s">
        <v>493</v>
      </c>
    </row>
    <row r="211" spans="1:12" x14ac:dyDescent="0.25">
      <c r="A211" t="s">
        <v>188</v>
      </c>
      <c r="B211" t="s">
        <v>189</v>
      </c>
      <c r="C211">
        <f t="shared" si="9"/>
        <v>2023</v>
      </c>
      <c r="D211">
        <f t="shared" si="10"/>
        <v>11</v>
      </c>
      <c r="E211" t="str">
        <f t="shared" si="11"/>
        <v>2023-11</v>
      </c>
      <c r="K211" t="s">
        <v>156</v>
      </c>
      <c r="L211" t="s">
        <v>495</v>
      </c>
    </row>
    <row r="212" spans="1:12" x14ac:dyDescent="0.25">
      <c r="A212" t="s">
        <v>138</v>
      </c>
      <c r="B212" t="s">
        <v>189</v>
      </c>
      <c r="C212">
        <f t="shared" si="9"/>
        <v>2023</v>
      </c>
      <c r="D212">
        <f t="shared" si="10"/>
        <v>11</v>
      </c>
      <c r="E212" t="str">
        <f t="shared" si="11"/>
        <v>2023-11</v>
      </c>
      <c r="K212" t="s">
        <v>156</v>
      </c>
      <c r="L212" t="s">
        <v>498</v>
      </c>
    </row>
    <row r="213" spans="1:12" x14ac:dyDescent="0.25">
      <c r="A213" t="s">
        <v>68</v>
      </c>
      <c r="B213" t="s">
        <v>192</v>
      </c>
      <c r="C213">
        <f t="shared" si="9"/>
        <v>2023</v>
      </c>
      <c r="D213">
        <f t="shared" si="10"/>
        <v>11</v>
      </c>
      <c r="E213" t="str">
        <f t="shared" si="11"/>
        <v>2023-11</v>
      </c>
      <c r="K213" t="s">
        <v>122</v>
      </c>
      <c r="L213" t="s">
        <v>490</v>
      </c>
    </row>
    <row r="214" spans="1:12" x14ac:dyDescent="0.25">
      <c r="A214" t="s">
        <v>193</v>
      </c>
      <c r="B214" t="s">
        <v>192</v>
      </c>
      <c r="C214">
        <f t="shared" si="9"/>
        <v>2023</v>
      </c>
      <c r="D214">
        <f t="shared" si="10"/>
        <v>11</v>
      </c>
      <c r="E214" t="str">
        <f t="shared" si="11"/>
        <v>2023-11</v>
      </c>
      <c r="K214" t="s">
        <v>122</v>
      </c>
      <c r="L214" t="s">
        <v>493</v>
      </c>
    </row>
    <row r="215" spans="1:12" x14ac:dyDescent="0.25">
      <c r="A215" t="s">
        <v>95</v>
      </c>
      <c r="B215" t="s">
        <v>192</v>
      </c>
      <c r="C215">
        <f t="shared" si="9"/>
        <v>2023</v>
      </c>
      <c r="D215">
        <f t="shared" si="10"/>
        <v>11</v>
      </c>
      <c r="E215" t="str">
        <f t="shared" si="11"/>
        <v>2023-11</v>
      </c>
      <c r="K215" t="s">
        <v>122</v>
      </c>
      <c r="L215" t="s">
        <v>494</v>
      </c>
    </row>
    <row r="216" spans="1:12" x14ac:dyDescent="0.25">
      <c r="A216" t="s">
        <v>180</v>
      </c>
      <c r="B216" t="s">
        <v>194</v>
      </c>
      <c r="C216">
        <f t="shared" si="9"/>
        <v>2023</v>
      </c>
      <c r="D216">
        <f t="shared" si="10"/>
        <v>11</v>
      </c>
      <c r="E216" t="str">
        <f t="shared" si="11"/>
        <v>2023-11</v>
      </c>
      <c r="K216" t="s">
        <v>122</v>
      </c>
      <c r="L216" t="s">
        <v>499</v>
      </c>
    </row>
    <row r="217" spans="1:12" x14ac:dyDescent="0.25">
      <c r="A217" t="s">
        <v>195</v>
      </c>
      <c r="B217" t="s">
        <v>196</v>
      </c>
      <c r="C217">
        <f t="shared" si="9"/>
        <v>2023</v>
      </c>
      <c r="D217">
        <f t="shared" si="10"/>
        <v>11</v>
      </c>
      <c r="E217" t="str">
        <f t="shared" si="11"/>
        <v>2023-11</v>
      </c>
      <c r="K217" t="s">
        <v>173</v>
      </c>
      <c r="L217" t="s">
        <v>491</v>
      </c>
    </row>
    <row r="218" spans="1:12" x14ac:dyDescent="0.25">
      <c r="A218" t="s">
        <v>171</v>
      </c>
      <c r="B218" t="s">
        <v>196</v>
      </c>
      <c r="C218">
        <f t="shared" si="9"/>
        <v>2023</v>
      </c>
      <c r="D218">
        <f t="shared" si="10"/>
        <v>11</v>
      </c>
      <c r="E218" t="str">
        <f t="shared" si="11"/>
        <v>2023-11</v>
      </c>
      <c r="K218" t="s">
        <v>173</v>
      </c>
      <c r="L218" t="s">
        <v>495</v>
      </c>
    </row>
    <row r="219" spans="1:12" x14ac:dyDescent="0.25">
      <c r="A219" t="s">
        <v>74</v>
      </c>
      <c r="B219" t="s">
        <v>196</v>
      </c>
      <c r="C219">
        <f t="shared" si="9"/>
        <v>2023</v>
      </c>
      <c r="D219">
        <f t="shared" si="10"/>
        <v>11</v>
      </c>
      <c r="E219" t="str">
        <f t="shared" si="11"/>
        <v>2023-11</v>
      </c>
      <c r="K219" t="s">
        <v>173</v>
      </c>
      <c r="L219" t="s">
        <v>496</v>
      </c>
    </row>
    <row r="220" spans="1:12" x14ac:dyDescent="0.25">
      <c r="A220" t="s">
        <v>130</v>
      </c>
      <c r="B220" t="s">
        <v>196</v>
      </c>
      <c r="C220">
        <f t="shared" si="9"/>
        <v>2023</v>
      </c>
      <c r="D220">
        <f t="shared" si="10"/>
        <v>11</v>
      </c>
      <c r="E220" t="str">
        <f t="shared" si="11"/>
        <v>2023-11</v>
      </c>
      <c r="K220" t="s">
        <v>173</v>
      </c>
      <c r="L220" t="s">
        <v>499</v>
      </c>
    </row>
    <row r="221" spans="1:12" x14ac:dyDescent="0.25">
      <c r="A221" t="s">
        <v>197</v>
      </c>
      <c r="B221" t="s">
        <v>196</v>
      </c>
      <c r="C221">
        <f t="shared" si="9"/>
        <v>2023</v>
      </c>
      <c r="D221">
        <f t="shared" si="10"/>
        <v>11</v>
      </c>
      <c r="E221" t="str">
        <f t="shared" si="11"/>
        <v>2023-11</v>
      </c>
      <c r="K221" t="s">
        <v>166</v>
      </c>
      <c r="L221" t="s">
        <v>491</v>
      </c>
    </row>
    <row r="222" spans="1:12" x14ac:dyDescent="0.25">
      <c r="A222" t="s">
        <v>198</v>
      </c>
      <c r="B222" t="s">
        <v>199</v>
      </c>
      <c r="C222">
        <f t="shared" si="9"/>
        <v>2023</v>
      </c>
      <c r="D222">
        <f t="shared" si="10"/>
        <v>11</v>
      </c>
      <c r="E222" t="str">
        <f t="shared" si="11"/>
        <v>2023-11</v>
      </c>
      <c r="K222" t="s">
        <v>67</v>
      </c>
      <c r="L222" t="s">
        <v>489</v>
      </c>
    </row>
    <row r="223" spans="1:12" x14ac:dyDescent="0.25">
      <c r="A223" t="s">
        <v>60</v>
      </c>
      <c r="B223" t="s">
        <v>199</v>
      </c>
      <c r="C223">
        <f t="shared" si="9"/>
        <v>2023</v>
      </c>
      <c r="D223">
        <f t="shared" si="10"/>
        <v>11</v>
      </c>
      <c r="E223" t="str">
        <f t="shared" si="11"/>
        <v>2023-11</v>
      </c>
      <c r="K223" t="s">
        <v>67</v>
      </c>
      <c r="L223" t="s">
        <v>492</v>
      </c>
    </row>
    <row r="224" spans="1:12" x14ac:dyDescent="0.25">
      <c r="A224" t="s">
        <v>200</v>
      </c>
      <c r="B224" t="s">
        <v>199</v>
      </c>
      <c r="C224">
        <f t="shared" si="9"/>
        <v>2023</v>
      </c>
      <c r="D224">
        <f t="shared" si="10"/>
        <v>11</v>
      </c>
      <c r="E224" t="str">
        <f t="shared" si="11"/>
        <v>2023-11</v>
      </c>
      <c r="K224" t="s">
        <v>67</v>
      </c>
      <c r="L224" t="s">
        <v>495</v>
      </c>
    </row>
    <row r="225" spans="1:12" x14ac:dyDescent="0.25">
      <c r="A225" t="s">
        <v>184</v>
      </c>
      <c r="B225" t="s">
        <v>201</v>
      </c>
      <c r="C225">
        <f t="shared" si="9"/>
        <v>2023</v>
      </c>
      <c r="D225">
        <f t="shared" si="10"/>
        <v>11</v>
      </c>
      <c r="E225" t="str">
        <f t="shared" si="11"/>
        <v>2023-11</v>
      </c>
      <c r="K225" t="s">
        <v>67</v>
      </c>
      <c r="L225" t="s">
        <v>499</v>
      </c>
    </row>
    <row r="226" spans="1:12" x14ac:dyDescent="0.25">
      <c r="A226" t="s">
        <v>93</v>
      </c>
      <c r="B226" t="s">
        <v>201</v>
      </c>
      <c r="C226">
        <f t="shared" si="9"/>
        <v>2023</v>
      </c>
      <c r="D226">
        <f t="shared" si="10"/>
        <v>11</v>
      </c>
      <c r="E226" t="str">
        <f t="shared" si="11"/>
        <v>2023-11</v>
      </c>
      <c r="K226" t="s">
        <v>228</v>
      </c>
      <c r="L226" t="s">
        <v>492</v>
      </c>
    </row>
    <row r="227" spans="1:12" x14ac:dyDescent="0.25">
      <c r="A227" t="s">
        <v>60</v>
      </c>
      <c r="B227" t="s">
        <v>201</v>
      </c>
      <c r="C227">
        <f t="shared" si="9"/>
        <v>2023</v>
      </c>
      <c r="D227">
        <f t="shared" si="10"/>
        <v>11</v>
      </c>
      <c r="E227" t="str">
        <f t="shared" si="11"/>
        <v>2023-11</v>
      </c>
      <c r="K227" t="s">
        <v>228</v>
      </c>
      <c r="L227" t="s">
        <v>494</v>
      </c>
    </row>
    <row r="228" spans="1:12" x14ac:dyDescent="0.25">
      <c r="A228" t="s">
        <v>39</v>
      </c>
      <c r="B228" t="s">
        <v>201</v>
      </c>
      <c r="C228">
        <f t="shared" si="9"/>
        <v>2023</v>
      </c>
      <c r="D228">
        <f t="shared" si="10"/>
        <v>11</v>
      </c>
      <c r="E228" t="str">
        <f t="shared" si="11"/>
        <v>2023-11</v>
      </c>
      <c r="K228" t="s">
        <v>228</v>
      </c>
      <c r="L228" t="s">
        <v>495</v>
      </c>
    </row>
    <row r="229" spans="1:12" x14ac:dyDescent="0.25">
      <c r="A229" t="s">
        <v>60</v>
      </c>
      <c r="B229" t="s">
        <v>201</v>
      </c>
      <c r="C229">
        <f t="shared" si="9"/>
        <v>2023</v>
      </c>
      <c r="D229">
        <f t="shared" si="10"/>
        <v>11</v>
      </c>
      <c r="E229" t="str">
        <f t="shared" si="11"/>
        <v>2023-11</v>
      </c>
      <c r="K229" t="s">
        <v>228</v>
      </c>
      <c r="L229" t="s">
        <v>496</v>
      </c>
    </row>
    <row r="230" spans="1:12" x14ac:dyDescent="0.25">
      <c r="A230" t="s">
        <v>198</v>
      </c>
      <c r="B230" t="s">
        <v>201</v>
      </c>
      <c r="C230">
        <f t="shared" si="9"/>
        <v>2023</v>
      </c>
      <c r="D230">
        <f t="shared" si="10"/>
        <v>11</v>
      </c>
      <c r="E230" t="str">
        <f t="shared" si="11"/>
        <v>2023-11</v>
      </c>
      <c r="K230" t="s">
        <v>188</v>
      </c>
      <c r="L230" t="s">
        <v>491</v>
      </c>
    </row>
    <row r="231" spans="1:12" x14ac:dyDescent="0.25">
      <c r="A231" t="s">
        <v>57</v>
      </c>
      <c r="B231" t="s">
        <v>201</v>
      </c>
      <c r="C231">
        <f t="shared" si="9"/>
        <v>2023</v>
      </c>
      <c r="D231">
        <f t="shared" si="10"/>
        <v>11</v>
      </c>
      <c r="E231" t="str">
        <f t="shared" si="11"/>
        <v>2023-11</v>
      </c>
      <c r="K231" t="s">
        <v>188</v>
      </c>
      <c r="L231" t="s">
        <v>492</v>
      </c>
    </row>
    <row r="232" spans="1:12" x14ac:dyDescent="0.25">
      <c r="A232" t="s">
        <v>202</v>
      </c>
      <c r="B232" t="s">
        <v>201</v>
      </c>
      <c r="C232">
        <f t="shared" si="9"/>
        <v>2023</v>
      </c>
      <c r="D232">
        <f t="shared" si="10"/>
        <v>11</v>
      </c>
      <c r="E232" t="str">
        <f t="shared" si="11"/>
        <v>2023-11</v>
      </c>
      <c r="K232" t="s">
        <v>188</v>
      </c>
      <c r="L232" t="s">
        <v>493</v>
      </c>
    </row>
    <row r="233" spans="1:12" x14ac:dyDescent="0.25">
      <c r="A233" t="s">
        <v>203</v>
      </c>
      <c r="B233" t="s">
        <v>204</v>
      </c>
      <c r="C233">
        <f t="shared" si="9"/>
        <v>2023</v>
      </c>
      <c r="D233">
        <f t="shared" si="10"/>
        <v>11</v>
      </c>
      <c r="E233" t="str">
        <f t="shared" si="11"/>
        <v>2023-11</v>
      </c>
      <c r="K233" t="s">
        <v>248</v>
      </c>
      <c r="L233" t="s">
        <v>493</v>
      </c>
    </row>
    <row r="234" spans="1:12" x14ac:dyDescent="0.25">
      <c r="A234" t="s">
        <v>68</v>
      </c>
      <c r="B234" t="s">
        <v>205</v>
      </c>
      <c r="C234">
        <f t="shared" si="9"/>
        <v>2023</v>
      </c>
      <c r="D234">
        <f t="shared" si="10"/>
        <v>11</v>
      </c>
      <c r="E234" t="str">
        <f t="shared" si="11"/>
        <v>2023-11</v>
      </c>
      <c r="K234" t="s">
        <v>248</v>
      </c>
      <c r="L234" t="s">
        <v>496</v>
      </c>
    </row>
    <row r="235" spans="1:12" x14ac:dyDescent="0.25">
      <c r="A235" t="s">
        <v>56</v>
      </c>
      <c r="B235" t="s">
        <v>205</v>
      </c>
      <c r="C235">
        <f t="shared" si="9"/>
        <v>2023</v>
      </c>
      <c r="D235">
        <f t="shared" si="10"/>
        <v>11</v>
      </c>
      <c r="E235" t="str">
        <f t="shared" si="11"/>
        <v>2023-11</v>
      </c>
      <c r="K235" t="s">
        <v>248</v>
      </c>
      <c r="L235" t="s">
        <v>497</v>
      </c>
    </row>
    <row r="236" spans="1:12" x14ac:dyDescent="0.25">
      <c r="A236" t="s">
        <v>206</v>
      </c>
      <c r="B236" t="s">
        <v>205</v>
      </c>
      <c r="C236">
        <f t="shared" si="9"/>
        <v>2023</v>
      </c>
      <c r="D236">
        <f t="shared" si="10"/>
        <v>11</v>
      </c>
      <c r="E236" t="str">
        <f t="shared" si="11"/>
        <v>2023-11</v>
      </c>
      <c r="K236" t="s">
        <v>248</v>
      </c>
      <c r="L236" t="s">
        <v>498</v>
      </c>
    </row>
    <row r="237" spans="1:12" x14ac:dyDescent="0.25">
      <c r="A237" t="s">
        <v>40</v>
      </c>
      <c r="B237" t="s">
        <v>205</v>
      </c>
      <c r="C237">
        <f t="shared" si="9"/>
        <v>2023</v>
      </c>
      <c r="D237">
        <f t="shared" si="10"/>
        <v>11</v>
      </c>
      <c r="E237" t="str">
        <f t="shared" si="11"/>
        <v>2023-11</v>
      </c>
      <c r="K237" t="s">
        <v>248</v>
      </c>
      <c r="L237" t="s">
        <v>499</v>
      </c>
    </row>
    <row r="238" spans="1:12" x14ac:dyDescent="0.25">
      <c r="A238" t="s">
        <v>207</v>
      </c>
      <c r="B238" t="s">
        <v>208</v>
      </c>
      <c r="C238">
        <f t="shared" si="9"/>
        <v>2023</v>
      </c>
      <c r="D238">
        <f t="shared" si="10"/>
        <v>11</v>
      </c>
      <c r="E238" t="str">
        <f t="shared" si="11"/>
        <v>2023-11</v>
      </c>
      <c r="K238" t="s">
        <v>248</v>
      </c>
      <c r="L238" t="s">
        <v>500</v>
      </c>
    </row>
    <row r="239" spans="1:12" x14ac:dyDescent="0.25">
      <c r="A239" t="s">
        <v>209</v>
      </c>
      <c r="B239" t="s">
        <v>210</v>
      </c>
      <c r="C239">
        <f t="shared" si="9"/>
        <v>2023</v>
      </c>
      <c r="D239">
        <f t="shared" si="10"/>
        <v>12</v>
      </c>
      <c r="E239" t="str">
        <f t="shared" si="11"/>
        <v>2023-12</v>
      </c>
      <c r="K239" t="s">
        <v>320</v>
      </c>
      <c r="L239" t="s">
        <v>495</v>
      </c>
    </row>
    <row r="240" spans="1:12" x14ac:dyDescent="0.25">
      <c r="A240" t="s">
        <v>6</v>
      </c>
      <c r="B240" t="s">
        <v>211</v>
      </c>
      <c r="C240">
        <f t="shared" si="9"/>
        <v>2023</v>
      </c>
      <c r="D240">
        <f t="shared" si="10"/>
        <v>12</v>
      </c>
      <c r="E240" t="str">
        <f t="shared" si="11"/>
        <v>2023-12</v>
      </c>
      <c r="K240" t="s">
        <v>320</v>
      </c>
      <c r="L240" t="s">
        <v>496</v>
      </c>
    </row>
    <row r="241" spans="1:12" x14ac:dyDescent="0.25">
      <c r="A241" t="s">
        <v>206</v>
      </c>
      <c r="B241" t="s">
        <v>211</v>
      </c>
      <c r="C241">
        <f t="shared" si="9"/>
        <v>2023</v>
      </c>
      <c r="D241">
        <f t="shared" si="10"/>
        <v>12</v>
      </c>
      <c r="E241" t="str">
        <f t="shared" si="11"/>
        <v>2023-12</v>
      </c>
      <c r="K241" t="s">
        <v>209</v>
      </c>
      <c r="L241" t="s">
        <v>492</v>
      </c>
    </row>
    <row r="242" spans="1:12" x14ac:dyDescent="0.25">
      <c r="A242" t="s">
        <v>181</v>
      </c>
      <c r="B242" t="s">
        <v>211</v>
      </c>
      <c r="C242">
        <f t="shared" si="9"/>
        <v>2023</v>
      </c>
      <c r="D242">
        <f t="shared" si="10"/>
        <v>12</v>
      </c>
      <c r="E242" t="str">
        <f t="shared" si="11"/>
        <v>2023-12</v>
      </c>
      <c r="K242" t="s">
        <v>209</v>
      </c>
      <c r="L242" t="s">
        <v>494</v>
      </c>
    </row>
    <row r="243" spans="1:12" x14ac:dyDescent="0.25">
      <c r="A243" t="s">
        <v>180</v>
      </c>
      <c r="B243" t="s">
        <v>211</v>
      </c>
      <c r="C243">
        <f t="shared" si="9"/>
        <v>2023</v>
      </c>
      <c r="D243">
        <f t="shared" si="10"/>
        <v>12</v>
      </c>
      <c r="E243" t="str">
        <f t="shared" si="11"/>
        <v>2023-12</v>
      </c>
      <c r="K243" t="s">
        <v>209</v>
      </c>
      <c r="L243" t="s">
        <v>495</v>
      </c>
    </row>
    <row r="244" spans="1:12" x14ac:dyDescent="0.25">
      <c r="A244" t="s">
        <v>56</v>
      </c>
      <c r="B244" t="s">
        <v>211</v>
      </c>
      <c r="C244">
        <f t="shared" si="9"/>
        <v>2023</v>
      </c>
      <c r="D244">
        <f t="shared" si="10"/>
        <v>12</v>
      </c>
      <c r="E244" t="str">
        <f t="shared" si="11"/>
        <v>2023-12</v>
      </c>
      <c r="K244" t="s">
        <v>209</v>
      </c>
      <c r="L244" t="s">
        <v>497</v>
      </c>
    </row>
    <row r="245" spans="1:12" x14ac:dyDescent="0.25">
      <c r="A245" t="s">
        <v>98</v>
      </c>
      <c r="B245" t="s">
        <v>211</v>
      </c>
      <c r="C245">
        <f t="shared" si="9"/>
        <v>2023</v>
      </c>
      <c r="D245">
        <f t="shared" si="10"/>
        <v>12</v>
      </c>
      <c r="E245" t="str">
        <f t="shared" si="11"/>
        <v>2023-12</v>
      </c>
      <c r="K245" t="s">
        <v>71</v>
      </c>
      <c r="L245" t="s">
        <v>489</v>
      </c>
    </row>
    <row r="246" spans="1:12" x14ac:dyDescent="0.25">
      <c r="A246" t="s">
        <v>108</v>
      </c>
      <c r="B246" t="s">
        <v>211</v>
      </c>
      <c r="C246">
        <f t="shared" si="9"/>
        <v>2023</v>
      </c>
      <c r="D246">
        <f t="shared" si="10"/>
        <v>12</v>
      </c>
      <c r="E246" t="str">
        <f t="shared" si="11"/>
        <v>2023-12</v>
      </c>
      <c r="K246" t="s">
        <v>71</v>
      </c>
      <c r="L246" t="s">
        <v>490</v>
      </c>
    </row>
    <row r="247" spans="1:12" x14ac:dyDescent="0.25">
      <c r="A247" t="s">
        <v>61</v>
      </c>
      <c r="B247" t="s">
        <v>211</v>
      </c>
      <c r="C247">
        <f t="shared" si="9"/>
        <v>2023</v>
      </c>
      <c r="D247">
        <f t="shared" si="10"/>
        <v>12</v>
      </c>
      <c r="E247" t="str">
        <f t="shared" si="11"/>
        <v>2023-12</v>
      </c>
      <c r="K247" t="s">
        <v>71</v>
      </c>
      <c r="L247" t="s">
        <v>491</v>
      </c>
    </row>
    <row r="248" spans="1:12" x14ac:dyDescent="0.25">
      <c r="A248" t="s">
        <v>63</v>
      </c>
      <c r="B248" t="s">
        <v>211</v>
      </c>
      <c r="C248">
        <f t="shared" si="9"/>
        <v>2023</v>
      </c>
      <c r="D248">
        <f t="shared" si="10"/>
        <v>12</v>
      </c>
      <c r="E248" t="str">
        <f t="shared" si="11"/>
        <v>2023-12</v>
      </c>
      <c r="K248" t="s">
        <v>71</v>
      </c>
      <c r="L248" t="s">
        <v>493</v>
      </c>
    </row>
    <row r="249" spans="1:12" x14ac:dyDescent="0.25">
      <c r="A249" t="s">
        <v>212</v>
      </c>
      <c r="B249" t="s">
        <v>211</v>
      </c>
      <c r="C249">
        <f t="shared" si="9"/>
        <v>2023</v>
      </c>
      <c r="D249">
        <f t="shared" si="10"/>
        <v>12</v>
      </c>
      <c r="E249" t="str">
        <f t="shared" si="11"/>
        <v>2023-12</v>
      </c>
      <c r="K249" t="s">
        <v>71</v>
      </c>
      <c r="L249" t="s">
        <v>495</v>
      </c>
    </row>
    <row r="250" spans="1:12" x14ac:dyDescent="0.25">
      <c r="A250" t="s">
        <v>79</v>
      </c>
      <c r="B250" t="s">
        <v>211</v>
      </c>
      <c r="C250">
        <f t="shared" si="9"/>
        <v>2023</v>
      </c>
      <c r="D250">
        <f t="shared" si="10"/>
        <v>12</v>
      </c>
      <c r="E250" t="str">
        <f t="shared" si="11"/>
        <v>2023-12</v>
      </c>
      <c r="K250" t="s">
        <v>71</v>
      </c>
      <c r="L250" t="s">
        <v>496</v>
      </c>
    </row>
    <row r="251" spans="1:12" x14ac:dyDescent="0.25">
      <c r="A251" t="s">
        <v>57</v>
      </c>
      <c r="B251" t="s">
        <v>211</v>
      </c>
      <c r="C251">
        <f t="shared" si="9"/>
        <v>2023</v>
      </c>
      <c r="D251">
        <f t="shared" si="10"/>
        <v>12</v>
      </c>
      <c r="E251" t="str">
        <f t="shared" si="11"/>
        <v>2023-12</v>
      </c>
      <c r="K251" t="s">
        <v>120</v>
      </c>
      <c r="L251" t="s">
        <v>490</v>
      </c>
    </row>
    <row r="252" spans="1:12" x14ac:dyDescent="0.25">
      <c r="A252" t="s">
        <v>105</v>
      </c>
      <c r="B252" t="s">
        <v>211</v>
      </c>
      <c r="C252">
        <f t="shared" si="9"/>
        <v>2023</v>
      </c>
      <c r="D252">
        <f t="shared" si="10"/>
        <v>12</v>
      </c>
      <c r="E252" t="str">
        <f t="shared" si="11"/>
        <v>2023-12</v>
      </c>
      <c r="K252" t="s">
        <v>120</v>
      </c>
      <c r="L252" t="s">
        <v>499</v>
      </c>
    </row>
    <row r="253" spans="1:12" x14ac:dyDescent="0.25">
      <c r="A253" t="s">
        <v>101</v>
      </c>
      <c r="B253" t="s">
        <v>213</v>
      </c>
      <c r="C253">
        <f t="shared" si="9"/>
        <v>2023</v>
      </c>
      <c r="D253">
        <f t="shared" si="10"/>
        <v>12</v>
      </c>
      <c r="E253" t="str">
        <f t="shared" si="11"/>
        <v>2023-12</v>
      </c>
      <c r="K253" t="s">
        <v>86</v>
      </c>
      <c r="L253" t="s">
        <v>489</v>
      </c>
    </row>
    <row r="254" spans="1:12" x14ac:dyDescent="0.25">
      <c r="A254" t="s">
        <v>191</v>
      </c>
      <c r="B254" t="s">
        <v>213</v>
      </c>
      <c r="C254">
        <f t="shared" si="9"/>
        <v>2023</v>
      </c>
      <c r="D254">
        <f t="shared" si="10"/>
        <v>12</v>
      </c>
      <c r="E254" t="str">
        <f t="shared" si="11"/>
        <v>2023-12</v>
      </c>
      <c r="K254" t="s">
        <v>86</v>
      </c>
      <c r="L254" t="s">
        <v>490</v>
      </c>
    </row>
    <row r="255" spans="1:12" x14ac:dyDescent="0.25">
      <c r="A255" t="s">
        <v>138</v>
      </c>
      <c r="B255" t="s">
        <v>213</v>
      </c>
      <c r="C255">
        <f t="shared" si="9"/>
        <v>2023</v>
      </c>
      <c r="D255">
        <f t="shared" si="10"/>
        <v>12</v>
      </c>
      <c r="E255" t="str">
        <f t="shared" si="11"/>
        <v>2023-12</v>
      </c>
      <c r="K255" t="s">
        <v>86</v>
      </c>
      <c r="L255" t="s">
        <v>492</v>
      </c>
    </row>
    <row r="256" spans="1:12" x14ac:dyDescent="0.25">
      <c r="A256" t="s">
        <v>126</v>
      </c>
      <c r="B256" t="s">
        <v>213</v>
      </c>
      <c r="C256">
        <f t="shared" si="9"/>
        <v>2023</v>
      </c>
      <c r="D256">
        <f t="shared" si="10"/>
        <v>12</v>
      </c>
      <c r="E256" t="str">
        <f t="shared" si="11"/>
        <v>2023-12</v>
      </c>
      <c r="K256" t="s">
        <v>86</v>
      </c>
      <c r="L256" t="s">
        <v>493</v>
      </c>
    </row>
    <row r="257" spans="1:12" x14ac:dyDescent="0.25">
      <c r="A257" t="s">
        <v>214</v>
      </c>
      <c r="B257" t="s">
        <v>215</v>
      </c>
      <c r="C257">
        <f t="shared" si="9"/>
        <v>2023</v>
      </c>
      <c r="D257">
        <f t="shared" si="10"/>
        <v>12</v>
      </c>
      <c r="E257" t="str">
        <f t="shared" si="11"/>
        <v>2023-12</v>
      </c>
      <c r="K257" t="s">
        <v>86</v>
      </c>
      <c r="L257" t="s">
        <v>495</v>
      </c>
    </row>
    <row r="258" spans="1:12" x14ac:dyDescent="0.25">
      <c r="A258" t="s">
        <v>216</v>
      </c>
      <c r="B258" t="s">
        <v>215</v>
      </c>
      <c r="C258">
        <f t="shared" si="9"/>
        <v>2023</v>
      </c>
      <c r="D258">
        <f t="shared" si="10"/>
        <v>12</v>
      </c>
      <c r="E258" t="str">
        <f t="shared" si="11"/>
        <v>2023-12</v>
      </c>
      <c r="K258" t="s">
        <v>86</v>
      </c>
      <c r="L258" t="s">
        <v>496</v>
      </c>
    </row>
    <row r="259" spans="1:12" x14ac:dyDescent="0.25">
      <c r="A259" t="s">
        <v>163</v>
      </c>
      <c r="B259" t="s">
        <v>215</v>
      </c>
      <c r="C259">
        <f t="shared" ref="C259:C322" si="12">YEAR(B259)</f>
        <v>2023</v>
      </c>
      <c r="D259">
        <f t="shared" ref="D259:D322" si="13">MONTH(B259)</f>
        <v>12</v>
      </c>
      <c r="E259" t="str">
        <f t="shared" ref="E259:E322" si="14">C259&amp;"-"&amp;D259</f>
        <v>2023-12</v>
      </c>
      <c r="K259" t="s">
        <v>86</v>
      </c>
      <c r="L259" t="s">
        <v>499</v>
      </c>
    </row>
    <row r="260" spans="1:12" x14ac:dyDescent="0.25">
      <c r="A260" t="s">
        <v>175</v>
      </c>
      <c r="B260" t="s">
        <v>215</v>
      </c>
      <c r="C260">
        <f t="shared" si="12"/>
        <v>2023</v>
      </c>
      <c r="D260">
        <f t="shared" si="13"/>
        <v>12</v>
      </c>
      <c r="E260" t="str">
        <f t="shared" si="14"/>
        <v>2023-12</v>
      </c>
      <c r="K260" t="s">
        <v>325</v>
      </c>
      <c r="L260" t="s">
        <v>495</v>
      </c>
    </row>
    <row r="261" spans="1:12" x14ac:dyDescent="0.25">
      <c r="A261" t="s">
        <v>116</v>
      </c>
      <c r="B261" t="s">
        <v>217</v>
      </c>
      <c r="C261">
        <f t="shared" si="12"/>
        <v>2023</v>
      </c>
      <c r="D261">
        <f t="shared" si="13"/>
        <v>12</v>
      </c>
      <c r="E261" t="str">
        <f t="shared" si="14"/>
        <v>2023-12</v>
      </c>
      <c r="K261" t="s">
        <v>325</v>
      </c>
      <c r="L261" t="s">
        <v>499</v>
      </c>
    </row>
    <row r="262" spans="1:12" x14ac:dyDescent="0.25">
      <c r="A262" t="s">
        <v>150</v>
      </c>
      <c r="B262" t="s">
        <v>217</v>
      </c>
      <c r="C262">
        <f t="shared" si="12"/>
        <v>2023</v>
      </c>
      <c r="D262">
        <f t="shared" si="13"/>
        <v>12</v>
      </c>
      <c r="E262" t="str">
        <f t="shared" si="14"/>
        <v>2023-12</v>
      </c>
      <c r="K262" t="s">
        <v>258</v>
      </c>
      <c r="L262" t="s">
        <v>493</v>
      </c>
    </row>
    <row r="263" spans="1:12" x14ac:dyDescent="0.25">
      <c r="A263" t="s">
        <v>97</v>
      </c>
      <c r="B263" t="s">
        <v>218</v>
      </c>
      <c r="C263">
        <f t="shared" si="12"/>
        <v>2023</v>
      </c>
      <c r="D263">
        <f t="shared" si="13"/>
        <v>12</v>
      </c>
      <c r="E263" t="str">
        <f t="shared" si="14"/>
        <v>2023-12</v>
      </c>
      <c r="K263" t="s">
        <v>258</v>
      </c>
      <c r="L263" t="s">
        <v>494</v>
      </c>
    </row>
    <row r="264" spans="1:12" x14ac:dyDescent="0.25">
      <c r="A264" t="s">
        <v>101</v>
      </c>
      <c r="B264" t="s">
        <v>218</v>
      </c>
      <c r="C264">
        <f t="shared" si="12"/>
        <v>2023</v>
      </c>
      <c r="D264">
        <f t="shared" si="13"/>
        <v>12</v>
      </c>
      <c r="E264" t="str">
        <f t="shared" si="14"/>
        <v>2023-12</v>
      </c>
      <c r="K264" t="s">
        <v>258</v>
      </c>
      <c r="L264" t="s">
        <v>495</v>
      </c>
    </row>
    <row r="265" spans="1:12" x14ac:dyDescent="0.25">
      <c r="A265" t="s">
        <v>219</v>
      </c>
      <c r="B265" t="s">
        <v>220</v>
      </c>
      <c r="C265">
        <f t="shared" si="12"/>
        <v>2023</v>
      </c>
      <c r="D265">
        <f t="shared" si="13"/>
        <v>12</v>
      </c>
      <c r="E265" t="str">
        <f t="shared" si="14"/>
        <v>2023-12</v>
      </c>
      <c r="K265" t="s">
        <v>258</v>
      </c>
      <c r="L265" t="s">
        <v>496</v>
      </c>
    </row>
    <row r="266" spans="1:12" x14ac:dyDescent="0.25">
      <c r="A266" t="s">
        <v>129</v>
      </c>
      <c r="B266" t="s">
        <v>220</v>
      </c>
      <c r="C266">
        <f t="shared" si="12"/>
        <v>2023</v>
      </c>
      <c r="D266">
        <f t="shared" si="13"/>
        <v>12</v>
      </c>
      <c r="E266" t="str">
        <f t="shared" si="14"/>
        <v>2023-12</v>
      </c>
      <c r="K266" t="s">
        <v>237</v>
      </c>
      <c r="L266" t="s">
        <v>492</v>
      </c>
    </row>
    <row r="267" spans="1:12" x14ac:dyDescent="0.25">
      <c r="A267" t="s">
        <v>216</v>
      </c>
      <c r="B267" t="s">
        <v>220</v>
      </c>
      <c r="C267">
        <f t="shared" si="12"/>
        <v>2023</v>
      </c>
      <c r="D267">
        <f t="shared" si="13"/>
        <v>12</v>
      </c>
      <c r="E267" t="str">
        <f t="shared" si="14"/>
        <v>2023-12</v>
      </c>
      <c r="K267" t="s">
        <v>237</v>
      </c>
      <c r="L267" t="s">
        <v>493</v>
      </c>
    </row>
    <row r="268" spans="1:12" x14ac:dyDescent="0.25">
      <c r="A268" t="s">
        <v>34</v>
      </c>
      <c r="B268" t="s">
        <v>220</v>
      </c>
      <c r="C268">
        <f t="shared" si="12"/>
        <v>2023</v>
      </c>
      <c r="D268">
        <f t="shared" si="13"/>
        <v>12</v>
      </c>
      <c r="E268" t="str">
        <f t="shared" si="14"/>
        <v>2023-12</v>
      </c>
      <c r="K268" t="s">
        <v>237</v>
      </c>
      <c r="L268" t="s">
        <v>497</v>
      </c>
    </row>
    <row r="269" spans="1:12" x14ac:dyDescent="0.25">
      <c r="A269" t="s">
        <v>86</v>
      </c>
      <c r="B269" t="s">
        <v>221</v>
      </c>
      <c r="C269">
        <f t="shared" si="12"/>
        <v>2023</v>
      </c>
      <c r="D269">
        <f t="shared" si="13"/>
        <v>12</v>
      </c>
      <c r="E269" t="str">
        <f t="shared" si="14"/>
        <v>2023-12</v>
      </c>
      <c r="K269" t="s">
        <v>6</v>
      </c>
      <c r="L269" t="s">
        <v>489</v>
      </c>
    </row>
    <row r="270" spans="1:12" x14ac:dyDescent="0.25">
      <c r="A270" t="s">
        <v>59</v>
      </c>
      <c r="B270" t="s">
        <v>221</v>
      </c>
      <c r="C270">
        <f t="shared" si="12"/>
        <v>2023</v>
      </c>
      <c r="D270">
        <f t="shared" si="13"/>
        <v>12</v>
      </c>
      <c r="E270" t="str">
        <f t="shared" si="14"/>
        <v>2023-12</v>
      </c>
      <c r="K270" t="s">
        <v>6</v>
      </c>
      <c r="L270" t="s">
        <v>492</v>
      </c>
    </row>
    <row r="271" spans="1:12" x14ac:dyDescent="0.25">
      <c r="A271" t="s">
        <v>77</v>
      </c>
      <c r="B271" t="s">
        <v>221</v>
      </c>
      <c r="C271">
        <f t="shared" si="12"/>
        <v>2023</v>
      </c>
      <c r="D271">
        <f t="shared" si="13"/>
        <v>12</v>
      </c>
      <c r="E271" t="str">
        <f t="shared" si="14"/>
        <v>2023-12</v>
      </c>
      <c r="K271" t="s">
        <v>6</v>
      </c>
      <c r="L271" t="s">
        <v>495</v>
      </c>
    </row>
    <row r="272" spans="1:12" x14ac:dyDescent="0.25">
      <c r="A272" t="s">
        <v>47</v>
      </c>
      <c r="B272" t="s">
        <v>222</v>
      </c>
      <c r="C272">
        <f t="shared" si="12"/>
        <v>2023</v>
      </c>
      <c r="D272">
        <f t="shared" si="13"/>
        <v>12</v>
      </c>
      <c r="E272" t="str">
        <f t="shared" si="14"/>
        <v>2023-12</v>
      </c>
      <c r="K272" t="s">
        <v>6</v>
      </c>
      <c r="L272" t="s">
        <v>496</v>
      </c>
    </row>
    <row r="273" spans="1:12" x14ac:dyDescent="0.25">
      <c r="A273" t="s">
        <v>38</v>
      </c>
      <c r="B273" t="s">
        <v>222</v>
      </c>
      <c r="C273">
        <f t="shared" si="12"/>
        <v>2023</v>
      </c>
      <c r="D273">
        <f t="shared" si="13"/>
        <v>12</v>
      </c>
      <c r="E273" t="str">
        <f t="shared" si="14"/>
        <v>2023-12</v>
      </c>
      <c r="K273" t="s">
        <v>6</v>
      </c>
      <c r="L273" t="s">
        <v>498</v>
      </c>
    </row>
    <row r="274" spans="1:12" x14ac:dyDescent="0.25">
      <c r="A274" t="s">
        <v>223</v>
      </c>
      <c r="B274" t="s">
        <v>222</v>
      </c>
      <c r="C274">
        <f t="shared" si="12"/>
        <v>2023</v>
      </c>
      <c r="D274">
        <f t="shared" si="13"/>
        <v>12</v>
      </c>
      <c r="E274" t="str">
        <f t="shared" si="14"/>
        <v>2023-12</v>
      </c>
      <c r="K274" t="s">
        <v>6</v>
      </c>
      <c r="L274" t="s">
        <v>500</v>
      </c>
    </row>
    <row r="275" spans="1:12" x14ac:dyDescent="0.25">
      <c r="A275" t="s">
        <v>123</v>
      </c>
      <c r="B275" t="s">
        <v>224</v>
      </c>
      <c r="C275">
        <f t="shared" si="12"/>
        <v>2023</v>
      </c>
      <c r="D275">
        <f t="shared" si="13"/>
        <v>12</v>
      </c>
      <c r="E275" t="str">
        <f t="shared" si="14"/>
        <v>2023-12</v>
      </c>
      <c r="K275" t="s">
        <v>62</v>
      </c>
      <c r="L275" t="s">
        <v>489</v>
      </c>
    </row>
    <row r="276" spans="1:12" x14ac:dyDescent="0.25">
      <c r="A276" t="s">
        <v>47</v>
      </c>
      <c r="B276" t="s">
        <v>224</v>
      </c>
      <c r="C276">
        <f t="shared" si="12"/>
        <v>2023</v>
      </c>
      <c r="D276">
        <f t="shared" si="13"/>
        <v>12</v>
      </c>
      <c r="E276" t="str">
        <f t="shared" si="14"/>
        <v>2023-12</v>
      </c>
      <c r="K276" t="s">
        <v>62</v>
      </c>
      <c r="L276" t="s">
        <v>493</v>
      </c>
    </row>
    <row r="277" spans="1:12" x14ac:dyDescent="0.25">
      <c r="A277" t="s">
        <v>109</v>
      </c>
      <c r="B277" t="s">
        <v>224</v>
      </c>
      <c r="C277">
        <f t="shared" si="12"/>
        <v>2023</v>
      </c>
      <c r="D277">
        <f t="shared" si="13"/>
        <v>12</v>
      </c>
      <c r="E277" t="str">
        <f t="shared" si="14"/>
        <v>2023-12</v>
      </c>
      <c r="K277" t="s">
        <v>62</v>
      </c>
      <c r="L277" t="s">
        <v>495</v>
      </c>
    </row>
    <row r="278" spans="1:12" x14ac:dyDescent="0.25">
      <c r="A278" t="s">
        <v>39</v>
      </c>
      <c r="B278" t="s">
        <v>225</v>
      </c>
      <c r="C278">
        <f t="shared" si="12"/>
        <v>2023</v>
      </c>
      <c r="D278">
        <f t="shared" si="13"/>
        <v>12</v>
      </c>
      <c r="E278" t="str">
        <f t="shared" si="14"/>
        <v>2023-12</v>
      </c>
      <c r="K278" t="s">
        <v>62</v>
      </c>
      <c r="L278" t="s">
        <v>498</v>
      </c>
    </row>
    <row r="279" spans="1:12" x14ac:dyDescent="0.25">
      <c r="A279" t="s">
        <v>90</v>
      </c>
      <c r="B279" t="s">
        <v>226</v>
      </c>
      <c r="C279">
        <f t="shared" si="12"/>
        <v>2023</v>
      </c>
      <c r="D279">
        <f t="shared" si="13"/>
        <v>12</v>
      </c>
      <c r="E279" t="str">
        <f t="shared" si="14"/>
        <v>2023-12</v>
      </c>
      <c r="K279" t="s">
        <v>62</v>
      </c>
      <c r="L279" t="s">
        <v>500</v>
      </c>
    </row>
    <row r="280" spans="1:12" x14ac:dyDescent="0.25">
      <c r="A280" t="s">
        <v>79</v>
      </c>
      <c r="B280" t="s">
        <v>226</v>
      </c>
      <c r="C280">
        <f t="shared" si="12"/>
        <v>2023</v>
      </c>
      <c r="D280">
        <f t="shared" si="13"/>
        <v>12</v>
      </c>
      <c r="E280" t="str">
        <f t="shared" si="14"/>
        <v>2023-12</v>
      </c>
      <c r="K280" t="s">
        <v>99</v>
      </c>
      <c r="L280" t="s">
        <v>489</v>
      </c>
    </row>
    <row r="281" spans="1:12" x14ac:dyDescent="0.25">
      <c r="A281" t="s">
        <v>227</v>
      </c>
      <c r="B281" t="s">
        <v>226</v>
      </c>
      <c r="C281">
        <f t="shared" si="12"/>
        <v>2023</v>
      </c>
      <c r="D281">
        <f t="shared" si="13"/>
        <v>12</v>
      </c>
      <c r="E281" t="str">
        <f t="shared" si="14"/>
        <v>2023-12</v>
      </c>
      <c r="K281" t="s">
        <v>278</v>
      </c>
      <c r="L281" t="s">
        <v>493</v>
      </c>
    </row>
    <row r="282" spans="1:12" x14ac:dyDescent="0.25">
      <c r="A282" t="s">
        <v>25</v>
      </c>
      <c r="B282" t="s">
        <v>226</v>
      </c>
      <c r="C282">
        <f t="shared" si="12"/>
        <v>2023</v>
      </c>
      <c r="D282">
        <f t="shared" si="13"/>
        <v>12</v>
      </c>
      <c r="E282" t="str">
        <f t="shared" si="14"/>
        <v>2023-12</v>
      </c>
      <c r="K282" t="s">
        <v>302</v>
      </c>
      <c r="L282" t="s">
        <v>494</v>
      </c>
    </row>
    <row r="283" spans="1:12" x14ac:dyDescent="0.25">
      <c r="A283" t="s">
        <v>151</v>
      </c>
      <c r="B283" t="s">
        <v>226</v>
      </c>
      <c r="C283">
        <f t="shared" si="12"/>
        <v>2023</v>
      </c>
      <c r="D283">
        <f t="shared" si="13"/>
        <v>12</v>
      </c>
      <c r="E283" t="str">
        <f t="shared" si="14"/>
        <v>2023-12</v>
      </c>
      <c r="K283" t="s">
        <v>302</v>
      </c>
      <c r="L283" t="s">
        <v>496</v>
      </c>
    </row>
    <row r="284" spans="1:12" x14ac:dyDescent="0.25">
      <c r="A284" t="s">
        <v>116</v>
      </c>
      <c r="B284" t="s">
        <v>226</v>
      </c>
      <c r="C284">
        <f t="shared" si="12"/>
        <v>2023</v>
      </c>
      <c r="D284">
        <f t="shared" si="13"/>
        <v>12</v>
      </c>
      <c r="E284" t="str">
        <f t="shared" si="14"/>
        <v>2023-12</v>
      </c>
      <c r="K284" t="s">
        <v>302</v>
      </c>
      <c r="L284" t="s">
        <v>500</v>
      </c>
    </row>
    <row r="285" spans="1:12" x14ac:dyDescent="0.25">
      <c r="A285" t="s">
        <v>228</v>
      </c>
      <c r="B285" t="s">
        <v>226</v>
      </c>
      <c r="C285">
        <f t="shared" si="12"/>
        <v>2023</v>
      </c>
      <c r="D285">
        <f t="shared" si="13"/>
        <v>12</v>
      </c>
      <c r="E285" t="str">
        <f t="shared" si="14"/>
        <v>2023-12</v>
      </c>
      <c r="K285" t="s">
        <v>364</v>
      </c>
      <c r="L285" t="s">
        <v>496</v>
      </c>
    </row>
    <row r="286" spans="1:12" x14ac:dyDescent="0.25">
      <c r="A286" t="s">
        <v>229</v>
      </c>
      <c r="B286" t="s">
        <v>226</v>
      </c>
      <c r="C286">
        <f t="shared" si="12"/>
        <v>2023</v>
      </c>
      <c r="D286">
        <f t="shared" si="13"/>
        <v>12</v>
      </c>
      <c r="E286" t="str">
        <f t="shared" si="14"/>
        <v>2023-12</v>
      </c>
      <c r="K286" t="s">
        <v>364</v>
      </c>
      <c r="L286" t="s">
        <v>498</v>
      </c>
    </row>
    <row r="287" spans="1:12" x14ac:dyDescent="0.25">
      <c r="A287" t="s">
        <v>87</v>
      </c>
      <c r="B287" t="s">
        <v>226</v>
      </c>
      <c r="C287">
        <f t="shared" si="12"/>
        <v>2023</v>
      </c>
      <c r="D287">
        <f t="shared" si="13"/>
        <v>12</v>
      </c>
      <c r="E287" t="str">
        <f t="shared" si="14"/>
        <v>2023-12</v>
      </c>
      <c r="K287" t="s">
        <v>364</v>
      </c>
      <c r="L287" t="s">
        <v>499</v>
      </c>
    </row>
    <row r="288" spans="1:12" x14ac:dyDescent="0.25">
      <c r="A288" t="s">
        <v>86</v>
      </c>
      <c r="B288" t="s">
        <v>230</v>
      </c>
      <c r="C288">
        <f t="shared" si="12"/>
        <v>2023</v>
      </c>
      <c r="D288">
        <f t="shared" si="13"/>
        <v>12</v>
      </c>
      <c r="E288" t="str">
        <f t="shared" si="14"/>
        <v>2023-12</v>
      </c>
      <c r="K288" t="s">
        <v>238</v>
      </c>
      <c r="L288" t="s">
        <v>492</v>
      </c>
    </row>
    <row r="289" spans="1:12" x14ac:dyDescent="0.25">
      <c r="A289" t="s">
        <v>188</v>
      </c>
      <c r="B289" t="s">
        <v>230</v>
      </c>
      <c r="C289">
        <f t="shared" si="12"/>
        <v>2023</v>
      </c>
      <c r="D289">
        <f t="shared" si="13"/>
        <v>12</v>
      </c>
      <c r="E289" t="str">
        <f t="shared" si="14"/>
        <v>2023-12</v>
      </c>
      <c r="K289" t="s">
        <v>238</v>
      </c>
      <c r="L289" t="s">
        <v>496</v>
      </c>
    </row>
    <row r="290" spans="1:12" x14ac:dyDescent="0.25">
      <c r="A290" t="s">
        <v>231</v>
      </c>
      <c r="B290" t="s">
        <v>230</v>
      </c>
      <c r="C290">
        <f t="shared" si="12"/>
        <v>2023</v>
      </c>
      <c r="D290">
        <f t="shared" si="13"/>
        <v>12</v>
      </c>
      <c r="E290" t="str">
        <f t="shared" si="14"/>
        <v>2023-12</v>
      </c>
      <c r="K290" t="s">
        <v>238</v>
      </c>
      <c r="L290" t="s">
        <v>497</v>
      </c>
    </row>
    <row r="291" spans="1:12" x14ac:dyDescent="0.25">
      <c r="A291" t="s">
        <v>53</v>
      </c>
      <c r="B291" t="s">
        <v>230</v>
      </c>
      <c r="C291">
        <f t="shared" si="12"/>
        <v>2023</v>
      </c>
      <c r="D291">
        <f t="shared" si="13"/>
        <v>12</v>
      </c>
      <c r="E291" t="str">
        <f t="shared" si="14"/>
        <v>2023-12</v>
      </c>
      <c r="K291" t="s">
        <v>238</v>
      </c>
      <c r="L291" t="s">
        <v>500</v>
      </c>
    </row>
    <row r="292" spans="1:12" x14ac:dyDescent="0.25">
      <c r="A292" t="s">
        <v>131</v>
      </c>
      <c r="B292" t="s">
        <v>230</v>
      </c>
      <c r="C292">
        <f t="shared" si="12"/>
        <v>2023</v>
      </c>
      <c r="D292">
        <f t="shared" si="13"/>
        <v>12</v>
      </c>
      <c r="E292" t="str">
        <f t="shared" si="14"/>
        <v>2023-12</v>
      </c>
      <c r="K292" t="s">
        <v>38</v>
      </c>
      <c r="L292" t="s">
        <v>489</v>
      </c>
    </row>
    <row r="293" spans="1:12" x14ac:dyDescent="0.25">
      <c r="A293" t="s">
        <v>61</v>
      </c>
      <c r="B293" t="s">
        <v>230</v>
      </c>
      <c r="C293">
        <f t="shared" si="12"/>
        <v>2023</v>
      </c>
      <c r="D293">
        <f t="shared" si="13"/>
        <v>12</v>
      </c>
      <c r="E293" t="str">
        <f t="shared" si="14"/>
        <v>2023-12</v>
      </c>
      <c r="K293" t="s">
        <v>38</v>
      </c>
      <c r="L293" t="s">
        <v>492</v>
      </c>
    </row>
    <row r="294" spans="1:12" x14ac:dyDescent="0.25">
      <c r="A294" t="s">
        <v>232</v>
      </c>
      <c r="B294" t="s">
        <v>233</v>
      </c>
      <c r="C294">
        <f t="shared" si="12"/>
        <v>2023</v>
      </c>
      <c r="D294">
        <f t="shared" si="13"/>
        <v>12</v>
      </c>
      <c r="E294" t="str">
        <f t="shared" si="14"/>
        <v>2023-12</v>
      </c>
      <c r="K294" t="s">
        <v>38</v>
      </c>
      <c r="L294" t="s">
        <v>493</v>
      </c>
    </row>
    <row r="295" spans="1:12" x14ac:dyDescent="0.25">
      <c r="A295" t="s">
        <v>158</v>
      </c>
      <c r="B295" t="s">
        <v>233</v>
      </c>
      <c r="C295">
        <f t="shared" si="12"/>
        <v>2023</v>
      </c>
      <c r="D295">
        <f t="shared" si="13"/>
        <v>12</v>
      </c>
      <c r="E295" t="str">
        <f t="shared" si="14"/>
        <v>2023-12</v>
      </c>
      <c r="K295" t="s">
        <v>38</v>
      </c>
      <c r="L295" t="s">
        <v>494</v>
      </c>
    </row>
    <row r="296" spans="1:12" x14ac:dyDescent="0.25">
      <c r="A296" t="s">
        <v>55</v>
      </c>
      <c r="B296" t="s">
        <v>234</v>
      </c>
      <c r="C296">
        <f t="shared" si="12"/>
        <v>2023</v>
      </c>
      <c r="D296">
        <f t="shared" si="13"/>
        <v>12</v>
      </c>
      <c r="E296" t="str">
        <f t="shared" si="14"/>
        <v>2023-12</v>
      </c>
      <c r="K296" t="s">
        <v>38</v>
      </c>
      <c r="L296" t="s">
        <v>495</v>
      </c>
    </row>
    <row r="297" spans="1:12" x14ac:dyDescent="0.25">
      <c r="A297" t="s">
        <v>235</v>
      </c>
      <c r="B297" t="s">
        <v>236</v>
      </c>
      <c r="C297">
        <f t="shared" si="12"/>
        <v>2023</v>
      </c>
      <c r="D297">
        <f t="shared" si="13"/>
        <v>12</v>
      </c>
      <c r="E297" t="str">
        <f t="shared" si="14"/>
        <v>2023-12</v>
      </c>
      <c r="K297" t="s">
        <v>38</v>
      </c>
      <c r="L297" t="s">
        <v>499</v>
      </c>
    </row>
    <row r="298" spans="1:12" x14ac:dyDescent="0.25">
      <c r="A298" t="s">
        <v>237</v>
      </c>
      <c r="B298" t="s">
        <v>236</v>
      </c>
      <c r="C298">
        <f t="shared" si="12"/>
        <v>2023</v>
      </c>
      <c r="D298">
        <f t="shared" si="13"/>
        <v>12</v>
      </c>
      <c r="E298" t="str">
        <f t="shared" si="14"/>
        <v>2023-12</v>
      </c>
      <c r="K298" t="s">
        <v>38</v>
      </c>
      <c r="L298" t="s">
        <v>500</v>
      </c>
    </row>
    <row r="299" spans="1:12" x14ac:dyDescent="0.25">
      <c r="A299" t="s">
        <v>193</v>
      </c>
      <c r="B299" t="s">
        <v>236</v>
      </c>
      <c r="C299">
        <f t="shared" si="12"/>
        <v>2023</v>
      </c>
      <c r="D299">
        <f t="shared" si="13"/>
        <v>12</v>
      </c>
      <c r="E299" t="str">
        <f t="shared" si="14"/>
        <v>2023-12</v>
      </c>
      <c r="K299" t="s">
        <v>187</v>
      </c>
      <c r="L299" t="s">
        <v>491</v>
      </c>
    </row>
    <row r="300" spans="1:12" x14ac:dyDescent="0.25">
      <c r="A300" t="s">
        <v>238</v>
      </c>
      <c r="B300" t="s">
        <v>236</v>
      </c>
      <c r="C300">
        <f t="shared" si="12"/>
        <v>2023</v>
      </c>
      <c r="D300">
        <f t="shared" si="13"/>
        <v>12</v>
      </c>
      <c r="E300" t="str">
        <f t="shared" si="14"/>
        <v>2023-12</v>
      </c>
      <c r="K300" t="s">
        <v>187</v>
      </c>
      <c r="L300" t="s">
        <v>495</v>
      </c>
    </row>
    <row r="301" spans="1:12" x14ac:dyDescent="0.25">
      <c r="A301" t="s">
        <v>239</v>
      </c>
      <c r="B301" t="s">
        <v>236</v>
      </c>
      <c r="C301">
        <f t="shared" si="12"/>
        <v>2023</v>
      </c>
      <c r="D301">
        <f t="shared" si="13"/>
        <v>12</v>
      </c>
      <c r="E301" t="str">
        <f t="shared" si="14"/>
        <v>2023-12</v>
      </c>
      <c r="K301" t="s">
        <v>187</v>
      </c>
      <c r="L301" t="s">
        <v>500</v>
      </c>
    </row>
    <row r="302" spans="1:12" x14ac:dyDescent="0.25">
      <c r="A302" t="s">
        <v>68</v>
      </c>
      <c r="B302" t="s">
        <v>236</v>
      </c>
      <c r="C302">
        <f t="shared" si="12"/>
        <v>2023</v>
      </c>
      <c r="D302">
        <f t="shared" si="13"/>
        <v>12</v>
      </c>
      <c r="E302" t="str">
        <f t="shared" si="14"/>
        <v>2023-12</v>
      </c>
      <c r="K302" t="s">
        <v>90</v>
      </c>
      <c r="L302" t="s">
        <v>489</v>
      </c>
    </row>
    <row r="303" spans="1:12" x14ac:dyDescent="0.25">
      <c r="A303" t="s">
        <v>28</v>
      </c>
      <c r="B303" t="s">
        <v>236</v>
      </c>
      <c r="C303">
        <f t="shared" si="12"/>
        <v>2023</v>
      </c>
      <c r="D303">
        <f t="shared" si="13"/>
        <v>12</v>
      </c>
      <c r="E303" t="str">
        <f t="shared" si="14"/>
        <v>2023-12</v>
      </c>
      <c r="K303" t="s">
        <v>90</v>
      </c>
      <c r="L303" t="s">
        <v>492</v>
      </c>
    </row>
    <row r="304" spans="1:12" x14ac:dyDescent="0.25">
      <c r="A304" t="s">
        <v>138</v>
      </c>
      <c r="B304" t="s">
        <v>236</v>
      </c>
      <c r="C304">
        <f t="shared" si="12"/>
        <v>2023</v>
      </c>
      <c r="D304">
        <f t="shared" si="13"/>
        <v>12</v>
      </c>
      <c r="E304" t="str">
        <f t="shared" si="14"/>
        <v>2023-12</v>
      </c>
      <c r="K304" t="s">
        <v>90</v>
      </c>
      <c r="L304" t="s">
        <v>497</v>
      </c>
    </row>
    <row r="305" spans="1:12" x14ac:dyDescent="0.25">
      <c r="A305" t="s">
        <v>22</v>
      </c>
      <c r="B305" t="s">
        <v>236</v>
      </c>
      <c r="C305">
        <f t="shared" si="12"/>
        <v>2023</v>
      </c>
      <c r="D305">
        <f t="shared" si="13"/>
        <v>12</v>
      </c>
      <c r="E305" t="str">
        <f t="shared" si="14"/>
        <v>2023-12</v>
      </c>
      <c r="K305" t="s">
        <v>32</v>
      </c>
      <c r="L305" t="s">
        <v>489</v>
      </c>
    </row>
    <row r="306" spans="1:12" x14ac:dyDescent="0.25">
      <c r="A306" t="s">
        <v>156</v>
      </c>
      <c r="B306" t="s">
        <v>236</v>
      </c>
      <c r="C306">
        <f t="shared" si="12"/>
        <v>2023</v>
      </c>
      <c r="D306">
        <f t="shared" si="13"/>
        <v>12</v>
      </c>
      <c r="E306" t="str">
        <f t="shared" si="14"/>
        <v>2023-12</v>
      </c>
      <c r="K306" t="s">
        <v>32</v>
      </c>
      <c r="L306" t="s">
        <v>493</v>
      </c>
    </row>
    <row r="307" spans="1:12" x14ac:dyDescent="0.25">
      <c r="A307" t="s">
        <v>240</v>
      </c>
      <c r="B307" t="s">
        <v>241</v>
      </c>
      <c r="C307">
        <f t="shared" si="12"/>
        <v>2023</v>
      </c>
      <c r="D307">
        <f t="shared" si="13"/>
        <v>12</v>
      </c>
      <c r="E307" t="str">
        <f t="shared" si="14"/>
        <v>2023-12</v>
      </c>
      <c r="K307" t="s">
        <v>32</v>
      </c>
      <c r="L307" t="s">
        <v>494</v>
      </c>
    </row>
    <row r="308" spans="1:12" x14ac:dyDescent="0.25">
      <c r="A308" t="s">
        <v>216</v>
      </c>
      <c r="B308" t="s">
        <v>241</v>
      </c>
      <c r="C308">
        <f t="shared" si="12"/>
        <v>2023</v>
      </c>
      <c r="D308">
        <f t="shared" si="13"/>
        <v>12</v>
      </c>
      <c r="E308" t="str">
        <f t="shared" si="14"/>
        <v>2023-12</v>
      </c>
      <c r="K308" t="s">
        <v>32</v>
      </c>
      <c r="L308" t="s">
        <v>495</v>
      </c>
    </row>
    <row r="309" spans="1:12" x14ac:dyDescent="0.25">
      <c r="A309" t="s">
        <v>67</v>
      </c>
      <c r="B309" t="s">
        <v>241</v>
      </c>
      <c r="C309">
        <f t="shared" si="12"/>
        <v>2023</v>
      </c>
      <c r="D309">
        <f t="shared" si="13"/>
        <v>12</v>
      </c>
      <c r="E309" t="str">
        <f t="shared" si="14"/>
        <v>2023-12</v>
      </c>
      <c r="K309" t="s">
        <v>32</v>
      </c>
      <c r="L309" t="s">
        <v>497</v>
      </c>
    </row>
    <row r="310" spans="1:12" x14ac:dyDescent="0.25">
      <c r="A310" t="s">
        <v>89</v>
      </c>
      <c r="B310" t="s">
        <v>242</v>
      </c>
      <c r="C310">
        <f t="shared" si="12"/>
        <v>2023</v>
      </c>
      <c r="D310">
        <f t="shared" si="13"/>
        <v>12</v>
      </c>
      <c r="E310" t="str">
        <f t="shared" si="14"/>
        <v>2023-12</v>
      </c>
      <c r="K310" t="s">
        <v>231</v>
      </c>
      <c r="L310" t="s">
        <v>492</v>
      </c>
    </row>
    <row r="311" spans="1:12" x14ac:dyDescent="0.25">
      <c r="A311" t="s">
        <v>243</v>
      </c>
      <c r="B311" t="s">
        <v>242</v>
      </c>
      <c r="C311">
        <f t="shared" si="12"/>
        <v>2023</v>
      </c>
      <c r="D311">
        <f t="shared" si="13"/>
        <v>12</v>
      </c>
      <c r="E311" t="str">
        <f t="shared" si="14"/>
        <v>2023-12</v>
      </c>
      <c r="K311" t="s">
        <v>231</v>
      </c>
      <c r="L311" t="s">
        <v>496</v>
      </c>
    </row>
    <row r="312" spans="1:12" x14ac:dyDescent="0.25">
      <c r="A312" t="s">
        <v>37</v>
      </c>
      <c r="B312" t="s">
        <v>242</v>
      </c>
      <c r="C312">
        <f t="shared" si="12"/>
        <v>2023</v>
      </c>
      <c r="D312">
        <f t="shared" si="13"/>
        <v>12</v>
      </c>
      <c r="E312" t="str">
        <f t="shared" si="14"/>
        <v>2023-12</v>
      </c>
      <c r="K312" t="s">
        <v>91</v>
      </c>
      <c r="L312" t="s">
        <v>489</v>
      </c>
    </row>
    <row r="313" spans="1:12" x14ac:dyDescent="0.25">
      <c r="A313" t="s">
        <v>244</v>
      </c>
      <c r="B313" t="s">
        <v>245</v>
      </c>
      <c r="C313">
        <f t="shared" si="12"/>
        <v>2023</v>
      </c>
      <c r="D313">
        <f t="shared" si="13"/>
        <v>12</v>
      </c>
      <c r="E313" t="str">
        <f t="shared" si="14"/>
        <v>2023-12</v>
      </c>
      <c r="K313" t="s">
        <v>91</v>
      </c>
      <c r="L313" t="s">
        <v>493</v>
      </c>
    </row>
    <row r="314" spans="1:12" x14ac:dyDescent="0.25">
      <c r="A314" t="s">
        <v>81</v>
      </c>
      <c r="B314" t="s">
        <v>245</v>
      </c>
      <c r="C314">
        <f t="shared" si="12"/>
        <v>2023</v>
      </c>
      <c r="D314">
        <f t="shared" si="13"/>
        <v>12</v>
      </c>
      <c r="E314" t="str">
        <f t="shared" si="14"/>
        <v>2023-12</v>
      </c>
      <c r="K314" t="s">
        <v>91</v>
      </c>
      <c r="L314" t="s">
        <v>498</v>
      </c>
    </row>
    <row r="315" spans="1:12" x14ac:dyDescent="0.25">
      <c r="A315" t="s">
        <v>25</v>
      </c>
      <c r="B315" t="s">
        <v>246</v>
      </c>
      <c r="C315">
        <f t="shared" si="12"/>
        <v>2023</v>
      </c>
      <c r="D315">
        <f t="shared" si="13"/>
        <v>12</v>
      </c>
      <c r="E315" t="str">
        <f t="shared" si="14"/>
        <v>2023-12</v>
      </c>
      <c r="K315" t="s">
        <v>335</v>
      </c>
      <c r="L315" t="s">
        <v>495</v>
      </c>
    </row>
    <row r="316" spans="1:12" x14ac:dyDescent="0.25">
      <c r="A316" t="s">
        <v>66</v>
      </c>
      <c r="B316" t="s">
        <v>246</v>
      </c>
      <c r="C316">
        <f t="shared" si="12"/>
        <v>2023</v>
      </c>
      <c r="D316">
        <f t="shared" si="13"/>
        <v>12</v>
      </c>
      <c r="E316" t="str">
        <f t="shared" si="14"/>
        <v>2023-12</v>
      </c>
      <c r="K316" t="s">
        <v>335</v>
      </c>
      <c r="L316" t="s">
        <v>496</v>
      </c>
    </row>
    <row r="317" spans="1:12" x14ac:dyDescent="0.25">
      <c r="A317" t="s">
        <v>207</v>
      </c>
      <c r="B317" t="s">
        <v>246</v>
      </c>
      <c r="C317">
        <f t="shared" si="12"/>
        <v>2023</v>
      </c>
      <c r="D317">
        <f t="shared" si="13"/>
        <v>12</v>
      </c>
      <c r="E317" t="str">
        <f t="shared" si="14"/>
        <v>2023-12</v>
      </c>
      <c r="K317" t="s">
        <v>335</v>
      </c>
      <c r="L317" t="s">
        <v>499</v>
      </c>
    </row>
    <row r="318" spans="1:12" x14ac:dyDescent="0.25">
      <c r="A318" t="s">
        <v>13</v>
      </c>
      <c r="B318" t="s">
        <v>246</v>
      </c>
      <c r="C318">
        <f t="shared" si="12"/>
        <v>2023</v>
      </c>
      <c r="D318">
        <f t="shared" si="13"/>
        <v>12</v>
      </c>
      <c r="E318" t="str">
        <f t="shared" si="14"/>
        <v>2023-12</v>
      </c>
      <c r="K318" t="s">
        <v>335</v>
      </c>
      <c r="L318" t="s">
        <v>500</v>
      </c>
    </row>
    <row r="319" spans="1:12" x14ac:dyDescent="0.25">
      <c r="A319" t="s">
        <v>161</v>
      </c>
      <c r="B319" t="s">
        <v>246</v>
      </c>
      <c r="C319">
        <f t="shared" si="12"/>
        <v>2023</v>
      </c>
      <c r="D319">
        <f t="shared" si="13"/>
        <v>12</v>
      </c>
      <c r="E319" t="str">
        <f t="shared" si="14"/>
        <v>2023-12</v>
      </c>
      <c r="K319" t="s">
        <v>150</v>
      </c>
      <c r="L319" t="s">
        <v>490</v>
      </c>
    </row>
    <row r="320" spans="1:12" x14ac:dyDescent="0.25">
      <c r="A320" t="s">
        <v>97</v>
      </c>
      <c r="B320" t="s">
        <v>247</v>
      </c>
      <c r="C320">
        <f t="shared" si="12"/>
        <v>2024</v>
      </c>
      <c r="D320">
        <f t="shared" si="13"/>
        <v>1</v>
      </c>
      <c r="E320" t="str">
        <f t="shared" si="14"/>
        <v>2024-1</v>
      </c>
      <c r="K320" t="s">
        <v>150</v>
      </c>
      <c r="L320" t="s">
        <v>492</v>
      </c>
    </row>
    <row r="321" spans="1:12" x14ac:dyDescent="0.25">
      <c r="A321" t="s">
        <v>248</v>
      </c>
      <c r="B321" t="s">
        <v>247</v>
      </c>
      <c r="C321">
        <f t="shared" si="12"/>
        <v>2024</v>
      </c>
      <c r="D321">
        <f t="shared" si="13"/>
        <v>1</v>
      </c>
      <c r="E321" t="str">
        <f t="shared" si="14"/>
        <v>2024-1</v>
      </c>
      <c r="K321" t="s">
        <v>150</v>
      </c>
      <c r="L321" t="s">
        <v>494</v>
      </c>
    </row>
    <row r="322" spans="1:12" x14ac:dyDescent="0.25">
      <c r="A322" t="s">
        <v>70</v>
      </c>
      <c r="B322" t="s">
        <v>247</v>
      </c>
      <c r="C322">
        <f t="shared" si="12"/>
        <v>2024</v>
      </c>
      <c r="D322">
        <f t="shared" si="13"/>
        <v>1</v>
      </c>
      <c r="E322" t="str">
        <f t="shared" si="14"/>
        <v>2024-1</v>
      </c>
      <c r="K322" t="s">
        <v>150</v>
      </c>
      <c r="L322" t="s">
        <v>495</v>
      </c>
    </row>
    <row r="323" spans="1:12" x14ac:dyDescent="0.25">
      <c r="A323" t="s">
        <v>249</v>
      </c>
      <c r="B323" t="s">
        <v>247</v>
      </c>
      <c r="C323">
        <f t="shared" ref="C323:C386" si="15">YEAR(B323)</f>
        <v>2024</v>
      </c>
      <c r="D323">
        <f t="shared" ref="D323:D386" si="16">MONTH(B323)</f>
        <v>1</v>
      </c>
      <c r="E323" t="str">
        <f t="shared" ref="E323:E386" si="17">C323&amp;"-"&amp;D323</f>
        <v>2024-1</v>
      </c>
      <c r="K323" t="s">
        <v>150</v>
      </c>
      <c r="L323" t="s">
        <v>499</v>
      </c>
    </row>
    <row r="324" spans="1:12" x14ac:dyDescent="0.25">
      <c r="A324" t="s">
        <v>101</v>
      </c>
      <c r="B324" t="s">
        <v>250</v>
      </c>
      <c r="C324">
        <f t="shared" si="15"/>
        <v>2024</v>
      </c>
      <c r="D324">
        <f t="shared" si="16"/>
        <v>1</v>
      </c>
      <c r="E324" t="str">
        <f t="shared" si="17"/>
        <v>2024-1</v>
      </c>
      <c r="K324" t="s">
        <v>69</v>
      </c>
      <c r="L324" t="s">
        <v>489</v>
      </c>
    </row>
    <row r="325" spans="1:12" x14ac:dyDescent="0.25">
      <c r="A325" t="s">
        <v>108</v>
      </c>
      <c r="B325" t="s">
        <v>250</v>
      </c>
      <c r="C325">
        <f t="shared" si="15"/>
        <v>2024</v>
      </c>
      <c r="D325">
        <f t="shared" si="16"/>
        <v>1</v>
      </c>
      <c r="E325" t="str">
        <f t="shared" si="17"/>
        <v>2024-1</v>
      </c>
      <c r="K325" t="s">
        <v>69</v>
      </c>
      <c r="L325" t="s">
        <v>498</v>
      </c>
    </row>
    <row r="326" spans="1:12" x14ac:dyDescent="0.25">
      <c r="A326" t="s">
        <v>85</v>
      </c>
      <c r="B326" t="s">
        <v>251</v>
      </c>
      <c r="C326">
        <f t="shared" si="15"/>
        <v>2024</v>
      </c>
      <c r="D326">
        <f t="shared" si="16"/>
        <v>1</v>
      </c>
      <c r="E326" t="str">
        <f t="shared" si="17"/>
        <v>2024-1</v>
      </c>
      <c r="K326" t="s">
        <v>125</v>
      </c>
      <c r="L326" t="s">
        <v>490</v>
      </c>
    </row>
    <row r="327" spans="1:12" x14ac:dyDescent="0.25">
      <c r="A327" t="s">
        <v>22</v>
      </c>
      <c r="B327" t="s">
        <v>251</v>
      </c>
      <c r="C327">
        <f t="shared" si="15"/>
        <v>2024</v>
      </c>
      <c r="D327">
        <f t="shared" si="16"/>
        <v>1</v>
      </c>
      <c r="E327" t="str">
        <f t="shared" si="17"/>
        <v>2024-1</v>
      </c>
      <c r="K327" t="s">
        <v>125</v>
      </c>
      <c r="L327" t="s">
        <v>494</v>
      </c>
    </row>
    <row r="328" spans="1:12" x14ac:dyDescent="0.25">
      <c r="A328" t="s">
        <v>151</v>
      </c>
      <c r="B328" t="s">
        <v>251</v>
      </c>
      <c r="C328">
        <f t="shared" si="15"/>
        <v>2024</v>
      </c>
      <c r="D328">
        <f t="shared" si="16"/>
        <v>1</v>
      </c>
      <c r="E328" t="str">
        <f t="shared" si="17"/>
        <v>2024-1</v>
      </c>
      <c r="K328" t="s">
        <v>125</v>
      </c>
      <c r="L328" t="s">
        <v>496</v>
      </c>
    </row>
    <row r="329" spans="1:12" x14ac:dyDescent="0.25">
      <c r="A329" t="s">
        <v>219</v>
      </c>
      <c r="B329" t="s">
        <v>251</v>
      </c>
      <c r="C329">
        <f t="shared" si="15"/>
        <v>2024</v>
      </c>
      <c r="D329">
        <f t="shared" si="16"/>
        <v>1</v>
      </c>
      <c r="E329" t="str">
        <f t="shared" si="17"/>
        <v>2024-1</v>
      </c>
      <c r="K329" t="s">
        <v>44</v>
      </c>
      <c r="L329" t="s">
        <v>489</v>
      </c>
    </row>
    <row r="330" spans="1:12" x14ac:dyDescent="0.25">
      <c r="A330" t="s">
        <v>81</v>
      </c>
      <c r="B330" t="s">
        <v>251</v>
      </c>
      <c r="C330">
        <f t="shared" si="15"/>
        <v>2024</v>
      </c>
      <c r="D330">
        <f t="shared" si="16"/>
        <v>1</v>
      </c>
      <c r="E330" t="str">
        <f t="shared" si="17"/>
        <v>2024-1</v>
      </c>
      <c r="K330" t="s">
        <v>44</v>
      </c>
      <c r="L330" t="s">
        <v>493</v>
      </c>
    </row>
    <row r="331" spans="1:12" x14ac:dyDescent="0.25">
      <c r="A331" t="s">
        <v>81</v>
      </c>
      <c r="B331" t="s">
        <v>251</v>
      </c>
      <c r="C331">
        <f t="shared" si="15"/>
        <v>2024</v>
      </c>
      <c r="D331">
        <f t="shared" si="16"/>
        <v>1</v>
      </c>
      <c r="E331" t="str">
        <f t="shared" si="17"/>
        <v>2024-1</v>
      </c>
      <c r="K331" t="s">
        <v>133</v>
      </c>
      <c r="L331" t="s">
        <v>490</v>
      </c>
    </row>
    <row r="332" spans="1:12" x14ac:dyDescent="0.25">
      <c r="A332" t="s">
        <v>252</v>
      </c>
      <c r="B332" t="s">
        <v>253</v>
      </c>
      <c r="C332">
        <f t="shared" si="15"/>
        <v>2024</v>
      </c>
      <c r="D332">
        <f t="shared" si="16"/>
        <v>1</v>
      </c>
      <c r="E332" t="str">
        <f t="shared" si="17"/>
        <v>2024-1</v>
      </c>
      <c r="K332" t="s">
        <v>133</v>
      </c>
      <c r="L332" t="s">
        <v>499</v>
      </c>
    </row>
    <row r="333" spans="1:12" x14ac:dyDescent="0.25">
      <c r="A333" t="s">
        <v>181</v>
      </c>
      <c r="B333" t="s">
        <v>254</v>
      </c>
      <c r="C333">
        <f t="shared" si="15"/>
        <v>2024</v>
      </c>
      <c r="D333">
        <f t="shared" si="16"/>
        <v>1</v>
      </c>
      <c r="E333" t="str">
        <f t="shared" si="17"/>
        <v>2024-1</v>
      </c>
      <c r="K333" t="s">
        <v>144</v>
      </c>
      <c r="L333" t="s">
        <v>490</v>
      </c>
    </row>
    <row r="334" spans="1:12" x14ac:dyDescent="0.25">
      <c r="A334" t="s">
        <v>232</v>
      </c>
      <c r="B334" t="s">
        <v>254</v>
      </c>
      <c r="C334">
        <f t="shared" si="15"/>
        <v>2024</v>
      </c>
      <c r="D334">
        <f t="shared" si="16"/>
        <v>1</v>
      </c>
      <c r="E334" t="str">
        <f t="shared" si="17"/>
        <v>2024-1</v>
      </c>
      <c r="K334" t="s">
        <v>144</v>
      </c>
      <c r="L334" t="s">
        <v>494</v>
      </c>
    </row>
    <row r="335" spans="1:12" x14ac:dyDescent="0.25">
      <c r="A335" t="s">
        <v>160</v>
      </c>
      <c r="B335" t="s">
        <v>254</v>
      </c>
      <c r="C335">
        <f t="shared" si="15"/>
        <v>2024</v>
      </c>
      <c r="D335">
        <f t="shared" si="16"/>
        <v>1</v>
      </c>
      <c r="E335" t="str">
        <f t="shared" si="17"/>
        <v>2024-1</v>
      </c>
      <c r="K335" t="s">
        <v>144</v>
      </c>
      <c r="L335" t="s">
        <v>495</v>
      </c>
    </row>
    <row r="336" spans="1:12" x14ac:dyDescent="0.25">
      <c r="A336" t="s">
        <v>24</v>
      </c>
      <c r="B336" t="s">
        <v>254</v>
      </c>
      <c r="C336">
        <f t="shared" si="15"/>
        <v>2024</v>
      </c>
      <c r="D336">
        <f t="shared" si="16"/>
        <v>1</v>
      </c>
      <c r="E336" t="str">
        <f t="shared" si="17"/>
        <v>2024-1</v>
      </c>
      <c r="K336" t="s">
        <v>144</v>
      </c>
      <c r="L336" t="s">
        <v>500</v>
      </c>
    </row>
    <row r="337" spans="1:12" x14ac:dyDescent="0.25">
      <c r="A337" t="s">
        <v>235</v>
      </c>
      <c r="B337" t="s">
        <v>254</v>
      </c>
      <c r="C337">
        <f t="shared" si="15"/>
        <v>2024</v>
      </c>
      <c r="D337">
        <f t="shared" si="16"/>
        <v>1</v>
      </c>
      <c r="E337" t="str">
        <f t="shared" si="17"/>
        <v>2024-1</v>
      </c>
      <c r="K337" t="s">
        <v>56</v>
      </c>
      <c r="L337" t="s">
        <v>489</v>
      </c>
    </row>
    <row r="338" spans="1:12" x14ac:dyDescent="0.25">
      <c r="A338" t="s">
        <v>34</v>
      </c>
      <c r="B338" t="s">
        <v>255</v>
      </c>
      <c r="C338">
        <f t="shared" si="15"/>
        <v>2024</v>
      </c>
      <c r="D338">
        <f t="shared" si="16"/>
        <v>1</v>
      </c>
      <c r="E338" t="str">
        <f t="shared" si="17"/>
        <v>2024-1</v>
      </c>
      <c r="K338" t="s">
        <v>56</v>
      </c>
      <c r="L338" t="s">
        <v>491</v>
      </c>
    </row>
    <row r="339" spans="1:12" x14ac:dyDescent="0.25">
      <c r="A339" t="s">
        <v>79</v>
      </c>
      <c r="B339" t="s">
        <v>255</v>
      </c>
      <c r="C339">
        <f t="shared" si="15"/>
        <v>2024</v>
      </c>
      <c r="D339">
        <f t="shared" si="16"/>
        <v>1</v>
      </c>
      <c r="E339" t="str">
        <f t="shared" si="17"/>
        <v>2024-1</v>
      </c>
      <c r="K339" t="s">
        <v>56</v>
      </c>
      <c r="L339" t="s">
        <v>492</v>
      </c>
    </row>
    <row r="340" spans="1:12" x14ac:dyDescent="0.25">
      <c r="A340" t="s">
        <v>34</v>
      </c>
      <c r="B340" t="s">
        <v>255</v>
      </c>
      <c r="C340">
        <f t="shared" si="15"/>
        <v>2024</v>
      </c>
      <c r="D340">
        <f t="shared" si="16"/>
        <v>1</v>
      </c>
      <c r="E340" t="str">
        <f t="shared" si="17"/>
        <v>2024-1</v>
      </c>
      <c r="K340" t="s">
        <v>56</v>
      </c>
      <c r="L340" t="s">
        <v>493</v>
      </c>
    </row>
    <row r="341" spans="1:12" x14ac:dyDescent="0.25">
      <c r="A341" t="s">
        <v>237</v>
      </c>
      <c r="B341" t="s">
        <v>255</v>
      </c>
      <c r="C341">
        <f t="shared" si="15"/>
        <v>2024</v>
      </c>
      <c r="D341">
        <f t="shared" si="16"/>
        <v>1</v>
      </c>
      <c r="E341" t="str">
        <f t="shared" si="17"/>
        <v>2024-1</v>
      </c>
      <c r="K341" t="s">
        <v>56</v>
      </c>
      <c r="L341" t="s">
        <v>496</v>
      </c>
    </row>
    <row r="342" spans="1:12" x14ac:dyDescent="0.25">
      <c r="A342" t="s">
        <v>113</v>
      </c>
      <c r="B342" t="s">
        <v>255</v>
      </c>
      <c r="C342">
        <f t="shared" si="15"/>
        <v>2024</v>
      </c>
      <c r="D342">
        <f t="shared" si="16"/>
        <v>1</v>
      </c>
      <c r="E342" t="str">
        <f t="shared" si="17"/>
        <v>2024-1</v>
      </c>
      <c r="K342" t="s">
        <v>200</v>
      </c>
      <c r="L342" t="s">
        <v>491</v>
      </c>
    </row>
    <row r="343" spans="1:12" x14ac:dyDescent="0.25">
      <c r="A343" t="s">
        <v>86</v>
      </c>
      <c r="B343" t="s">
        <v>255</v>
      </c>
      <c r="C343">
        <f t="shared" si="15"/>
        <v>2024</v>
      </c>
      <c r="D343">
        <f t="shared" si="16"/>
        <v>1</v>
      </c>
      <c r="E343" t="str">
        <f t="shared" si="17"/>
        <v>2024-1</v>
      </c>
      <c r="K343" t="s">
        <v>200</v>
      </c>
      <c r="L343" t="s">
        <v>497</v>
      </c>
    </row>
    <row r="344" spans="1:12" x14ac:dyDescent="0.25">
      <c r="A344" t="s">
        <v>63</v>
      </c>
      <c r="B344" t="s">
        <v>255</v>
      </c>
      <c r="C344">
        <f t="shared" si="15"/>
        <v>2024</v>
      </c>
      <c r="D344">
        <f t="shared" si="16"/>
        <v>1</v>
      </c>
      <c r="E344" t="str">
        <f t="shared" si="17"/>
        <v>2024-1</v>
      </c>
      <c r="K344" t="s">
        <v>140</v>
      </c>
      <c r="L344" t="s">
        <v>490</v>
      </c>
    </row>
    <row r="345" spans="1:12" x14ac:dyDescent="0.25">
      <c r="A345" t="s">
        <v>115</v>
      </c>
      <c r="B345" t="s">
        <v>255</v>
      </c>
      <c r="C345">
        <f t="shared" si="15"/>
        <v>2024</v>
      </c>
      <c r="D345">
        <f t="shared" si="16"/>
        <v>1</v>
      </c>
      <c r="E345" t="str">
        <f t="shared" si="17"/>
        <v>2024-1</v>
      </c>
      <c r="K345" t="s">
        <v>140</v>
      </c>
      <c r="L345" t="s">
        <v>496</v>
      </c>
    </row>
    <row r="346" spans="1:12" x14ac:dyDescent="0.25">
      <c r="A346" t="s">
        <v>256</v>
      </c>
      <c r="B346" t="s">
        <v>255</v>
      </c>
      <c r="C346">
        <f t="shared" si="15"/>
        <v>2024</v>
      </c>
      <c r="D346">
        <f t="shared" si="16"/>
        <v>1</v>
      </c>
      <c r="E346" t="str">
        <f t="shared" si="17"/>
        <v>2024-1</v>
      </c>
      <c r="K346" t="s">
        <v>140</v>
      </c>
      <c r="L346" t="s">
        <v>497</v>
      </c>
    </row>
    <row r="347" spans="1:12" x14ac:dyDescent="0.25">
      <c r="A347" t="s">
        <v>156</v>
      </c>
      <c r="B347" t="s">
        <v>257</v>
      </c>
      <c r="C347">
        <f t="shared" si="15"/>
        <v>2024</v>
      </c>
      <c r="D347">
        <f t="shared" si="16"/>
        <v>1</v>
      </c>
      <c r="E347" t="str">
        <f t="shared" si="17"/>
        <v>2024-1</v>
      </c>
      <c r="K347" t="s">
        <v>51</v>
      </c>
      <c r="L347" t="s">
        <v>489</v>
      </c>
    </row>
    <row r="348" spans="1:12" x14ac:dyDescent="0.25">
      <c r="A348" t="s">
        <v>198</v>
      </c>
      <c r="B348" t="s">
        <v>257</v>
      </c>
      <c r="C348">
        <f t="shared" si="15"/>
        <v>2024</v>
      </c>
      <c r="D348">
        <f t="shared" si="16"/>
        <v>1</v>
      </c>
      <c r="E348" t="str">
        <f t="shared" si="17"/>
        <v>2024-1</v>
      </c>
      <c r="K348" t="s">
        <v>51</v>
      </c>
      <c r="L348" t="s">
        <v>500</v>
      </c>
    </row>
    <row r="349" spans="1:12" x14ac:dyDescent="0.25">
      <c r="A349" t="s">
        <v>81</v>
      </c>
      <c r="B349" t="s">
        <v>257</v>
      </c>
      <c r="C349">
        <f t="shared" si="15"/>
        <v>2024</v>
      </c>
      <c r="D349">
        <f t="shared" si="16"/>
        <v>1</v>
      </c>
      <c r="E349" t="str">
        <f t="shared" si="17"/>
        <v>2024-1</v>
      </c>
      <c r="K349" t="s">
        <v>80</v>
      </c>
      <c r="L349" t="s">
        <v>489</v>
      </c>
    </row>
    <row r="350" spans="1:12" x14ac:dyDescent="0.25">
      <c r="A350" t="s">
        <v>240</v>
      </c>
      <c r="B350" t="s">
        <v>257</v>
      </c>
      <c r="C350">
        <f t="shared" si="15"/>
        <v>2024</v>
      </c>
      <c r="D350">
        <f t="shared" si="16"/>
        <v>1</v>
      </c>
      <c r="E350" t="str">
        <f t="shared" si="17"/>
        <v>2024-1</v>
      </c>
      <c r="K350" t="s">
        <v>80</v>
      </c>
      <c r="L350" t="s">
        <v>493</v>
      </c>
    </row>
    <row r="351" spans="1:12" x14ac:dyDescent="0.25">
      <c r="A351" t="s">
        <v>184</v>
      </c>
      <c r="B351" t="s">
        <v>257</v>
      </c>
      <c r="C351">
        <f t="shared" si="15"/>
        <v>2024</v>
      </c>
      <c r="D351">
        <f t="shared" si="16"/>
        <v>1</v>
      </c>
      <c r="E351" t="str">
        <f t="shared" si="17"/>
        <v>2024-1</v>
      </c>
      <c r="K351" t="s">
        <v>129</v>
      </c>
      <c r="L351" t="s">
        <v>490</v>
      </c>
    </row>
    <row r="352" spans="1:12" x14ac:dyDescent="0.25">
      <c r="A352" t="s">
        <v>258</v>
      </c>
      <c r="B352" t="s">
        <v>257</v>
      </c>
      <c r="C352">
        <f t="shared" si="15"/>
        <v>2024</v>
      </c>
      <c r="D352">
        <f t="shared" si="16"/>
        <v>1</v>
      </c>
      <c r="E352" t="str">
        <f t="shared" si="17"/>
        <v>2024-1</v>
      </c>
      <c r="K352" t="s">
        <v>129</v>
      </c>
      <c r="L352" t="s">
        <v>492</v>
      </c>
    </row>
    <row r="353" spans="1:12" x14ac:dyDescent="0.25">
      <c r="A353" t="s">
        <v>223</v>
      </c>
      <c r="B353" t="s">
        <v>257</v>
      </c>
      <c r="C353">
        <f t="shared" si="15"/>
        <v>2024</v>
      </c>
      <c r="D353">
        <f t="shared" si="16"/>
        <v>1</v>
      </c>
      <c r="E353" t="str">
        <f t="shared" si="17"/>
        <v>2024-1</v>
      </c>
      <c r="K353" t="s">
        <v>129</v>
      </c>
      <c r="L353" t="s">
        <v>494</v>
      </c>
    </row>
    <row r="354" spans="1:12" x14ac:dyDescent="0.25">
      <c r="A354" t="s">
        <v>38</v>
      </c>
      <c r="B354" t="s">
        <v>257</v>
      </c>
      <c r="C354">
        <f t="shared" si="15"/>
        <v>2024</v>
      </c>
      <c r="D354">
        <f t="shared" si="16"/>
        <v>1</v>
      </c>
      <c r="E354" t="str">
        <f t="shared" si="17"/>
        <v>2024-1</v>
      </c>
      <c r="K354" t="s">
        <v>129</v>
      </c>
      <c r="L354" t="s">
        <v>496</v>
      </c>
    </row>
    <row r="355" spans="1:12" x14ac:dyDescent="0.25">
      <c r="A355" t="s">
        <v>80</v>
      </c>
      <c r="B355" t="s">
        <v>259</v>
      </c>
      <c r="C355">
        <f t="shared" si="15"/>
        <v>2024</v>
      </c>
      <c r="D355">
        <f t="shared" si="16"/>
        <v>1</v>
      </c>
      <c r="E355" t="str">
        <f t="shared" si="17"/>
        <v>2024-1</v>
      </c>
      <c r="K355" t="s">
        <v>129</v>
      </c>
      <c r="L355" t="s">
        <v>497</v>
      </c>
    </row>
    <row r="356" spans="1:12" x14ac:dyDescent="0.25">
      <c r="A356" t="s">
        <v>239</v>
      </c>
      <c r="B356" t="s">
        <v>259</v>
      </c>
      <c r="C356">
        <f t="shared" si="15"/>
        <v>2024</v>
      </c>
      <c r="D356">
        <f t="shared" si="16"/>
        <v>1</v>
      </c>
      <c r="E356" t="str">
        <f t="shared" si="17"/>
        <v>2024-1</v>
      </c>
      <c r="K356" t="s">
        <v>129</v>
      </c>
      <c r="L356" t="s">
        <v>498</v>
      </c>
    </row>
    <row r="357" spans="1:12" x14ac:dyDescent="0.25">
      <c r="A357" t="s">
        <v>191</v>
      </c>
      <c r="B357" t="s">
        <v>259</v>
      </c>
      <c r="C357">
        <f t="shared" si="15"/>
        <v>2024</v>
      </c>
      <c r="D357">
        <f t="shared" si="16"/>
        <v>1</v>
      </c>
      <c r="E357" t="str">
        <f t="shared" si="17"/>
        <v>2024-1</v>
      </c>
      <c r="K357" t="s">
        <v>129</v>
      </c>
      <c r="L357" t="s">
        <v>499</v>
      </c>
    </row>
    <row r="358" spans="1:12" x14ac:dyDescent="0.25">
      <c r="A358" t="s">
        <v>44</v>
      </c>
      <c r="B358" t="s">
        <v>260</v>
      </c>
      <c r="C358">
        <f t="shared" si="15"/>
        <v>2024</v>
      </c>
      <c r="D358">
        <f t="shared" si="16"/>
        <v>1</v>
      </c>
      <c r="E358" t="str">
        <f t="shared" si="17"/>
        <v>2024-1</v>
      </c>
      <c r="K358" t="s">
        <v>129</v>
      </c>
      <c r="L358" t="s">
        <v>500</v>
      </c>
    </row>
    <row r="359" spans="1:12" x14ac:dyDescent="0.25">
      <c r="A359" t="s">
        <v>165</v>
      </c>
      <c r="B359" t="s">
        <v>261</v>
      </c>
      <c r="C359">
        <f t="shared" si="15"/>
        <v>2024</v>
      </c>
      <c r="D359">
        <f t="shared" si="16"/>
        <v>1</v>
      </c>
      <c r="E359" t="str">
        <f t="shared" si="17"/>
        <v>2024-1</v>
      </c>
      <c r="K359" t="s">
        <v>127</v>
      </c>
      <c r="L359" t="s">
        <v>490</v>
      </c>
    </row>
    <row r="360" spans="1:12" x14ac:dyDescent="0.25">
      <c r="A360" t="s">
        <v>188</v>
      </c>
      <c r="B360" t="s">
        <v>261</v>
      </c>
      <c r="C360">
        <f t="shared" si="15"/>
        <v>2024</v>
      </c>
      <c r="D360">
        <f t="shared" si="16"/>
        <v>1</v>
      </c>
      <c r="E360" t="str">
        <f t="shared" si="17"/>
        <v>2024-1</v>
      </c>
      <c r="K360" t="s">
        <v>127</v>
      </c>
      <c r="L360" t="s">
        <v>494</v>
      </c>
    </row>
    <row r="361" spans="1:12" x14ac:dyDescent="0.25">
      <c r="A361" t="s">
        <v>64</v>
      </c>
      <c r="B361" t="s">
        <v>261</v>
      </c>
      <c r="C361">
        <f t="shared" si="15"/>
        <v>2024</v>
      </c>
      <c r="D361">
        <f t="shared" si="16"/>
        <v>1</v>
      </c>
      <c r="E361" t="str">
        <f t="shared" si="17"/>
        <v>2024-1</v>
      </c>
      <c r="K361" t="s">
        <v>175</v>
      </c>
      <c r="L361" t="s">
        <v>491</v>
      </c>
    </row>
    <row r="362" spans="1:12" x14ac:dyDescent="0.25">
      <c r="A362" t="s">
        <v>62</v>
      </c>
      <c r="B362" t="s">
        <v>262</v>
      </c>
      <c r="C362">
        <f t="shared" si="15"/>
        <v>2024</v>
      </c>
      <c r="D362">
        <f t="shared" si="16"/>
        <v>1</v>
      </c>
      <c r="E362" t="str">
        <f t="shared" si="17"/>
        <v>2024-1</v>
      </c>
      <c r="K362" t="s">
        <v>175</v>
      </c>
      <c r="L362" t="s">
        <v>492</v>
      </c>
    </row>
    <row r="363" spans="1:12" x14ac:dyDescent="0.25">
      <c r="A363" t="s">
        <v>91</v>
      </c>
      <c r="B363" t="s">
        <v>262</v>
      </c>
      <c r="C363">
        <f t="shared" si="15"/>
        <v>2024</v>
      </c>
      <c r="D363">
        <f t="shared" si="16"/>
        <v>1</v>
      </c>
      <c r="E363" t="str">
        <f t="shared" si="17"/>
        <v>2024-1</v>
      </c>
      <c r="K363" t="s">
        <v>175</v>
      </c>
      <c r="L363" t="s">
        <v>493</v>
      </c>
    </row>
    <row r="364" spans="1:12" x14ac:dyDescent="0.25">
      <c r="A364" t="s">
        <v>18</v>
      </c>
      <c r="B364" t="s">
        <v>262</v>
      </c>
      <c r="C364">
        <f t="shared" si="15"/>
        <v>2024</v>
      </c>
      <c r="D364">
        <f t="shared" si="16"/>
        <v>1</v>
      </c>
      <c r="E364" t="str">
        <f t="shared" si="17"/>
        <v>2024-1</v>
      </c>
      <c r="K364" t="s">
        <v>175</v>
      </c>
      <c r="L364" t="s">
        <v>499</v>
      </c>
    </row>
    <row r="365" spans="1:12" x14ac:dyDescent="0.25">
      <c r="A365" t="s">
        <v>175</v>
      </c>
      <c r="B365" t="s">
        <v>262</v>
      </c>
      <c r="C365">
        <f t="shared" si="15"/>
        <v>2024</v>
      </c>
      <c r="D365">
        <f t="shared" si="16"/>
        <v>1</v>
      </c>
      <c r="E365" t="str">
        <f t="shared" si="17"/>
        <v>2024-1</v>
      </c>
      <c r="K365" t="s">
        <v>175</v>
      </c>
      <c r="L365" t="s">
        <v>500</v>
      </c>
    </row>
    <row r="366" spans="1:12" x14ac:dyDescent="0.25">
      <c r="A366" t="s">
        <v>214</v>
      </c>
      <c r="B366" t="s">
        <v>262</v>
      </c>
      <c r="C366">
        <f t="shared" si="15"/>
        <v>2024</v>
      </c>
      <c r="D366">
        <f t="shared" si="16"/>
        <v>1</v>
      </c>
      <c r="E366" t="str">
        <f t="shared" si="17"/>
        <v>2024-1</v>
      </c>
      <c r="K366" t="s">
        <v>235</v>
      </c>
      <c r="L366" t="s">
        <v>492</v>
      </c>
    </row>
    <row r="367" spans="1:12" x14ac:dyDescent="0.25">
      <c r="A367" t="s">
        <v>44</v>
      </c>
      <c r="B367" t="s">
        <v>262</v>
      </c>
      <c r="C367">
        <f t="shared" si="15"/>
        <v>2024</v>
      </c>
      <c r="D367">
        <f t="shared" si="16"/>
        <v>1</v>
      </c>
      <c r="E367" t="str">
        <f t="shared" si="17"/>
        <v>2024-1</v>
      </c>
      <c r="K367" t="s">
        <v>235</v>
      </c>
      <c r="L367" t="s">
        <v>493</v>
      </c>
    </row>
    <row r="368" spans="1:12" x14ac:dyDescent="0.25">
      <c r="A368" t="s">
        <v>73</v>
      </c>
      <c r="B368" t="s">
        <v>262</v>
      </c>
      <c r="C368">
        <f t="shared" si="15"/>
        <v>2024</v>
      </c>
      <c r="D368">
        <f t="shared" si="16"/>
        <v>1</v>
      </c>
      <c r="E368" t="str">
        <f t="shared" si="17"/>
        <v>2024-1</v>
      </c>
      <c r="K368" t="s">
        <v>235</v>
      </c>
      <c r="L368" t="s">
        <v>496</v>
      </c>
    </row>
    <row r="369" spans="1:12" x14ac:dyDescent="0.25">
      <c r="A369" t="s">
        <v>207</v>
      </c>
      <c r="B369" t="s">
        <v>263</v>
      </c>
      <c r="C369">
        <f t="shared" si="15"/>
        <v>2024</v>
      </c>
      <c r="D369">
        <f t="shared" si="16"/>
        <v>1</v>
      </c>
      <c r="E369" t="str">
        <f t="shared" si="17"/>
        <v>2024-1</v>
      </c>
      <c r="K369" t="s">
        <v>235</v>
      </c>
      <c r="L369" t="s">
        <v>497</v>
      </c>
    </row>
    <row r="370" spans="1:12" x14ac:dyDescent="0.25">
      <c r="A370" t="s">
        <v>264</v>
      </c>
      <c r="B370" t="s">
        <v>263</v>
      </c>
      <c r="C370">
        <f t="shared" si="15"/>
        <v>2024</v>
      </c>
      <c r="D370">
        <f t="shared" si="16"/>
        <v>1</v>
      </c>
      <c r="E370" t="str">
        <f t="shared" si="17"/>
        <v>2024-1</v>
      </c>
      <c r="K370" t="s">
        <v>235</v>
      </c>
      <c r="L370" t="s">
        <v>498</v>
      </c>
    </row>
    <row r="371" spans="1:12" x14ac:dyDescent="0.25">
      <c r="A371" t="s">
        <v>138</v>
      </c>
      <c r="B371" t="s">
        <v>265</v>
      </c>
      <c r="C371">
        <f t="shared" si="15"/>
        <v>2024</v>
      </c>
      <c r="D371">
        <f t="shared" si="16"/>
        <v>1</v>
      </c>
      <c r="E371" t="str">
        <f t="shared" si="17"/>
        <v>2024-1</v>
      </c>
      <c r="K371" t="s">
        <v>235</v>
      </c>
      <c r="L371" t="s">
        <v>499</v>
      </c>
    </row>
    <row r="372" spans="1:12" x14ac:dyDescent="0.25">
      <c r="A372" t="s">
        <v>56</v>
      </c>
      <c r="B372" t="s">
        <v>265</v>
      </c>
      <c r="C372">
        <f t="shared" si="15"/>
        <v>2024</v>
      </c>
      <c r="D372">
        <f t="shared" si="16"/>
        <v>1</v>
      </c>
      <c r="E372" t="str">
        <f t="shared" si="17"/>
        <v>2024-1</v>
      </c>
      <c r="K372" t="s">
        <v>235</v>
      </c>
      <c r="L372" t="s">
        <v>500</v>
      </c>
    </row>
    <row r="373" spans="1:12" x14ac:dyDescent="0.25">
      <c r="A373" t="s">
        <v>243</v>
      </c>
      <c r="B373" t="s">
        <v>266</v>
      </c>
      <c r="C373">
        <f t="shared" si="15"/>
        <v>2024</v>
      </c>
      <c r="D373">
        <f t="shared" si="16"/>
        <v>1</v>
      </c>
      <c r="E373" t="str">
        <f t="shared" si="17"/>
        <v>2024-1</v>
      </c>
      <c r="K373" t="s">
        <v>139</v>
      </c>
      <c r="L373" t="s">
        <v>490</v>
      </c>
    </row>
    <row r="374" spans="1:12" x14ac:dyDescent="0.25">
      <c r="A374" t="s">
        <v>9</v>
      </c>
      <c r="B374" t="s">
        <v>267</v>
      </c>
      <c r="C374">
        <f t="shared" si="15"/>
        <v>2024</v>
      </c>
      <c r="D374">
        <f t="shared" si="16"/>
        <v>1</v>
      </c>
      <c r="E374" t="str">
        <f t="shared" si="17"/>
        <v>2024-1</v>
      </c>
      <c r="K374" t="s">
        <v>139</v>
      </c>
      <c r="L374" t="s">
        <v>495</v>
      </c>
    </row>
    <row r="375" spans="1:12" x14ac:dyDescent="0.25">
      <c r="A375" t="s">
        <v>268</v>
      </c>
      <c r="B375" t="s">
        <v>267</v>
      </c>
      <c r="C375">
        <f t="shared" si="15"/>
        <v>2024</v>
      </c>
      <c r="D375">
        <f t="shared" si="16"/>
        <v>1</v>
      </c>
      <c r="E375" t="str">
        <f t="shared" si="17"/>
        <v>2024-1</v>
      </c>
      <c r="K375" t="s">
        <v>139</v>
      </c>
      <c r="L375" t="s">
        <v>498</v>
      </c>
    </row>
    <row r="376" spans="1:12" x14ac:dyDescent="0.25">
      <c r="A376" t="s">
        <v>193</v>
      </c>
      <c r="B376" t="s">
        <v>267</v>
      </c>
      <c r="C376">
        <f t="shared" si="15"/>
        <v>2024</v>
      </c>
      <c r="D376">
        <f t="shared" si="16"/>
        <v>1</v>
      </c>
      <c r="E376" t="str">
        <f t="shared" si="17"/>
        <v>2024-1</v>
      </c>
      <c r="K376" t="s">
        <v>139</v>
      </c>
      <c r="L376" t="s">
        <v>499</v>
      </c>
    </row>
    <row r="377" spans="1:12" x14ac:dyDescent="0.25">
      <c r="A377" t="s">
        <v>97</v>
      </c>
      <c r="B377" t="s">
        <v>267</v>
      </c>
      <c r="C377">
        <f t="shared" si="15"/>
        <v>2024</v>
      </c>
      <c r="D377">
        <f t="shared" si="16"/>
        <v>1</v>
      </c>
      <c r="E377" t="str">
        <f t="shared" si="17"/>
        <v>2024-1</v>
      </c>
      <c r="K377" t="s">
        <v>202</v>
      </c>
      <c r="L377" t="s">
        <v>491</v>
      </c>
    </row>
    <row r="378" spans="1:12" x14ac:dyDescent="0.25">
      <c r="A378" t="s">
        <v>102</v>
      </c>
      <c r="B378" t="s">
        <v>269</v>
      </c>
      <c r="C378">
        <f t="shared" si="15"/>
        <v>2024</v>
      </c>
      <c r="D378">
        <f t="shared" si="16"/>
        <v>1</v>
      </c>
      <c r="E378" t="str">
        <f t="shared" si="17"/>
        <v>2024-1</v>
      </c>
      <c r="K378" t="s">
        <v>202</v>
      </c>
      <c r="L378" t="s">
        <v>493</v>
      </c>
    </row>
    <row r="379" spans="1:12" x14ac:dyDescent="0.25">
      <c r="A379" t="s">
        <v>97</v>
      </c>
      <c r="B379" t="s">
        <v>269</v>
      </c>
      <c r="C379">
        <f t="shared" si="15"/>
        <v>2024</v>
      </c>
      <c r="D379">
        <f t="shared" si="16"/>
        <v>1</v>
      </c>
      <c r="E379" t="str">
        <f t="shared" si="17"/>
        <v>2024-1</v>
      </c>
      <c r="K379" t="s">
        <v>202</v>
      </c>
      <c r="L379" t="s">
        <v>497</v>
      </c>
    </row>
    <row r="380" spans="1:12" x14ac:dyDescent="0.25">
      <c r="A380" t="s">
        <v>270</v>
      </c>
      <c r="B380" t="s">
        <v>269</v>
      </c>
      <c r="C380">
        <f t="shared" si="15"/>
        <v>2024</v>
      </c>
      <c r="D380">
        <f t="shared" si="16"/>
        <v>1</v>
      </c>
      <c r="E380" t="str">
        <f t="shared" si="17"/>
        <v>2024-1</v>
      </c>
      <c r="K380" t="s">
        <v>202</v>
      </c>
      <c r="L380" t="s">
        <v>500</v>
      </c>
    </row>
    <row r="381" spans="1:12" x14ac:dyDescent="0.25">
      <c r="A381" t="s">
        <v>131</v>
      </c>
      <c r="B381" t="s">
        <v>269</v>
      </c>
      <c r="C381">
        <f t="shared" si="15"/>
        <v>2024</v>
      </c>
      <c r="D381">
        <f t="shared" si="16"/>
        <v>1</v>
      </c>
      <c r="E381" t="str">
        <f t="shared" si="17"/>
        <v>2024-1</v>
      </c>
      <c r="K381" t="s">
        <v>66</v>
      </c>
      <c r="L381" t="s">
        <v>489</v>
      </c>
    </row>
    <row r="382" spans="1:12" x14ac:dyDescent="0.25">
      <c r="A382" t="s">
        <v>271</v>
      </c>
      <c r="B382" t="s">
        <v>269</v>
      </c>
      <c r="C382">
        <f t="shared" si="15"/>
        <v>2024</v>
      </c>
      <c r="D382">
        <f t="shared" si="16"/>
        <v>1</v>
      </c>
      <c r="E382" t="str">
        <f t="shared" si="17"/>
        <v>2024-1</v>
      </c>
      <c r="K382" t="s">
        <v>66</v>
      </c>
      <c r="L382" t="s">
        <v>490</v>
      </c>
    </row>
    <row r="383" spans="1:12" x14ac:dyDescent="0.25">
      <c r="A383" t="s">
        <v>272</v>
      </c>
      <c r="B383" t="s">
        <v>269</v>
      </c>
      <c r="C383">
        <f t="shared" si="15"/>
        <v>2024</v>
      </c>
      <c r="D383">
        <f t="shared" si="16"/>
        <v>1</v>
      </c>
      <c r="E383" t="str">
        <f t="shared" si="17"/>
        <v>2024-1</v>
      </c>
      <c r="K383" t="s">
        <v>66</v>
      </c>
      <c r="L383" t="s">
        <v>491</v>
      </c>
    </row>
    <row r="384" spans="1:12" x14ac:dyDescent="0.25">
      <c r="A384" t="s">
        <v>252</v>
      </c>
      <c r="B384" t="s">
        <v>269</v>
      </c>
      <c r="C384">
        <f t="shared" si="15"/>
        <v>2024</v>
      </c>
      <c r="D384">
        <f t="shared" si="16"/>
        <v>1</v>
      </c>
      <c r="E384" t="str">
        <f t="shared" si="17"/>
        <v>2024-1</v>
      </c>
      <c r="K384" t="s">
        <v>66</v>
      </c>
      <c r="L384" t="s">
        <v>492</v>
      </c>
    </row>
    <row r="385" spans="1:12" x14ac:dyDescent="0.25">
      <c r="A385" t="s">
        <v>185</v>
      </c>
      <c r="B385" t="s">
        <v>269</v>
      </c>
      <c r="C385">
        <f t="shared" si="15"/>
        <v>2024</v>
      </c>
      <c r="D385">
        <f t="shared" si="16"/>
        <v>1</v>
      </c>
      <c r="E385" t="str">
        <f t="shared" si="17"/>
        <v>2024-1</v>
      </c>
      <c r="K385" t="s">
        <v>66</v>
      </c>
      <c r="L385" t="s">
        <v>494</v>
      </c>
    </row>
    <row r="386" spans="1:12" x14ac:dyDescent="0.25">
      <c r="A386" t="s">
        <v>273</v>
      </c>
      <c r="B386" t="s">
        <v>274</v>
      </c>
      <c r="C386">
        <f t="shared" si="15"/>
        <v>2024</v>
      </c>
      <c r="D386">
        <f t="shared" si="16"/>
        <v>1</v>
      </c>
      <c r="E386" t="str">
        <f t="shared" si="17"/>
        <v>2024-1</v>
      </c>
      <c r="K386" t="s">
        <v>66</v>
      </c>
      <c r="L386" t="s">
        <v>495</v>
      </c>
    </row>
    <row r="387" spans="1:12" x14ac:dyDescent="0.25">
      <c r="A387" t="s">
        <v>206</v>
      </c>
      <c r="B387" t="s">
        <v>274</v>
      </c>
      <c r="C387">
        <f t="shared" ref="C387:C450" si="18">YEAR(B387)</f>
        <v>2024</v>
      </c>
      <c r="D387">
        <f t="shared" ref="D387:D450" si="19">MONTH(B387)</f>
        <v>1</v>
      </c>
      <c r="E387" t="str">
        <f t="shared" ref="E387:E450" si="20">C387&amp;"-"&amp;D387</f>
        <v>2024-1</v>
      </c>
      <c r="K387" t="s">
        <v>66</v>
      </c>
      <c r="L387" t="s">
        <v>496</v>
      </c>
    </row>
    <row r="388" spans="1:12" x14ac:dyDescent="0.25">
      <c r="A388" t="s">
        <v>71</v>
      </c>
      <c r="B388" t="s">
        <v>274</v>
      </c>
      <c r="C388">
        <f t="shared" si="18"/>
        <v>2024</v>
      </c>
      <c r="D388">
        <f t="shared" si="19"/>
        <v>1</v>
      </c>
      <c r="E388" t="str">
        <f t="shared" si="20"/>
        <v>2024-1</v>
      </c>
      <c r="K388" t="s">
        <v>66</v>
      </c>
      <c r="L388" t="s">
        <v>497</v>
      </c>
    </row>
    <row r="389" spans="1:12" x14ac:dyDescent="0.25">
      <c r="A389" t="s">
        <v>232</v>
      </c>
      <c r="B389" t="s">
        <v>274</v>
      </c>
      <c r="C389">
        <f t="shared" si="18"/>
        <v>2024</v>
      </c>
      <c r="D389">
        <f t="shared" si="19"/>
        <v>1</v>
      </c>
      <c r="E389" t="str">
        <f t="shared" si="20"/>
        <v>2024-1</v>
      </c>
      <c r="K389" t="s">
        <v>66</v>
      </c>
      <c r="L389" t="s">
        <v>498</v>
      </c>
    </row>
    <row r="390" spans="1:12" x14ac:dyDescent="0.25">
      <c r="A390" t="s">
        <v>275</v>
      </c>
      <c r="B390" t="s">
        <v>274</v>
      </c>
      <c r="C390">
        <f t="shared" si="18"/>
        <v>2024</v>
      </c>
      <c r="D390">
        <f t="shared" si="19"/>
        <v>1</v>
      </c>
      <c r="E390" t="str">
        <f t="shared" si="20"/>
        <v>2024-1</v>
      </c>
      <c r="K390" t="s">
        <v>66</v>
      </c>
      <c r="L390" t="s">
        <v>499</v>
      </c>
    </row>
    <row r="391" spans="1:12" x14ac:dyDescent="0.25">
      <c r="A391" t="s">
        <v>235</v>
      </c>
      <c r="B391" t="s">
        <v>274</v>
      </c>
      <c r="C391">
        <f t="shared" si="18"/>
        <v>2024</v>
      </c>
      <c r="D391">
        <f t="shared" si="19"/>
        <v>1</v>
      </c>
      <c r="E391" t="str">
        <f t="shared" si="20"/>
        <v>2024-1</v>
      </c>
      <c r="K391" t="s">
        <v>66</v>
      </c>
      <c r="L391" t="s">
        <v>500</v>
      </c>
    </row>
    <row r="392" spans="1:12" x14ac:dyDescent="0.25">
      <c r="A392" t="s">
        <v>19</v>
      </c>
      <c r="B392" t="s">
        <v>276</v>
      </c>
      <c r="C392">
        <f t="shared" si="18"/>
        <v>2024</v>
      </c>
      <c r="D392">
        <f t="shared" si="19"/>
        <v>1</v>
      </c>
      <c r="E392" t="str">
        <f t="shared" si="20"/>
        <v>2024-1</v>
      </c>
      <c r="K392" t="s">
        <v>268</v>
      </c>
      <c r="L392" t="s">
        <v>493</v>
      </c>
    </row>
    <row r="393" spans="1:12" x14ac:dyDescent="0.25">
      <c r="A393" t="s">
        <v>57</v>
      </c>
      <c r="B393" t="s">
        <v>276</v>
      </c>
      <c r="C393">
        <f t="shared" si="18"/>
        <v>2024</v>
      </c>
      <c r="D393">
        <f t="shared" si="19"/>
        <v>1</v>
      </c>
      <c r="E393" t="str">
        <f t="shared" si="20"/>
        <v>2024-1</v>
      </c>
      <c r="K393" t="s">
        <v>268</v>
      </c>
      <c r="L393" t="s">
        <v>495</v>
      </c>
    </row>
    <row r="394" spans="1:12" x14ac:dyDescent="0.25">
      <c r="A394" t="s">
        <v>32</v>
      </c>
      <c r="B394" t="s">
        <v>276</v>
      </c>
      <c r="C394">
        <f t="shared" si="18"/>
        <v>2024</v>
      </c>
      <c r="D394">
        <f t="shared" si="19"/>
        <v>1</v>
      </c>
      <c r="E394" t="str">
        <f t="shared" si="20"/>
        <v>2024-1</v>
      </c>
      <c r="K394" t="s">
        <v>268</v>
      </c>
      <c r="L394" t="s">
        <v>500</v>
      </c>
    </row>
    <row r="395" spans="1:12" x14ac:dyDescent="0.25">
      <c r="A395" t="s">
        <v>103</v>
      </c>
      <c r="B395" t="s">
        <v>277</v>
      </c>
      <c r="C395">
        <f t="shared" si="18"/>
        <v>2024</v>
      </c>
      <c r="D395">
        <f t="shared" si="19"/>
        <v>1</v>
      </c>
      <c r="E395" t="str">
        <f t="shared" si="20"/>
        <v>2024-1</v>
      </c>
      <c r="K395" t="s">
        <v>330</v>
      </c>
      <c r="L395" t="s">
        <v>495</v>
      </c>
    </row>
    <row r="396" spans="1:12" x14ac:dyDescent="0.25">
      <c r="A396" t="s">
        <v>122</v>
      </c>
      <c r="B396" t="s">
        <v>277</v>
      </c>
      <c r="C396">
        <f t="shared" si="18"/>
        <v>2024</v>
      </c>
      <c r="D396">
        <f t="shared" si="19"/>
        <v>1</v>
      </c>
      <c r="E396" t="str">
        <f t="shared" si="20"/>
        <v>2024-1</v>
      </c>
      <c r="K396" t="s">
        <v>330</v>
      </c>
      <c r="L396" t="s">
        <v>500</v>
      </c>
    </row>
    <row r="397" spans="1:12" x14ac:dyDescent="0.25">
      <c r="A397" t="s">
        <v>278</v>
      </c>
      <c r="B397" t="s">
        <v>277</v>
      </c>
      <c r="C397">
        <f t="shared" si="18"/>
        <v>2024</v>
      </c>
      <c r="D397">
        <f t="shared" si="19"/>
        <v>1</v>
      </c>
      <c r="E397" t="str">
        <f t="shared" si="20"/>
        <v>2024-1</v>
      </c>
      <c r="K397" t="s">
        <v>313</v>
      </c>
      <c r="L397" t="s">
        <v>494</v>
      </c>
    </row>
    <row r="398" spans="1:12" x14ac:dyDescent="0.25">
      <c r="A398" t="s">
        <v>227</v>
      </c>
      <c r="B398" t="s">
        <v>279</v>
      </c>
      <c r="C398">
        <f t="shared" si="18"/>
        <v>2024</v>
      </c>
      <c r="D398">
        <f t="shared" si="19"/>
        <v>1</v>
      </c>
      <c r="E398" t="str">
        <f t="shared" si="20"/>
        <v>2024-1</v>
      </c>
      <c r="K398" t="s">
        <v>16</v>
      </c>
      <c r="L398" t="s">
        <v>489</v>
      </c>
    </row>
    <row r="399" spans="1:12" x14ac:dyDescent="0.25">
      <c r="A399" t="s">
        <v>280</v>
      </c>
      <c r="B399" t="s">
        <v>279</v>
      </c>
      <c r="C399">
        <f t="shared" si="18"/>
        <v>2024</v>
      </c>
      <c r="D399">
        <f t="shared" si="19"/>
        <v>1</v>
      </c>
      <c r="E399" t="str">
        <f t="shared" si="20"/>
        <v>2024-1</v>
      </c>
      <c r="K399" t="s">
        <v>16</v>
      </c>
      <c r="L399" t="s">
        <v>490</v>
      </c>
    </row>
    <row r="400" spans="1:12" x14ac:dyDescent="0.25">
      <c r="A400" t="s">
        <v>191</v>
      </c>
      <c r="B400" t="s">
        <v>279</v>
      </c>
      <c r="C400">
        <f t="shared" si="18"/>
        <v>2024</v>
      </c>
      <c r="D400">
        <f t="shared" si="19"/>
        <v>1</v>
      </c>
      <c r="E400" t="str">
        <f t="shared" si="20"/>
        <v>2024-1</v>
      </c>
      <c r="K400" t="s">
        <v>16</v>
      </c>
      <c r="L400" t="s">
        <v>500</v>
      </c>
    </row>
    <row r="401" spans="1:12" x14ac:dyDescent="0.25">
      <c r="A401" t="s">
        <v>281</v>
      </c>
      <c r="B401" t="s">
        <v>279</v>
      </c>
      <c r="C401">
        <f t="shared" si="18"/>
        <v>2024</v>
      </c>
      <c r="D401">
        <f t="shared" si="19"/>
        <v>1</v>
      </c>
      <c r="E401" t="str">
        <f t="shared" si="20"/>
        <v>2024-1</v>
      </c>
      <c r="K401" t="s">
        <v>181</v>
      </c>
      <c r="L401" t="s">
        <v>491</v>
      </c>
    </row>
    <row r="402" spans="1:12" x14ac:dyDescent="0.25">
      <c r="A402" t="s">
        <v>24</v>
      </c>
      <c r="B402" t="s">
        <v>279</v>
      </c>
      <c r="C402">
        <f t="shared" si="18"/>
        <v>2024</v>
      </c>
      <c r="D402">
        <f t="shared" si="19"/>
        <v>1</v>
      </c>
      <c r="E402" t="str">
        <f t="shared" si="20"/>
        <v>2024-1</v>
      </c>
      <c r="K402" t="s">
        <v>181</v>
      </c>
      <c r="L402" t="s">
        <v>492</v>
      </c>
    </row>
    <row r="403" spans="1:12" x14ac:dyDescent="0.25">
      <c r="A403" t="s">
        <v>53</v>
      </c>
      <c r="B403" t="s">
        <v>279</v>
      </c>
      <c r="C403">
        <f t="shared" si="18"/>
        <v>2024</v>
      </c>
      <c r="D403">
        <f t="shared" si="19"/>
        <v>1</v>
      </c>
      <c r="E403" t="str">
        <f t="shared" si="20"/>
        <v>2024-1</v>
      </c>
      <c r="K403" t="s">
        <v>181</v>
      </c>
      <c r="L403" t="s">
        <v>493</v>
      </c>
    </row>
    <row r="404" spans="1:12" x14ac:dyDescent="0.25">
      <c r="A404" t="s">
        <v>282</v>
      </c>
      <c r="B404" t="s">
        <v>279</v>
      </c>
      <c r="C404">
        <f t="shared" si="18"/>
        <v>2024</v>
      </c>
      <c r="D404">
        <f t="shared" si="19"/>
        <v>1</v>
      </c>
      <c r="E404" t="str">
        <f t="shared" si="20"/>
        <v>2024-1</v>
      </c>
      <c r="K404" t="s">
        <v>181</v>
      </c>
      <c r="L404" t="s">
        <v>498</v>
      </c>
    </row>
    <row r="405" spans="1:12" x14ac:dyDescent="0.25">
      <c r="A405" t="s">
        <v>68</v>
      </c>
      <c r="B405" t="s">
        <v>279</v>
      </c>
      <c r="C405">
        <f t="shared" si="18"/>
        <v>2024</v>
      </c>
      <c r="D405">
        <f t="shared" si="19"/>
        <v>1</v>
      </c>
      <c r="E405" t="str">
        <f t="shared" si="20"/>
        <v>2024-1</v>
      </c>
      <c r="K405" t="s">
        <v>181</v>
      </c>
      <c r="L405" t="s">
        <v>499</v>
      </c>
    </row>
    <row r="406" spans="1:12" x14ac:dyDescent="0.25">
      <c r="A406" t="s">
        <v>248</v>
      </c>
      <c r="B406" t="s">
        <v>279</v>
      </c>
      <c r="C406">
        <f t="shared" si="18"/>
        <v>2024</v>
      </c>
      <c r="D406">
        <f t="shared" si="19"/>
        <v>1</v>
      </c>
      <c r="E406" t="str">
        <f t="shared" si="20"/>
        <v>2024-1</v>
      </c>
      <c r="K406" t="s">
        <v>153</v>
      </c>
      <c r="L406" t="s">
        <v>490</v>
      </c>
    </row>
    <row r="407" spans="1:12" x14ac:dyDescent="0.25">
      <c r="A407" t="s">
        <v>202</v>
      </c>
      <c r="B407" t="s">
        <v>279</v>
      </c>
      <c r="C407">
        <f t="shared" si="18"/>
        <v>2024</v>
      </c>
      <c r="D407">
        <f t="shared" si="19"/>
        <v>1</v>
      </c>
      <c r="E407" t="str">
        <f t="shared" si="20"/>
        <v>2024-1</v>
      </c>
      <c r="K407" t="s">
        <v>153</v>
      </c>
      <c r="L407" t="s">
        <v>499</v>
      </c>
    </row>
    <row r="408" spans="1:12" x14ac:dyDescent="0.25">
      <c r="A408" t="s">
        <v>87</v>
      </c>
      <c r="B408" t="s">
        <v>279</v>
      </c>
      <c r="C408">
        <f t="shared" si="18"/>
        <v>2024</v>
      </c>
      <c r="D408">
        <f t="shared" si="19"/>
        <v>1</v>
      </c>
      <c r="E408" t="str">
        <f t="shared" si="20"/>
        <v>2024-1</v>
      </c>
      <c r="K408" t="s">
        <v>153</v>
      </c>
      <c r="L408" t="s">
        <v>500</v>
      </c>
    </row>
    <row r="409" spans="1:12" x14ac:dyDescent="0.25">
      <c r="A409" t="s">
        <v>47</v>
      </c>
      <c r="B409" t="s">
        <v>283</v>
      </c>
      <c r="C409">
        <f t="shared" si="18"/>
        <v>2024</v>
      </c>
      <c r="D409">
        <f t="shared" si="19"/>
        <v>1</v>
      </c>
      <c r="E409" t="str">
        <f t="shared" si="20"/>
        <v>2024-1</v>
      </c>
      <c r="K409" t="s">
        <v>197</v>
      </c>
      <c r="L409" t="s">
        <v>491</v>
      </c>
    </row>
    <row r="410" spans="1:12" x14ac:dyDescent="0.25">
      <c r="A410" t="s">
        <v>165</v>
      </c>
      <c r="B410" t="s">
        <v>283</v>
      </c>
      <c r="C410">
        <f t="shared" si="18"/>
        <v>2024</v>
      </c>
      <c r="D410">
        <f t="shared" si="19"/>
        <v>1</v>
      </c>
      <c r="E410" t="str">
        <f t="shared" si="20"/>
        <v>2024-1</v>
      </c>
      <c r="K410" t="s">
        <v>197</v>
      </c>
      <c r="L410" t="s">
        <v>496</v>
      </c>
    </row>
    <row r="411" spans="1:12" x14ac:dyDescent="0.25">
      <c r="A411" t="s">
        <v>278</v>
      </c>
      <c r="B411" t="s">
        <v>283</v>
      </c>
      <c r="C411">
        <f t="shared" si="18"/>
        <v>2024</v>
      </c>
      <c r="D411">
        <f t="shared" si="19"/>
        <v>1</v>
      </c>
      <c r="E411" t="str">
        <f t="shared" si="20"/>
        <v>2024-1</v>
      </c>
      <c r="K411" t="s">
        <v>197</v>
      </c>
      <c r="L411" t="s">
        <v>499</v>
      </c>
    </row>
    <row r="412" spans="1:12" x14ac:dyDescent="0.25">
      <c r="A412" t="s">
        <v>85</v>
      </c>
      <c r="B412" t="s">
        <v>284</v>
      </c>
      <c r="C412">
        <f t="shared" si="18"/>
        <v>2024</v>
      </c>
      <c r="D412">
        <f t="shared" si="19"/>
        <v>1</v>
      </c>
      <c r="E412" t="str">
        <f t="shared" si="20"/>
        <v>2024-1</v>
      </c>
      <c r="K412" t="s">
        <v>102</v>
      </c>
      <c r="L412" t="s">
        <v>489</v>
      </c>
    </row>
    <row r="413" spans="1:12" x14ac:dyDescent="0.25">
      <c r="A413" t="s">
        <v>25</v>
      </c>
      <c r="B413" t="s">
        <v>284</v>
      </c>
      <c r="C413">
        <f t="shared" si="18"/>
        <v>2024</v>
      </c>
      <c r="D413">
        <f t="shared" si="19"/>
        <v>1</v>
      </c>
      <c r="E413" t="str">
        <f t="shared" si="20"/>
        <v>2024-1</v>
      </c>
      <c r="K413" t="s">
        <v>102</v>
      </c>
      <c r="L413" t="s">
        <v>493</v>
      </c>
    </row>
    <row r="414" spans="1:12" x14ac:dyDescent="0.25">
      <c r="A414" t="s">
        <v>25</v>
      </c>
      <c r="B414" t="s">
        <v>285</v>
      </c>
      <c r="C414">
        <f t="shared" si="18"/>
        <v>2024</v>
      </c>
      <c r="D414">
        <f t="shared" si="19"/>
        <v>2</v>
      </c>
      <c r="E414" t="str">
        <f t="shared" si="20"/>
        <v>2024-2</v>
      </c>
      <c r="K414" t="s">
        <v>102</v>
      </c>
      <c r="L414" t="s">
        <v>496</v>
      </c>
    </row>
    <row r="415" spans="1:12" x14ac:dyDescent="0.25">
      <c r="A415" t="s">
        <v>38</v>
      </c>
      <c r="B415" t="s">
        <v>286</v>
      </c>
      <c r="C415">
        <f t="shared" si="18"/>
        <v>2024</v>
      </c>
      <c r="D415">
        <f t="shared" si="19"/>
        <v>2</v>
      </c>
      <c r="E415" t="str">
        <f t="shared" si="20"/>
        <v>2024-2</v>
      </c>
      <c r="K415" t="s">
        <v>102</v>
      </c>
      <c r="L415" t="s">
        <v>497</v>
      </c>
    </row>
    <row r="416" spans="1:12" x14ac:dyDescent="0.25">
      <c r="A416" t="s">
        <v>138</v>
      </c>
      <c r="B416" t="s">
        <v>286</v>
      </c>
      <c r="C416">
        <f t="shared" si="18"/>
        <v>2024</v>
      </c>
      <c r="D416">
        <f t="shared" si="19"/>
        <v>2</v>
      </c>
      <c r="E416" t="str">
        <f t="shared" si="20"/>
        <v>2024-2</v>
      </c>
      <c r="K416" t="s">
        <v>102</v>
      </c>
      <c r="L416" t="s">
        <v>499</v>
      </c>
    </row>
    <row r="417" spans="1:12" x14ac:dyDescent="0.25">
      <c r="A417" t="s">
        <v>70</v>
      </c>
      <c r="B417" t="s">
        <v>286</v>
      </c>
      <c r="C417">
        <f t="shared" si="18"/>
        <v>2024</v>
      </c>
      <c r="D417">
        <f t="shared" si="19"/>
        <v>2</v>
      </c>
      <c r="E417" t="str">
        <f t="shared" si="20"/>
        <v>2024-2</v>
      </c>
      <c r="K417" t="s">
        <v>138</v>
      </c>
      <c r="L417" t="s">
        <v>490</v>
      </c>
    </row>
    <row r="418" spans="1:12" x14ac:dyDescent="0.25">
      <c r="A418" t="s">
        <v>190</v>
      </c>
      <c r="B418" t="s">
        <v>286</v>
      </c>
      <c r="C418">
        <f t="shared" si="18"/>
        <v>2024</v>
      </c>
      <c r="D418">
        <f t="shared" si="19"/>
        <v>2</v>
      </c>
      <c r="E418" t="str">
        <f t="shared" si="20"/>
        <v>2024-2</v>
      </c>
      <c r="K418" t="s">
        <v>138</v>
      </c>
      <c r="L418" t="s">
        <v>491</v>
      </c>
    </row>
    <row r="419" spans="1:12" x14ac:dyDescent="0.25">
      <c r="A419" t="s">
        <v>97</v>
      </c>
      <c r="B419" t="s">
        <v>286</v>
      </c>
      <c r="C419">
        <f t="shared" si="18"/>
        <v>2024</v>
      </c>
      <c r="D419">
        <f t="shared" si="19"/>
        <v>2</v>
      </c>
      <c r="E419" t="str">
        <f t="shared" si="20"/>
        <v>2024-2</v>
      </c>
      <c r="K419" t="s">
        <v>138</v>
      </c>
      <c r="L419" t="s">
        <v>492</v>
      </c>
    </row>
    <row r="420" spans="1:12" x14ac:dyDescent="0.25">
      <c r="A420" t="s">
        <v>84</v>
      </c>
      <c r="B420" t="s">
        <v>286</v>
      </c>
      <c r="C420">
        <f t="shared" si="18"/>
        <v>2024</v>
      </c>
      <c r="D420">
        <f t="shared" si="19"/>
        <v>2</v>
      </c>
      <c r="E420" t="str">
        <f t="shared" si="20"/>
        <v>2024-2</v>
      </c>
      <c r="K420" t="s">
        <v>138</v>
      </c>
      <c r="L420" t="s">
        <v>493</v>
      </c>
    </row>
    <row r="421" spans="1:12" x14ac:dyDescent="0.25">
      <c r="A421" t="s">
        <v>39</v>
      </c>
      <c r="B421" t="s">
        <v>286</v>
      </c>
      <c r="C421">
        <f t="shared" si="18"/>
        <v>2024</v>
      </c>
      <c r="D421">
        <f t="shared" si="19"/>
        <v>2</v>
      </c>
      <c r="E421" t="str">
        <f t="shared" si="20"/>
        <v>2024-2</v>
      </c>
      <c r="K421" t="s">
        <v>138</v>
      </c>
      <c r="L421" t="s">
        <v>494</v>
      </c>
    </row>
    <row r="422" spans="1:12" x14ac:dyDescent="0.25">
      <c r="A422" t="s">
        <v>144</v>
      </c>
      <c r="B422" t="s">
        <v>286</v>
      </c>
      <c r="C422">
        <f t="shared" si="18"/>
        <v>2024</v>
      </c>
      <c r="D422">
        <f t="shared" si="19"/>
        <v>2</v>
      </c>
      <c r="E422" t="str">
        <f t="shared" si="20"/>
        <v>2024-2</v>
      </c>
      <c r="K422" t="s">
        <v>138</v>
      </c>
      <c r="L422" t="s">
        <v>495</v>
      </c>
    </row>
    <row r="423" spans="1:12" x14ac:dyDescent="0.25">
      <c r="A423" t="s">
        <v>287</v>
      </c>
      <c r="B423" t="s">
        <v>288</v>
      </c>
      <c r="C423">
        <f t="shared" si="18"/>
        <v>2024</v>
      </c>
      <c r="D423">
        <f t="shared" si="19"/>
        <v>2</v>
      </c>
      <c r="E423" t="str">
        <f t="shared" si="20"/>
        <v>2024-2</v>
      </c>
      <c r="K423" t="s">
        <v>138</v>
      </c>
      <c r="L423" t="s">
        <v>497</v>
      </c>
    </row>
    <row r="424" spans="1:12" x14ac:dyDescent="0.25">
      <c r="A424" t="s">
        <v>163</v>
      </c>
      <c r="B424" t="s">
        <v>288</v>
      </c>
      <c r="C424">
        <f t="shared" si="18"/>
        <v>2024</v>
      </c>
      <c r="D424">
        <f t="shared" si="19"/>
        <v>2</v>
      </c>
      <c r="E424" t="str">
        <f t="shared" si="20"/>
        <v>2024-2</v>
      </c>
      <c r="K424" t="s">
        <v>138</v>
      </c>
      <c r="L424" t="s">
        <v>498</v>
      </c>
    </row>
    <row r="425" spans="1:12" x14ac:dyDescent="0.25">
      <c r="A425" t="s">
        <v>32</v>
      </c>
      <c r="B425" t="s">
        <v>288</v>
      </c>
      <c r="C425">
        <f t="shared" si="18"/>
        <v>2024</v>
      </c>
      <c r="D425">
        <f t="shared" si="19"/>
        <v>2</v>
      </c>
      <c r="E425" t="str">
        <f t="shared" si="20"/>
        <v>2024-2</v>
      </c>
      <c r="K425" t="s">
        <v>121</v>
      </c>
      <c r="L425" t="s">
        <v>490</v>
      </c>
    </row>
    <row r="426" spans="1:12" x14ac:dyDescent="0.25">
      <c r="A426" t="s">
        <v>249</v>
      </c>
      <c r="B426" t="s">
        <v>288</v>
      </c>
      <c r="C426">
        <f t="shared" si="18"/>
        <v>2024</v>
      </c>
      <c r="D426">
        <f t="shared" si="19"/>
        <v>2</v>
      </c>
      <c r="E426" t="str">
        <f t="shared" si="20"/>
        <v>2024-2</v>
      </c>
      <c r="K426" t="s">
        <v>121</v>
      </c>
      <c r="L426" t="s">
        <v>491</v>
      </c>
    </row>
    <row r="427" spans="1:12" x14ac:dyDescent="0.25">
      <c r="A427" t="s">
        <v>209</v>
      </c>
      <c r="B427" t="s">
        <v>288</v>
      </c>
      <c r="C427">
        <f t="shared" si="18"/>
        <v>2024</v>
      </c>
      <c r="D427">
        <f t="shared" si="19"/>
        <v>2</v>
      </c>
      <c r="E427" t="str">
        <f t="shared" si="20"/>
        <v>2024-2</v>
      </c>
      <c r="K427" t="s">
        <v>121</v>
      </c>
      <c r="L427" t="s">
        <v>495</v>
      </c>
    </row>
    <row r="428" spans="1:12" x14ac:dyDescent="0.25">
      <c r="A428" t="s">
        <v>240</v>
      </c>
      <c r="B428" t="s">
        <v>288</v>
      </c>
      <c r="C428">
        <f t="shared" si="18"/>
        <v>2024</v>
      </c>
      <c r="D428">
        <f t="shared" si="19"/>
        <v>2</v>
      </c>
      <c r="E428" t="str">
        <f t="shared" si="20"/>
        <v>2024-2</v>
      </c>
      <c r="K428" t="s">
        <v>312</v>
      </c>
      <c r="L428" t="s">
        <v>494</v>
      </c>
    </row>
    <row r="429" spans="1:12" x14ac:dyDescent="0.25">
      <c r="A429" t="s">
        <v>228</v>
      </c>
      <c r="B429" t="s">
        <v>288</v>
      </c>
      <c r="C429">
        <f t="shared" si="18"/>
        <v>2024</v>
      </c>
      <c r="D429">
        <f t="shared" si="19"/>
        <v>2</v>
      </c>
      <c r="E429" t="str">
        <f t="shared" si="20"/>
        <v>2024-2</v>
      </c>
      <c r="K429" t="s">
        <v>312</v>
      </c>
      <c r="L429" t="s">
        <v>495</v>
      </c>
    </row>
    <row r="430" spans="1:12" x14ac:dyDescent="0.25">
      <c r="A430" t="s">
        <v>25</v>
      </c>
      <c r="B430" t="s">
        <v>289</v>
      </c>
      <c r="C430">
        <f t="shared" si="18"/>
        <v>2024</v>
      </c>
      <c r="D430">
        <f t="shared" si="19"/>
        <v>2</v>
      </c>
      <c r="E430" t="str">
        <f t="shared" si="20"/>
        <v>2024-2</v>
      </c>
      <c r="K430" t="s">
        <v>312</v>
      </c>
      <c r="L430" t="s">
        <v>498</v>
      </c>
    </row>
    <row r="431" spans="1:12" x14ac:dyDescent="0.25">
      <c r="A431" t="s">
        <v>172</v>
      </c>
      <c r="B431" t="s">
        <v>289</v>
      </c>
      <c r="C431">
        <f t="shared" si="18"/>
        <v>2024</v>
      </c>
      <c r="D431">
        <f t="shared" si="19"/>
        <v>2</v>
      </c>
      <c r="E431" t="str">
        <f t="shared" si="20"/>
        <v>2024-2</v>
      </c>
      <c r="K431" t="s">
        <v>53</v>
      </c>
      <c r="L431" t="s">
        <v>489</v>
      </c>
    </row>
    <row r="432" spans="1:12" x14ac:dyDescent="0.25">
      <c r="A432" t="s">
        <v>158</v>
      </c>
      <c r="B432" t="s">
        <v>289</v>
      </c>
      <c r="C432">
        <f t="shared" si="18"/>
        <v>2024</v>
      </c>
      <c r="D432">
        <f t="shared" si="19"/>
        <v>2</v>
      </c>
      <c r="E432" t="str">
        <f t="shared" si="20"/>
        <v>2024-2</v>
      </c>
      <c r="K432" t="s">
        <v>53</v>
      </c>
      <c r="L432" t="s">
        <v>491</v>
      </c>
    </row>
    <row r="433" spans="1:12" x14ac:dyDescent="0.25">
      <c r="A433" t="s">
        <v>290</v>
      </c>
      <c r="B433" t="s">
        <v>289</v>
      </c>
      <c r="C433">
        <f t="shared" si="18"/>
        <v>2024</v>
      </c>
      <c r="D433">
        <f t="shared" si="19"/>
        <v>2</v>
      </c>
      <c r="E433" t="str">
        <f t="shared" si="20"/>
        <v>2024-2</v>
      </c>
      <c r="K433" t="s">
        <v>53</v>
      </c>
      <c r="L433" t="s">
        <v>492</v>
      </c>
    </row>
    <row r="434" spans="1:12" x14ac:dyDescent="0.25">
      <c r="A434" t="s">
        <v>219</v>
      </c>
      <c r="B434" t="s">
        <v>289</v>
      </c>
      <c r="C434">
        <f t="shared" si="18"/>
        <v>2024</v>
      </c>
      <c r="D434">
        <f t="shared" si="19"/>
        <v>2</v>
      </c>
      <c r="E434" t="str">
        <f t="shared" si="20"/>
        <v>2024-2</v>
      </c>
      <c r="K434" t="s">
        <v>53</v>
      </c>
      <c r="L434" t="s">
        <v>493</v>
      </c>
    </row>
    <row r="435" spans="1:12" x14ac:dyDescent="0.25">
      <c r="A435" t="s">
        <v>20</v>
      </c>
      <c r="B435" t="s">
        <v>291</v>
      </c>
      <c r="C435">
        <f t="shared" si="18"/>
        <v>2024</v>
      </c>
      <c r="D435">
        <f t="shared" si="19"/>
        <v>2</v>
      </c>
      <c r="E435" t="str">
        <f t="shared" si="20"/>
        <v>2024-2</v>
      </c>
      <c r="K435" t="s">
        <v>53</v>
      </c>
      <c r="L435" t="s">
        <v>499</v>
      </c>
    </row>
    <row r="436" spans="1:12" x14ac:dyDescent="0.25">
      <c r="A436" t="s">
        <v>64</v>
      </c>
      <c r="B436" t="s">
        <v>291</v>
      </c>
      <c r="C436">
        <f t="shared" si="18"/>
        <v>2024</v>
      </c>
      <c r="D436">
        <f t="shared" si="19"/>
        <v>2</v>
      </c>
      <c r="E436" t="str">
        <f t="shared" si="20"/>
        <v>2024-2</v>
      </c>
      <c r="K436" t="s">
        <v>53</v>
      </c>
      <c r="L436" t="s">
        <v>500</v>
      </c>
    </row>
    <row r="437" spans="1:12" x14ac:dyDescent="0.25">
      <c r="A437" t="s">
        <v>123</v>
      </c>
      <c r="B437" t="s">
        <v>291</v>
      </c>
      <c r="C437">
        <f t="shared" si="18"/>
        <v>2024</v>
      </c>
      <c r="D437">
        <f t="shared" si="19"/>
        <v>2</v>
      </c>
      <c r="E437" t="str">
        <f t="shared" si="20"/>
        <v>2024-2</v>
      </c>
      <c r="K437" t="s">
        <v>252</v>
      </c>
      <c r="L437" t="s">
        <v>493</v>
      </c>
    </row>
    <row r="438" spans="1:12" x14ac:dyDescent="0.25">
      <c r="A438" t="s">
        <v>292</v>
      </c>
      <c r="B438" t="s">
        <v>291</v>
      </c>
      <c r="C438">
        <f t="shared" si="18"/>
        <v>2024</v>
      </c>
      <c r="D438">
        <f t="shared" si="19"/>
        <v>2</v>
      </c>
      <c r="E438" t="str">
        <f t="shared" si="20"/>
        <v>2024-2</v>
      </c>
      <c r="K438" t="s">
        <v>252</v>
      </c>
      <c r="L438" t="s">
        <v>498</v>
      </c>
    </row>
    <row r="439" spans="1:12" x14ac:dyDescent="0.25">
      <c r="A439" t="s">
        <v>243</v>
      </c>
      <c r="B439" t="s">
        <v>291</v>
      </c>
      <c r="C439">
        <f t="shared" si="18"/>
        <v>2024</v>
      </c>
      <c r="D439">
        <f t="shared" si="19"/>
        <v>2</v>
      </c>
      <c r="E439" t="str">
        <f t="shared" si="20"/>
        <v>2024-2</v>
      </c>
      <c r="K439" t="s">
        <v>252</v>
      </c>
      <c r="L439" t="s">
        <v>500</v>
      </c>
    </row>
    <row r="440" spans="1:12" x14ac:dyDescent="0.25">
      <c r="A440" t="s">
        <v>107</v>
      </c>
      <c r="B440" t="s">
        <v>291</v>
      </c>
      <c r="C440">
        <f t="shared" si="18"/>
        <v>2024</v>
      </c>
      <c r="D440">
        <f t="shared" si="19"/>
        <v>2</v>
      </c>
      <c r="E440" t="str">
        <f t="shared" si="20"/>
        <v>2024-2</v>
      </c>
      <c r="K440" t="s">
        <v>272</v>
      </c>
      <c r="L440" t="s">
        <v>493</v>
      </c>
    </row>
    <row r="441" spans="1:12" x14ac:dyDescent="0.25">
      <c r="A441" t="s">
        <v>148</v>
      </c>
      <c r="B441" t="s">
        <v>291</v>
      </c>
      <c r="C441">
        <f t="shared" si="18"/>
        <v>2024</v>
      </c>
      <c r="D441">
        <f t="shared" si="19"/>
        <v>2</v>
      </c>
      <c r="E441" t="str">
        <f t="shared" si="20"/>
        <v>2024-2</v>
      </c>
      <c r="K441" t="s">
        <v>272</v>
      </c>
      <c r="L441" t="s">
        <v>495</v>
      </c>
    </row>
    <row r="442" spans="1:12" x14ac:dyDescent="0.25">
      <c r="A442" t="s">
        <v>293</v>
      </c>
      <c r="B442" t="s">
        <v>294</v>
      </c>
      <c r="C442">
        <f t="shared" si="18"/>
        <v>2024</v>
      </c>
      <c r="D442">
        <f t="shared" si="19"/>
        <v>2</v>
      </c>
      <c r="E442" t="str">
        <f t="shared" si="20"/>
        <v>2024-2</v>
      </c>
      <c r="K442" t="s">
        <v>272</v>
      </c>
      <c r="L442" t="s">
        <v>497</v>
      </c>
    </row>
    <row r="443" spans="1:12" x14ac:dyDescent="0.25">
      <c r="A443" t="s">
        <v>60</v>
      </c>
      <c r="B443" t="s">
        <v>294</v>
      </c>
      <c r="C443">
        <f t="shared" si="18"/>
        <v>2024</v>
      </c>
      <c r="D443">
        <f t="shared" si="19"/>
        <v>2</v>
      </c>
      <c r="E443" t="str">
        <f t="shared" si="20"/>
        <v>2024-2</v>
      </c>
      <c r="K443" t="s">
        <v>272</v>
      </c>
      <c r="L443" t="s">
        <v>500</v>
      </c>
    </row>
    <row r="444" spans="1:12" x14ac:dyDescent="0.25">
      <c r="A444" t="s">
        <v>66</v>
      </c>
      <c r="B444" t="s">
        <v>294</v>
      </c>
      <c r="C444">
        <f t="shared" si="18"/>
        <v>2024</v>
      </c>
      <c r="D444">
        <f t="shared" si="19"/>
        <v>2</v>
      </c>
      <c r="E444" t="str">
        <f t="shared" si="20"/>
        <v>2024-2</v>
      </c>
      <c r="K444" t="s">
        <v>79</v>
      </c>
      <c r="L444" t="s">
        <v>489</v>
      </c>
    </row>
    <row r="445" spans="1:12" x14ac:dyDescent="0.25">
      <c r="A445" t="s">
        <v>125</v>
      </c>
      <c r="B445" t="s">
        <v>295</v>
      </c>
      <c r="C445">
        <f t="shared" si="18"/>
        <v>2024</v>
      </c>
      <c r="D445">
        <f t="shared" si="19"/>
        <v>2</v>
      </c>
      <c r="E445" t="str">
        <f t="shared" si="20"/>
        <v>2024-2</v>
      </c>
      <c r="K445" t="s">
        <v>79</v>
      </c>
      <c r="L445" t="s">
        <v>490</v>
      </c>
    </row>
    <row r="446" spans="1:12" x14ac:dyDescent="0.25">
      <c r="A446" t="s">
        <v>287</v>
      </c>
      <c r="B446" t="s">
        <v>295</v>
      </c>
      <c r="C446">
        <f t="shared" si="18"/>
        <v>2024</v>
      </c>
      <c r="D446">
        <f t="shared" si="19"/>
        <v>2</v>
      </c>
      <c r="E446" t="str">
        <f t="shared" si="20"/>
        <v>2024-2</v>
      </c>
      <c r="K446" t="s">
        <v>79</v>
      </c>
      <c r="L446" t="s">
        <v>492</v>
      </c>
    </row>
    <row r="447" spans="1:12" x14ac:dyDescent="0.25">
      <c r="A447" t="s">
        <v>296</v>
      </c>
      <c r="B447" t="s">
        <v>295</v>
      </c>
      <c r="C447">
        <f t="shared" si="18"/>
        <v>2024</v>
      </c>
      <c r="D447">
        <f t="shared" si="19"/>
        <v>2</v>
      </c>
      <c r="E447" t="str">
        <f t="shared" si="20"/>
        <v>2024-2</v>
      </c>
      <c r="K447" t="s">
        <v>79</v>
      </c>
      <c r="L447" t="s">
        <v>493</v>
      </c>
    </row>
    <row r="448" spans="1:12" x14ac:dyDescent="0.25">
      <c r="A448" t="s">
        <v>131</v>
      </c>
      <c r="B448" t="s">
        <v>295</v>
      </c>
      <c r="C448">
        <f t="shared" si="18"/>
        <v>2024</v>
      </c>
      <c r="D448">
        <f t="shared" si="19"/>
        <v>2</v>
      </c>
      <c r="E448" t="str">
        <f t="shared" si="20"/>
        <v>2024-2</v>
      </c>
      <c r="K448" t="s">
        <v>79</v>
      </c>
      <c r="L448" t="s">
        <v>495</v>
      </c>
    </row>
    <row r="449" spans="1:12" x14ac:dyDescent="0.25">
      <c r="A449" t="s">
        <v>297</v>
      </c>
      <c r="B449" t="s">
        <v>298</v>
      </c>
      <c r="C449">
        <f t="shared" si="18"/>
        <v>2024</v>
      </c>
      <c r="D449">
        <f t="shared" si="19"/>
        <v>2</v>
      </c>
      <c r="E449" t="str">
        <f t="shared" si="20"/>
        <v>2024-2</v>
      </c>
      <c r="K449" t="s">
        <v>79</v>
      </c>
      <c r="L449" t="s">
        <v>498</v>
      </c>
    </row>
    <row r="450" spans="1:12" x14ac:dyDescent="0.25">
      <c r="A450" t="s">
        <v>239</v>
      </c>
      <c r="B450" t="s">
        <v>298</v>
      </c>
      <c r="C450">
        <f t="shared" si="18"/>
        <v>2024</v>
      </c>
      <c r="D450">
        <f t="shared" si="19"/>
        <v>2</v>
      </c>
      <c r="E450" t="str">
        <f t="shared" si="20"/>
        <v>2024-2</v>
      </c>
      <c r="K450" t="s">
        <v>79</v>
      </c>
      <c r="L450" t="s">
        <v>500</v>
      </c>
    </row>
    <row r="451" spans="1:12" x14ac:dyDescent="0.25">
      <c r="A451" t="s">
        <v>138</v>
      </c>
      <c r="B451" t="s">
        <v>298</v>
      </c>
      <c r="C451">
        <f t="shared" ref="C451:C514" si="21">YEAR(B451)</f>
        <v>2024</v>
      </c>
      <c r="D451">
        <f t="shared" ref="D451:D514" si="22">MONTH(B451)</f>
        <v>2</v>
      </c>
      <c r="E451" t="str">
        <f t="shared" ref="E451:E514" si="23">C451&amp;"-"&amp;D451</f>
        <v>2024-2</v>
      </c>
      <c r="K451" t="s">
        <v>87</v>
      </c>
      <c r="L451" t="s">
        <v>489</v>
      </c>
    </row>
    <row r="452" spans="1:12" x14ac:dyDescent="0.25">
      <c r="A452" t="s">
        <v>203</v>
      </c>
      <c r="B452" t="s">
        <v>298</v>
      </c>
      <c r="C452">
        <f t="shared" si="21"/>
        <v>2024</v>
      </c>
      <c r="D452">
        <f t="shared" si="22"/>
        <v>2</v>
      </c>
      <c r="E452" t="str">
        <f t="shared" si="23"/>
        <v>2024-2</v>
      </c>
      <c r="K452" t="s">
        <v>87</v>
      </c>
      <c r="L452" t="s">
        <v>490</v>
      </c>
    </row>
    <row r="453" spans="1:12" x14ac:dyDescent="0.25">
      <c r="A453" t="s">
        <v>55</v>
      </c>
      <c r="B453" t="s">
        <v>299</v>
      </c>
      <c r="C453">
        <f t="shared" si="21"/>
        <v>2024</v>
      </c>
      <c r="D453">
        <f t="shared" si="22"/>
        <v>2</v>
      </c>
      <c r="E453" t="str">
        <f t="shared" si="23"/>
        <v>2024-2</v>
      </c>
      <c r="K453" t="s">
        <v>87</v>
      </c>
      <c r="L453" t="s">
        <v>491</v>
      </c>
    </row>
    <row r="454" spans="1:12" x14ac:dyDescent="0.25">
      <c r="A454" t="s">
        <v>258</v>
      </c>
      <c r="B454" t="s">
        <v>299</v>
      </c>
      <c r="C454">
        <f t="shared" si="21"/>
        <v>2024</v>
      </c>
      <c r="D454">
        <f t="shared" si="22"/>
        <v>2</v>
      </c>
      <c r="E454" t="str">
        <f t="shared" si="23"/>
        <v>2024-2</v>
      </c>
      <c r="K454" t="s">
        <v>87</v>
      </c>
      <c r="L454" t="s">
        <v>492</v>
      </c>
    </row>
    <row r="455" spans="1:12" x14ac:dyDescent="0.25">
      <c r="A455" t="s">
        <v>47</v>
      </c>
      <c r="B455" t="s">
        <v>299</v>
      </c>
      <c r="C455">
        <f t="shared" si="21"/>
        <v>2024</v>
      </c>
      <c r="D455">
        <f t="shared" si="22"/>
        <v>2</v>
      </c>
      <c r="E455" t="str">
        <f t="shared" si="23"/>
        <v>2024-2</v>
      </c>
      <c r="K455" t="s">
        <v>87</v>
      </c>
      <c r="L455" t="s">
        <v>493</v>
      </c>
    </row>
    <row r="456" spans="1:12" x14ac:dyDescent="0.25">
      <c r="A456" t="s">
        <v>158</v>
      </c>
      <c r="B456" t="s">
        <v>299</v>
      </c>
      <c r="C456">
        <f t="shared" si="21"/>
        <v>2024</v>
      </c>
      <c r="D456">
        <f t="shared" si="22"/>
        <v>2</v>
      </c>
      <c r="E456" t="str">
        <f t="shared" si="23"/>
        <v>2024-2</v>
      </c>
      <c r="K456" t="s">
        <v>87</v>
      </c>
      <c r="L456" t="s">
        <v>498</v>
      </c>
    </row>
    <row r="457" spans="1:12" x14ac:dyDescent="0.25">
      <c r="A457" t="s">
        <v>130</v>
      </c>
      <c r="B457" t="s">
        <v>299</v>
      </c>
      <c r="C457">
        <f t="shared" si="21"/>
        <v>2024</v>
      </c>
      <c r="D457">
        <f t="shared" si="22"/>
        <v>2</v>
      </c>
      <c r="E457" t="str">
        <f t="shared" si="23"/>
        <v>2024-2</v>
      </c>
      <c r="K457" t="s">
        <v>87</v>
      </c>
      <c r="L457" t="s">
        <v>499</v>
      </c>
    </row>
    <row r="458" spans="1:12" x14ac:dyDescent="0.25">
      <c r="A458" t="s">
        <v>300</v>
      </c>
      <c r="B458" t="s">
        <v>301</v>
      </c>
      <c r="C458">
        <f t="shared" si="21"/>
        <v>2024</v>
      </c>
      <c r="D458">
        <f t="shared" si="22"/>
        <v>2</v>
      </c>
      <c r="E458" t="str">
        <f t="shared" si="23"/>
        <v>2024-2</v>
      </c>
      <c r="K458" t="s">
        <v>87</v>
      </c>
      <c r="L458" t="s">
        <v>500</v>
      </c>
    </row>
    <row r="459" spans="1:12" x14ac:dyDescent="0.25">
      <c r="A459" t="s">
        <v>302</v>
      </c>
      <c r="B459" t="s">
        <v>301</v>
      </c>
      <c r="C459">
        <f t="shared" si="21"/>
        <v>2024</v>
      </c>
      <c r="D459">
        <f t="shared" si="22"/>
        <v>2</v>
      </c>
      <c r="E459" t="str">
        <f t="shared" si="23"/>
        <v>2024-2</v>
      </c>
      <c r="K459" t="s">
        <v>359</v>
      </c>
      <c r="L459" t="s">
        <v>496</v>
      </c>
    </row>
    <row r="460" spans="1:12" x14ac:dyDescent="0.25">
      <c r="A460" t="s">
        <v>146</v>
      </c>
      <c r="B460" t="s">
        <v>303</v>
      </c>
      <c r="C460">
        <f t="shared" si="21"/>
        <v>2024</v>
      </c>
      <c r="D460">
        <f t="shared" si="22"/>
        <v>2</v>
      </c>
      <c r="E460" t="str">
        <f t="shared" si="23"/>
        <v>2024-2</v>
      </c>
      <c r="K460" t="s">
        <v>359</v>
      </c>
      <c r="L460" t="s">
        <v>499</v>
      </c>
    </row>
    <row r="461" spans="1:12" x14ac:dyDescent="0.25">
      <c r="A461" t="s">
        <v>115</v>
      </c>
      <c r="B461" t="s">
        <v>303</v>
      </c>
      <c r="C461">
        <f t="shared" si="21"/>
        <v>2024</v>
      </c>
      <c r="D461">
        <f t="shared" si="22"/>
        <v>2</v>
      </c>
      <c r="E461" t="str">
        <f t="shared" si="23"/>
        <v>2024-2</v>
      </c>
      <c r="K461" t="s">
        <v>239</v>
      </c>
      <c r="L461" t="s">
        <v>492</v>
      </c>
    </row>
    <row r="462" spans="1:12" x14ac:dyDescent="0.25">
      <c r="A462" t="s">
        <v>304</v>
      </c>
      <c r="B462" t="s">
        <v>303</v>
      </c>
      <c r="C462">
        <f t="shared" si="21"/>
        <v>2024</v>
      </c>
      <c r="D462">
        <f t="shared" si="22"/>
        <v>2</v>
      </c>
      <c r="E462" t="str">
        <f t="shared" si="23"/>
        <v>2024-2</v>
      </c>
      <c r="K462" t="s">
        <v>239</v>
      </c>
      <c r="L462" t="s">
        <v>493</v>
      </c>
    </row>
    <row r="463" spans="1:12" x14ac:dyDescent="0.25">
      <c r="A463" t="s">
        <v>161</v>
      </c>
      <c r="B463" t="s">
        <v>303</v>
      </c>
      <c r="C463">
        <f t="shared" si="21"/>
        <v>2024</v>
      </c>
      <c r="D463">
        <f t="shared" si="22"/>
        <v>2</v>
      </c>
      <c r="E463" t="str">
        <f t="shared" si="23"/>
        <v>2024-2</v>
      </c>
      <c r="K463" t="s">
        <v>239</v>
      </c>
      <c r="L463" t="s">
        <v>494</v>
      </c>
    </row>
    <row r="464" spans="1:12" x14ac:dyDescent="0.25">
      <c r="A464" t="s">
        <v>157</v>
      </c>
      <c r="B464" t="s">
        <v>303</v>
      </c>
      <c r="C464">
        <f t="shared" si="21"/>
        <v>2024</v>
      </c>
      <c r="D464">
        <f t="shared" si="22"/>
        <v>2</v>
      </c>
      <c r="E464" t="str">
        <f t="shared" si="23"/>
        <v>2024-2</v>
      </c>
      <c r="K464" t="s">
        <v>239</v>
      </c>
      <c r="L464" t="s">
        <v>496</v>
      </c>
    </row>
    <row r="465" spans="1:12" x14ac:dyDescent="0.25">
      <c r="A465" t="s">
        <v>108</v>
      </c>
      <c r="B465" t="s">
        <v>303</v>
      </c>
      <c r="C465">
        <f t="shared" si="21"/>
        <v>2024</v>
      </c>
      <c r="D465">
        <f t="shared" si="22"/>
        <v>2</v>
      </c>
      <c r="E465" t="str">
        <f t="shared" si="23"/>
        <v>2024-2</v>
      </c>
      <c r="K465" t="s">
        <v>34</v>
      </c>
      <c r="L465" t="s">
        <v>489</v>
      </c>
    </row>
    <row r="466" spans="1:12" x14ac:dyDescent="0.25">
      <c r="A466" t="s">
        <v>165</v>
      </c>
      <c r="B466" t="s">
        <v>303</v>
      </c>
      <c r="C466">
        <f t="shared" si="21"/>
        <v>2024</v>
      </c>
      <c r="D466">
        <f t="shared" si="22"/>
        <v>2</v>
      </c>
      <c r="E466" t="str">
        <f t="shared" si="23"/>
        <v>2024-2</v>
      </c>
      <c r="K466" t="s">
        <v>34</v>
      </c>
      <c r="L466" t="s">
        <v>492</v>
      </c>
    </row>
    <row r="467" spans="1:12" x14ac:dyDescent="0.25">
      <c r="A467" t="s">
        <v>193</v>
      </c>
      <c r="B467" t="s">
        <v>303</v>
      </c>
      <c r="C467">
        <f t="shared" si="21"/>
        <v>2024</v>
      </c>
      <c r="D467">
        <f t="shared" si="22"/>
        <v>2</v>
      </c>
      <c r="E467" t="str">
        <f t="shared" si="23"/>
        <v>2024-2</v>
      </c>
      <c r="K467" t="s">
        <v>34</v>
      </c>
      <c r="L467" t="s">
        <v>493</v>
      </c>
    </row>
    <row r="468" spans="1:12" x14ac:dyDescent="0.25">
      <c r="A468" t="s">
        <v>129</v>
      </c>
      <c r="B468" t="s">
        <v>303</v>
      </c>
      <c r="C468">
        <f t="shared" si="21"/>
        <v>2024</v>
      </c>
      <c r="D468">
        <f t="shared" si="22"/>
        <v>2</v>
      </c>
      <c r="E468" t="str">
        <f t="shared" si="23"/>
        <v>2024-2</v>
      </c>
      <c r="K468" t="s">
        <v>34</v>
      </c>
      <c r="L468" t="s">
        <v>497</v>
      </c>
    </row>
    <row r="469" spans="1:12" x14ac:dyDescent="0.25">
      <c r="A469" t="s">
        <v>296</v>
      </c>
      <c r="B469" t="s">
        <v>305</v>
      </c>
      <c r="C469">
        <f t="shared" si="21"/>
        <v>2024</v>
      </c>
      <c r="D469">
        <f t="shared" si="22"/>
        <v>2</v>
      </c>
      <c r="E469" t="str">
        <f t="shared" si="23"/>
        <v>2024-2</v>
      </c>
      <c r="K469" t="s">
        <v>165</v>
      </c>
      <c r="L469" t="s">
        <v>491</v>
      </c>
    </row>
    <row r="470" spans="1:12" x14ac:dyDescent="0.25">
      <c r="A470" t="s">
        <v>127</v>
      </c>
      <c r="B470" t="s">
        <v>305</v>
      </c>
      <c r="C470">
        <f t="shared" si="21"/>
        <v>2024</v>
      </c>
      <c r="D470">
        <f t="shared" si="22"/>
        <v>2</v>
      </c>
      <c r="E470" t="str">
        <f t="shared" si="23"/>
        <v>2024-2</v>
      </c>
      <c r="K470" t="s">
        <v>165</v>
      </c>
      <c r="L470" t="s">
        <v>493</v>
      </c>
    </row>
    <row r="471" spans="1:12" x14ac:dyDescent="0.25">
      <c r="A471" t="s">
        <v>107</v>
      </c>
      <c r="B471" t="s">
        <v>306</v>
      </c>
      <c r="C471">
        <f t="shared" si="21"/>
        <v>2024</v>
      </c>
      <c r="D471">
        <f t="shared" si="22"/>
        <v>2</v>
      </c>
      <c r="E471" t="str">
        <f t="shared" si="23"/>
        <v>2024-2</v>
      </c>
      <c r="K471" t="s">
        <v>165</v>
      </c>
      <c r="L471" t="s">
        <v>494</v>
      </c>
    </row>
    <row r="472" spans="1:12" x14ac:dyDescent="0.25">
      <c r="A472" t="s">
        <v>296</v>
      </c>
      <c r="B472" t="s">
        <v>306</v>
      </c>
      <c r="C472">
        <f t="shared" si="21"/>
        <v>2024</v>
      </c>
      <c r="D472">
        <f t="shared" si="22"/>
        <v>2</v>
      </c>
      <c r="E472" t="str">
        <f t="shared" si="23"/>
        <v>2024-2</v>
      </c>
      <c r="K472" t="s">
        <v>165</v>
      </c>
      <c r="L472" t="s">
        <v>498</v>
      </c>
    </row>
    <row r="473" spans="1:12" x14ac:dyDescent="0.25">
      <c r="A473" t="s">
        <v>105</v>
      </c>
      <c r="B473" t="s">
        <v>307</v>
      </c>
      <c r="C473">
        <f t="shared" si="21"/>
        <v>2024</v>
      </c>
      <c r="D473">
        <f t="shared" si="22"/>
        <v>2</v>
      </c>
      <c r="E473" t="str">
        <f t="shared" si="23"/>
        <v>2024-2</v>
      </c>
      <c r="K473" t="s">
        <v>81</v>
      </c>
      <c r="L473" t="s">
        <v>489</v>
      </c>
    </row>
    <row r="474" spans="1:12" x14ac:dyDescent="0.25">
      <c r="A474" t="s">
        <v>125</v>
      </c>
      <c r="B474" t="s">
        <v>307</v>
      </c>
      <c r="C474">
        <f t="shared" si="21"/>
        <v>2024</v>
      </c>
      <c r="D474">
        <f t="shared" si="22"/>
        <v>2</v>
      </c>
      <c r="E474" t="str">
        <f t="shared" si="23"/>
        <v>2024-2</v>
      </c>
      <c r="K474" t="s">
        <v>81</v>
      </c>
      <c r="L474" t="s">
        <v>490</v>
      </c>
    </row>
    <row r="475" spans="1:12" x14ac:dyDescent="0.25">
      <c r="A475" t="s">
        <v>223</v>
      </c>
      <c r="B475" t="s">
        <v>307</v>
      </c>
      <c r="C475">
        <f t="shared" si="21"/>
        <v>2024</v>
      </c>
      <c r="D475">
        <f t="shared" si="22"/>
        <v>2</v>
      </c>
      <c r="E475" t="str">
        <f t="shared" si="23"/>
        <v>2024-2</v>
      </c>
      <c r="K475" t="s">
        <v>81</v>
      </c>
      <c r="L475" t="s">
        <v>492</v>
      </c>
    </row>
    <row r="476" spans="1:12" x14ac:dyDescent="0.25">
      <c r="A476" t="s">
        <v>63</v>
      </c>
      <c r="B476" t="s">
        <v>307</v>
      </c>
      <c r="C476">
        <f t="shared" si="21"/>
        <v>2024</v>
      </c>
      <c r="D476">
        <f t="shared" si="22"/>
        <v>2</v>
      </c>
      <c r="E476" t="str">
        <f t="shared" si="23"/>
        <v>2024-2</v>
      </c>
      <c r="K476" t="s">
        <v>81</v>
      </c>
      <c r="L476" t="s">
        <v>493</v>
      </c>
    </row>
    <row r="477" spans="1:12" x14ac:dyDescent="0.25">
      <c r="A477" t="s">
        <v>146</v>
      </c>
      <c r="B477" t="s">
        <v>307</v>
      </c>
      <c r="C477">
        <f t="shared" si="21"/>
        <v>2024</v>
      </c>
      <c r="D477">
        <f t="shared" si="22"/>
        <v>2</v>
      </c>
      <c r="E477" t="str">
        <f t="shared" si="23"/>
        <v>2024-2</v>
      </c>
      <c r="K477" t="s">
        <v>223</v>
      </c>
      <c r="L477" t="s">
        <v>492</v>
      </c>
    </row>
    <row r="478" spans="1:12" x14ac:dyDescent="0.25">
      <c r="A478" t="s">
        <v>256</v>
      </c>
      <c r="B478" t="s">
        <v>307</v>
      </c>
      <c r="C478">
        <f t="shared" si="21"/>
        <v>2024</v>
      </c>
      <c r="D478">
        <f t="shared" si="22"/>
        <v>2</v>
      </c>
      <c r="E478" t="str">
        <f t="shared" si="23"/>
        <v>2024-2</v>
      </c>
      <c r="K478" t="s">
        <v>223</v>
      </c>
      <c r="L478" t="s">
        <v>493</v>
      </c>
    </row>
    <row r="479" spans="1:12" x14ac:dyDescent="0.25">
      <c r="A479" t="s">
        <v>122</v>
      </c>
      <c r="B479" t="s">
        <v>308</v>
      </c>
      <c r="C479">
        <f t="shared" si="21"/>
        <v>2024</v>
      </c>
      <c r="D479">
        <f t="shared" si="22"/>
        <v>2</v>
      </c>
      <c r="E479" t="str">
        <f t="shared" si="23"/>
        <v>2024-2</v>
      </c>
      <c r="K479" t="s">
        <v>223</v>
      </c>
      <c r="L479" t="s">
        <v>494</v>
      </c>
    </row>
    <row r="480" spans="1:12" x14ac:dyDescent="0.25">
      <c r="A480" t="s">
        <v>111</v>
      </c>
      <c r="B480" t="s">
        <v>308</v>
      </c>
      <c r="C480">
        <f t="shared" si="21"/>
        <v>2024</v>
      </c>
      <c r="D480">
        <f t="shared" si="22"/>
        <v>2</v>
      </c>
      <c r="E480" t="str">
        <f t="shared" si="23"/>
        <v>2024-2</v>
      </c>
      <c r="K480" t="s">
        <v>232</v>
      </c>
      <c r="L480" t="s">
        <v>492</v>
      </c>
    </row>
    <row r="481" spans="1:12" x14ac:dyDescent="0.25">
      <c r="A481" t="s">
        <v>131</v>
      </c>
      <c r="B481" t="s">
        <v>308</v>
      </c>
      <c r="C481">
        <f t="shared" si="21"/>
        <v>2024</v>
      </c>
      <c r="D481">
        <f t="shared" si="22"/>
        <v>2</v>
      </c>
      <c r="E481" t="str">
        <f t="shared" si="23"/>
        <v>2024-2</v>
      </c>
      <c r="K481" t="s">
        <v>232</v>
      </c>
      <c r="L481" t="s">
        <v>493</v>
      </c>
    </row>
    <row r="482" spans="1:12" x14ac:dyDescent="0.25">
      <c r="A482" t="s">
        <v>198</v>
      </c>
      <c r="B482" t="s">
        <v>308</v>
      </c>
      <c r="C482">
        <f t="shared" si="21"/>
        <v>2024</v>
      </c>
      <c r="D482">
        <f t="shared" si="22"/>
        <v>2</v>
      </c>
      <c r="E482" t="str">
        <f t="shared" si="23"/>
        <v>2024-2</v>
      </c>
      <c r="K482" t="s">
        <v>232</v>
      </c>
      <c r="L482" t="s">
        <v>495</v>
      </c>
    </row>
    <row r="483" spans="1:12" x14ac:dyDescent="0.25">
      <c r="A483" t="s">
        <v>41</v>
      </c>
      <c r="B483" t="s">
        <v>308</v>
      </c>
      <c r="C483">
        <f t="shared" si="21"/>
        <v>2024</v>
      </c>
      <c r="D483">
        <f t="shared" si="22"/>
        <v>2</v>
      </c>
      <c r="E483" t="str">
        <f t="shared" si="23"/>
        <v>2024-2</v>
      </c>
      <c r="K483" t="s">
        <v>232</v>
      </c>
      <c r="L483" t="s">
        <v>500</v>
      </c>
    </row>
    <row r="484" spans="1:12" x14ac:dyDescent="0.25">
      <c r="A484" t="s">
        <v>101</v>
      </c>
      <c r="B484" t="s">
        <v>309</v>
      </c>
      <c r="C484">
        <f t="shared" si="21"/>
        <v>2024</v>
      </c>
      <c r="D484">
        <f t="shared" si="22"/>
        <v>2</v>
      </c>
      <c r="E484" t="str">
        <f t="shared" si="23"/>
        <v>2024-2</v>
      </c>
      <c r="K484" t="s">
        <v>103</v>
      </c>
      <c r="L484" t="s">
        <v>489</v>
      </c>
    </row>
    <row r="485" spans="1:12" x14ac:dyDescent="0.25">
      <c r="A485" t="s">
        <v>45</v>
      </c>
      <c r="B485" t="s">
        <v>309</v>
      </c>
      <c r="C485">
        <f t="shared" si="21"/>
        <v>2024</v>
      </c>
      <c r="D485">
        <f t="shared" si="22"/>
        <v>2</v>
      </c>
      <c r="E485" t="str">
        <f t="shared" si="23"/>
        <v>2024-2</v>
      </c>
      <c r="K485" t="s">
        <v>103</v>
      </c>
      <c r="L485" t="s">
        <v>491</v>
      </c>
    </row>
    <row r="486" spans="1:12" x14ac:dyDescent="0.25">
      <c r="A486" t="s">
        <v>113</v>
      </c>
      <c r="B486" t="s">
        <v>310</v>
      </c>
      <c r="C486">
        <f t="shared" si="21"/>
        <v>2024</v>
      </c>
      <c r="D486">
        <f t="shared" si="22"/>
        <v>2</v>
      </c>
      <c r="E486" t="str">
        <f t="shared" si="23"/>
        <v>2024-2</v>
      </c>
      <c r="K486" t="s">
        <v>103</v>
      </c>
      <c r="L486" t="s">
        <v>493</v>
      </c>
    </row>
    <row r="487" spans="1:12" x14ac:dyDescent="0.25">
      <c r="A487" t="s">
        <v>125</v>
      </c>
      <c r="B487" t="s">
        <v>310</v>
      </c>
      <c r="C487">
        <f t="shared" si="21"/>
        <v>2024</v>
      </c>
      <c r="D487">
        <f t="shared" si="22"/>
        <v>2</v>
      </c>
      <c r="E487" t="str">
        <f t="shared" si="23"/>
        <v>2024-2</v>
      </c>
      <c r="K487" t="s">
        <v>103</v>
      </c>
      <c r="L487" t="s">
        <v>496</v>
      </c>
    </row>
    <row r="488" spans="1:12" x14ac:dyDescent="0.25">
      <c r="A488" t="s">
        <v>150</v>
      </c>
      <c r="B488" t="s">
        <v>310</v>
      </c>
      <c r="C488">
        <f t="shared" si="21"/>
        <v>2024</v>
      </c>
      <c r="D488">
        <f t="shared" si="22"/>
        <v>2</v>
      </c>
      <c r="E488" t="str">
        <f t="shared" si="23"/>
        <v>2024-2</v>
      </c>
      <c r="K488" t="s">
        <v>249</v>
      </c>
      <c r="L488" t="s">
        <v>493</v>
      </c>
    </row>
    <row r="489" spans="1:12" x14ac:dyDescent="0.25">
      <c r="A489" t="s">
        <v>165</v>
      </c>
      <c r="B489" t="s">
        <v>310</v>
      </c>
      <c r="C489">
        <f t="shared" si="21"/>
        <v>2024</v>
      </c>
      <c r="D489">
        <f t="shared" si="22"/>
        <v>2</v>
      </c>
      <c r="E489" t="str">
        <f t="shared" si="23"/>
        <v>2024-2</v>
      </c>
      <c r="K489" t="s">
        <v>249</v>
      </c>
      <c r="L489" t="s">
        <v>494</v>
      </c>
    </row>
    <row r="490" spans="1:12" x14ac:dyDescent="0.25">
      <c r="A490" t="s">
        <v>300</v>
      </c>
      <c r="B490" t="s">
        <v>311</v>
      </c>
      <c r="C490">
        <f t="shared" si="21"/>
        <v>2024</v>
      </c>
      <c r="D490">
        <f t="shared" si="22"/>
        <v>2</v>
      </c>
      <c r="E490" t="str">
        <f t="shared" si="23"/>
        <v>2024-2</v>
      </c>
      <c r="K490" t="s">
        <v>249</v>
      </c>
      <c r="L490" t="s">
        <v>496</v>
      </c>
    </row>
    <row r="491" spans="1:12" x14ac:dyDescent="0.25">
      <c r="A491" t="s">
        <v>190</v>
      </c>
      <c r="B491" t="s">
        <v>311</v>
      </c>
      <c r="C491">
        <f t="shared" si="21"/>
        <v>2024</v>
      </c>
      <c r="D491">
        <f t="shared" si="22"/>
        <v>2</v>
      </c>
      <c r="E491" t="str">
        <f t="shared" si="23"/>
        <v>2024-2</v>
      </c>
      <c r="K491" t="s">
        <v>207</v>
      </c>
      <c r="L491" t="s">
        <v>491</v>
      </c>
    </row>
    <row r="492" spans="1:12" x14ac:dyDescent="0.25">
      <c r="A492" t="s">
        <v>312</v>
      </c>
      <c r="B492" t="s">
        <v>311</v>
      </c>
      <c r="C492">
        <f t="shared" si="21"/>
        <v>2024</v>
      </c>
      <c r="D492">
        <f t="shared" si="22"/>
        <v>2</v>
      </c>
      <c r="E492" t="str">
        <f t="shared" si="23"/>
        <v>2024-2</v>
      </c>
      <c r="K492" t="s">
        <v>207</v>
      </c>
      <c r="L492" t="s">
        <v>492</v>
      </c>
    </row>
    <row r="493" spans="1:12" x14ac:dyDescent="0.25">
      <c r="A493" t="s">
        <v>85</v>
      </c>
      <c r="B493" t="s">
        <v>311</v>
      </c>
      <c r="C493">
        <f t="shared" si="21"/>
        <v>2024</v>
      </c>
      <c r="D493">
        <f t="shared" si="22"/>
        <v>2</v>
      </c>
      <c r="E493" t="str">
        <f t="shared" si="23"/>
        <v>2024-2</v>
      </c>
      <c r="K493" t="s">
        <v>207</v>
      </c>
      <c r="L493" t="s">
        <v>493</v>
      </c>
    </row>
    <row r="494" spans="1:12" x14ac:dyDescent="0.25">
      <c r="A494" t="s">
        <v>313</v>
      </c>
      <c r="B494" t="s">
        <v>311</v>
      </c>
      <c r="C494">
        <f t="shared" si="21"/>
        <v>2024</v>
      </c>
      <c r="D494">
        <f t="shared" si="22"/>
        <v>2</v>
      </c>
      <c r="E494" t="str">
        <f t="shared" si="23"/>
        <v>2024-2</v>
      </c>
      <c r="K494" t="s">
        <v>207</v>
      </c>
      <c r="L494" t="s">
        <v>495</v>
      </c>
    </row>
    <row r="495" spans="1:12" x14ac:dyDescent="0.25">
      <c r="A495" t="s">
        <v>37</v>
      </c>
      <c r="B495" t="s">
        <v>314</v>
      </c>
      <c r="C495">
        <f t="shared" si="21"/>
        <v>2024</v>
      </c>
      <c r="D495">
        <f t="shared" si="22"/>
        <v>3</v>
      </c>
      <c r="E495" t="str">
        <f t="shared" si="23"/>
        <v>2024-3</v>
      </c>
      <c r="K495" t="s">
        <v>207</v>
      </c>
      <c r="L495" t="s">
        <v>497</v>
      </c>
    </row>
    <row r="496" spans="1:12" x14ac:dyDescent="0.25">
      <c r="A496" t="s">
        <v>209</v>
      </c>
      <c r="B496" t="s">
        <v>314</v>
      </c>
      <c r="C496">
        <f t="shared" si="21"/>
        <v>2024</v>
      </c>
      <c r="D496">
        <f t="shared" si="22"/>
        <v>3</v>
      </c>
      <c r="E496" t="str">
        <f t="shared" si="23"/>
        <v>2024-3</v>
      </c>
      <c r="K496" t="s">
        <v>207</v>
      </c>
      <c r="L496" t="s">
        <v>498</v>
      </c>
    </row>
    <row r="497" spans="1:12" x14ac:dyDescent="0.25">
      <c r="A497" t="s">
        <v>71</v>
      </c>
      <c r="B497" t="s">
        <v>315</v>
      </c>
      <c r="C497">
        <f t="shared" si="21"/>
        <v>2024</v>
      </c>
      <c r="D497">
        <f t="shared" si="22"/>
        <v>3</v>
      </c>
      <c r="E497" t="str">
        <f t="shared" si="23"/>
        <v>2024-3</v>
      </c>
      <c r="K497" t="s">
        <v>207</v>
      </c>
      <c r="L497" t="s">
        <v>499</v>
      </c>
    </row>
    <row r="498" spans="1:12" x14ac:dyDescent="0.25">
      <c r="A498" t="s">
        <v>280</v>
      </c>
      <c r="B498" t="s">
        <v>315</v>
      </c>
      <c r="C498">
        <f t="shared" si="21"/>
        <v>2024</v>
      </c>
      <c r="D498">
        <f t="shared" si="22"/>
        <v>3</v>
      </c>
      <c r="E498" t="str">
        <f t="shared" si="23"/>
        <v>2024-3</v>
      </c>
      <c r="K498" t="s">
        <v>134</v>
      </c>
      <c r="L498" t="s">
        <v>490</v>
      </c>
    </row>
    <row r="499" spans="1:12" x14ac:dyDescent="0.25">
      <c r="A499" t="s">
        <v>86</v>
      </c>
      <c r="B499" t="s">
        <v>315</v>
      </c>
      <c r="C499">
        <f t="shared" si="21"/>
        <v>2024</v>
      </c>
      <c r="D499">
        <f t="shared" si="22"/>
        <v>3</v>
      </c>
      <c r="E499" t="str">
        <f t="shared" si="23"/>
        <v>2024-3</v>
      </c>
      <c r="K499" t="s">
        <v>134</v>
      </c>
      <c r="L499" t="s">
        <v>491</v>
      </c>
    </row>
    <row r="500" spans="1:12" x14ac:dyDescent="0.25">
      <c r="A500" t="s">
        <v>312</v>
      </c>
      <c r="B500" t="s">
        <v>315</v>
      </c>
      <c r="C500">
        <f t="shared" si="21"/>
        <v>2024</v>
      </c>
      <c r="D500">
        <f t="shared" si="22"/>
        <v>3</v>
      </c>
      <c r="E500" t="str">
        <f t="shared" si="23"/>
        <v>2024-3</v>
      </c>
      <c r="K500" t="s">
        <v>134</v>
      </c>
      <c r="L500" t="s">
        <v>498</v>
      </c>
    </row>
    <row r="501" spans="1:12" x14ac:dyDescent="0.25">
      <c r="A501" t="s">
        <v>85</v>
      </c>
      <c r="B501" t="s">
        <v>315</v>
      </c>
      <c r="C501">
        <f t="shared" si="21"/>
        <v>2024</v>
      </c>
      <c r="D501">
        <f t="shared" si="22"/>
        <v>3</v>
      </c>
      <c r="E501" t="str">
        <f t="shared" si="23"/>
        <v>2024-3</v>
      </c>
      <c r="K501" t="s">
        <v>134</v>
      </c>
      <c r="L501" t="s">
        <v>500</v>
      </c>
    </row>
    <row r="502" spans="1:12" x14ac:dyDescent="0.25">
      <c r="A502" t="s">
        <v>115</v>
      </c>
      <c r="B502" t="s">
        <v>315</v>
      </c>
      <c r="C502">
        <f t="shared" si="21"/>
        <v>2024</v>
      </c>
      <c r="D502">
        <f t="shared" si="22"/>
        <v>3</v>
      </c>
      <c r="E502" t="str">
        <f t="shared" si="23"/>
        <v>2024-3</v>
      </c>
      <c r="K502" t="s">
        <v>214</v>
      </c>
      <c r="L502" t="s">
        <v>492</v>
      </c>
    </row>
    <row r="503" spans="1:12" x14ac:dyDescent="0.25">
      <c r="A503" t="s">
        <v>156</v>
      </c>
      <c r="B503" t="s">
        <v>315</v>
      </c>
      <c r="C503">
        <f t="shared" si="21"/>
        <v>2024</v>
      </c>
      <c r="D503">
        <f t="shared" si="22"/>
        <v>3</v>
      </c>
      <c r="E503" t="str">
        <f t="shared" si="23"/>
        <v>2024-3</v>
      </c>
      <c r="K503" t="s">
        <v>214</v>
      </c>
      <c r="L503" t="s">
        <v>493</v>
      </c>
    </row>
    <row r="504" spans="1:12" x14ac:dyDescent="0.25">
      <c r="A504" t="s">
        <v>316</v>
      </c>
      <c r="B504" t="s">
        <v>315</v>
      </c>
      <c r="C504">
        <f t="shared" si="21"/>
        <v>2024</v>
      </c>
      <c r="D504">
        <f t="shared" si="22"/>
        <v>3</v>
      </c>
      <c r="E504" t="str">
        <f t="shared" si="23"/>
        <v>2024-3</v>
      </c>
      <c r="K504" t="s">
        <v>214</v>
      </c>
      <c r="L504" t="s">
        <v>497</v>
      </c>
    </row>
    <row r="505" spans="1:12" x14ac:dyDescent="0.25">
      <c r="A505" t="s">
        <v>317</v>
      </c>
      <c r="B505" t="s">
        <v>315</v>
      </c>
      <c r="C505">
        <f t="shared" si="21"/>
        <v>2024</v>
      </c>
      <c r="D505">
        <f t="shared" si="22"/>
        <v>3</v>
      </c>
      <c r="E505" t="str">
        <f t="shared" si="23"/>
        <v>2024-3</v>
      </c>
      <c r="K505" t="s">
        <v>191</v>
      </c>
      <c r="L505" t="s">
        <v>491</v>
      </c>
    </row>
    <row r="506" spans="1:12" x14ac:dyDescent="0.25">
      <c r="A506" t="s">
        <v>258</v>
      </c>
      <c r="B506" t="s">
        <v>318</v>
      </c>
      <c r="C506">
        <f t="shared" si="21"/>
        <v>2024</v>
      </c>
      <c r="D506">
        <f t="shared" si="22"/>
        <v>3</v>
      </c>
      <c r="E506" t="str">
        <f t="shared" si="23"/>
        <v>2024-3</v>
      </c>
      <c r="K506" t="s">
        <v>191</v>
      </c>
      <c r="L506" t="s">
        <v>492</v>
      </c>
    </row>
    <row r="507" spans="1:12" x14ac:dyDescent="0.25">
      <c r="A507" t="s">
        <v>232</v>
      </c>
      <c r="B507" t="s">
        <v>318</v>
      </c>
      <c r="C507">
        <f t="shared" si="21"/>
        <v>2024</v>
      </c>
      <c r="D507">
        <f t="shared" si="22"/>
        <v>3</v>
      </c>
      <c r="E507" t="str">
        <f t="shared" si="23"/>
        <v>2024-3</v>
      </c>
      <c r="K507" t="s">
        <v>191</v>
      </c>
      <c r="L507" t="s">
        <v>493</v>
      </c>
    </row>
    <row r="508" spans="1:12" x14ac:dyDescent="0.25">
      <c r="A508" t="s">
        <v>118</v>
      </c>
      <c r="B508" t="s">
        <v>318</v>
      </c>
      <c r="C508">
        <f t="shared" si="21"/>
        <v>2024</v>
      </c>
      <c r="D508">
        <f t="shared" si="22"/>
        <v>3</v>
      </c>
      <c r="E508" t="str">
        <f t="shared" si="23"/>
        <v>2024-3</v>
      </c>
      <c r="K508" t="s">
        <v>191</v>
      </c>
      <c r="L508" t="s">
        <v>495</v>
      </c>
    </row>
    <row r="509" spans="1:12" x14ac:dyDescent="0.25">
      <c r="A509" t="s">
        <v>227</v>
      </c>
      <c r="B509" t="s">
        <v>318</v>
      </c>
      <c r="C509">
        <f t="shared" si="21"/>
        <v>2024</v>
      </c>
      <c r="D509">
        <f t="shared" si="22"/>
        <v>3</v>
      </c>
      <c r="E509" t="str">
        <f t="shared" si="23"/>
        <v>2024-3</v>
      </c>
      <c r="K509" t="s">
        <v>191</v>
      </c>
      <c r="L509" t="s">
        <v>498</v>
      </c>
    </row>
    <row r="510" spans="1:12" x14ac:dyDescent="0.25">
      <c r="A510" t="s">
        <v>141</v>
      </c>
      <c r="B510" t="s">
        <v>319</v>
      </c>
      <c r="C510">
        <f t="shared" si="21"/>
        <v>2024</v>
      </c>
      <c r="D510">
        <f t="shared" si="22"/>
        <v>3</v>
      </c>
      <c r="E510" t="str">
        <f t="shared" si="23"/>
        <v>2024-3</v>
      </c>
      <c r="K510" t="s">
        <v>191</v>
      </c>
      <c r="L510" t="s">
        <v>500</v>
      </c>
    </row>
    <row r="511" spans="1:12" x14ac:dyDescent="0.25">
      <c r="A511" t="s">
        <v>171</v>
      </c>
      <c r="B511" t="s">
        <v>319</v>
      </c>
      <c r="C511">
        <f t="shared" si="21"/>
        <v>2024</v>
      </c>
      <c r="D511">
        <f t="shared" si="22"/>
        <v>3</v>
      </c>
      <c r="E511" t="str">
        <f t="shared" si="23"/>
        <v>2024-3</v>
      </c>
      <c r="K511" t="s">
        <v>57</v>
      </c>
      <c r="L511" t="s">
        <v>489</v>
      </c>
    </row>
    <row r="512" spans="1:12" x14ac:dyDescent="0.25">
      <c r="A512" t="s">
        <v>320</v>
      </c>
      <c r="B512" t="s">
        <v>319</v>
      </c>
      <c r="C512">
        <f t="shared" si="21"/>
        <v>2024</v>
      </c>
      <c r="D512">
        <f t="shared" si="22"/>
        <v>3</v>
      </c>
      <c r="E512" t="str">
        <f t="shared" si="23"/>
        <v>2024-3</v>
      </c>
      <c r="K512" t="s">
        <v>57</v>
      </c>
      <c r="L512" t="s">
        <v>490</v>
      </c>
    </row>
    <row r="513" spans="1:12" x14ac:dyDescent="0.25">
      <c r="A513" t="s">
        <v>171</v>
      </c>
      <c r="B513" t="s">
        <v>319</v>
      </c>
      <c r="C513">
        <f t="shared" si="21"/>
        <v>2024</v>
      </c>
      <c r="D513">
        <f t="shared" si="22"/>
        <v>3</v>
      </c>
      <c r="E513" t="str">
        <f t="shared" si="23"/>
        <v>2024-3</v>
      </c>
      <c r="K513" t="s">
        <v>57</v>
      </c>
      <c r="L513" t="s">
        <v>491</v>
      </c>
    </row>
    <row r="514" spans="1:12" x14ac:dyDescent="0.25">
      <c r="A514" t="s">
        <v>32</v>
      </c>
      <c r="B514" t="s">
        <v>321</v>
      </c>
      <c r="C514">
        <f t="shared" si="21"/>
        <v>2024</v>
      </c>
      <c r="D514">
        <f t="shared" si="22"/>
        <v>3</v>
      </c>
      <c r="E514" t="str">
        <f t="shared" si="23"/>
        <v>2024-3</v>
      </c>
      <c r="K514" t="s">
        <v>57</v>
      </c>
      <c r="L514" t="s">
        <v>492</v>
      </c>
    </row>
    <row r="515" spans="1:12" x14ac:dyDescent="0.25">
      <c r="A515" t="s">
        <v>9</v>
      </c>
      <c r="B515" t="s">
        <v>321</v>
      </c>
      <c r="C515">
        <f t="shared" ref="C515:C578" si="24">YEAR(B515)</f>
        <v>2024</v>
      </c>
      <c r="D515">
        <f t="shared" ref="D515:D578" si="25">MONTH(B515)</f>
        <v>3</v>
      </c>
      <c r="E515" t="str">
        <f t="shared" ref="E515:E578" si="26">C515&amp;"-"&amp;D515</f>
        <v>2024-3</v>
      </c>
      <c r="K515" t="s">
        <v>57</v>
      </c>
      <c r="L515" t="s">
        <v>493</v>
      </c>
    </row>
    <row r="516" spans="1:12" x14ac:dyDescent="0.25">
      <c r="A516" t="s">
        <v>67</v>
      </c>
      <c r="B516" t="s">
        <v>321</v>
      </c>
      <c r="C516">
        <f t="shared" si="24"/>
        <v>2024</v>
      </c>
      <c r="D516">
        <f t="shared" si="25"/>
        <v>3</v>
      </c>
      <c r="E516" t="str">
        <f t="shared" si="26"/>
        <v>2024-3</v>
      </c>
      <c r="K516" t="s">
        <v>57</v>
      </c>
      <c r="L516" t="s">
        <v>499</v>
      </c>
    </row>
    <row r="517" spans="1:12" x14ac:dyDescent="0.25">
      <c r="A517" t="s">
        <v>75</v>
      </c>
      <c r="B517" t="s">
        <v>321</v>
      </c>
      <c r="C517">
        <f t="shared" si="24"/>
        <v>2024</v>
      </c>
      <c r="D517">
        <f t="shared" si="25"/>
        <v>3</v>
      </c>
      <c r="E517" t="str">
        <f t="shared" si="26"/>
        <v>2024-3</v>
      </c>
      <c r="K517" t="s">
        <v>112</v>
      </c>
      <c r="L517" t="s">
        <v>490</v>
      </c>
    </row>
    <row r="518" spans="1:12" x14ac:dyDescent="0.25">
      <c r="A518" t="s">
        <v>228</v>
      </c>
      <c r="B518" t="s">
        <v>321</v>
      </c>
      <c r="C518">
        <f t="shared" si="24"/>
        <v>2024</v>
      </c>
      <c r="D518">
        <f t="shared" si="25"/>
        <v>3</v>
      </c>
      <c r="E518" t="str">
        <f t="shared" si="26"/>
        <v>2024-3</v>
      </c>
      <c r="K518" t="s">
        <v>112</v>
      </c>
      <c r="L518" t="s">
        <v>498</v>
      </c>
    </row>
    <row r="519" spans="1:12" x14ac:dyDescent="0.25">
      <c r="A519" t="s">
        <v>280</v>
      </c>
      <c r="B519" t="s">
        <v>321</v>
      </c>
      <c r="C519">
        <f t="shared" si="24"/>
        <v>2024</v>
      </c>
      <c r="D519">
        <f t="shared" si="25"/>
        <v>3</v>
      </c>
      <c r="E519" t="str">
        <f t="shared" si="26"/>
        <v>2024-3</v>
      </c>
      <c r="K519" t="s">
        <v>112</v>
      </c>
      <c r="L519" t="s">
        <v>499</v>
      </c>
    </row>
    <row r="520" spans="1:12" x14ac:dyDescent="0.25">
      <c r="A520" t="s">
        <v>322</v>
      </c>
      <c r="B520" t="s">
        <v>323</v>
      </c>
      <c r="C520">
        <f t="shared" si="24"/>
        <v>2024</v>
      </c>
      <c r="D520">
        <f t="shared" si="25"/>
        <v>3</v>
      </c>
      <c r="E520" t="str">
        <f t="shared" si="26"/>
        <v>2024-3</v>
      </c>
      <c r="K520" t="s">
        <v>112</v>
      </c>
      <c r="L520" t="s">
        <v>500</v>
      </c>
    </row>
    <row r="521" spans="1:12" x14ac:dyDescent="0.25">
      <c r="A521" t="s">
        <v>11</v>
      </c>
      <c r="B521" t="s">
        <v>324</v>
      </c>
      <c r="C521">
        <f t="shared" si="24"/>
        <v>2024</v>
      </c>
      <c r="D521">
        <f t="shared" si="25"/>
        <v>3</v>
      </c>
      <c r="E521" t="str">
        <f t="shared" si="26"/>
        <v>2024-3</v>
      </c>
      <c r="K521" t="s">
        <v>219</v>
      </c>
      <c r="L521" t="s">
        <v>492</v>
      </c>
    </row>
    <row r="522" spans="1:12" x14ac:dyDescent="0.25">
      <c r="A522" t="s">
        <v>82</v>
      </c>
      <c r="B522" t="s">
        <v>324</v>
      </c>
      <c r="C522">
        <f t="shared" si="24"/>
        <v>2024</v>
      </c>
      <c r="D522">
        <f t="shared" si="25"/>
        <v>3</v>
      </c>
      <c r="E522" t="str">
        <f t="shared" si="26"/>
        <v>2024-3</v>
      </c>
      <c r="K522" t="s">
        <v>219</v>
      </c>
      <c r="L522" t="s">
        <v>493</v>
      </c>
    </row>
    <row r="523" spans="1:12" x14ac:dyDescent="0.25">
      <c r="A523" t="s">
        <v>325</v>
      </c>
      <c r="B523" t="s">
        <v>324</v>
      </c>
      <c r="C523">
        <f t="shared" si="24"/>
        <v>2024</v>
      </c>
      <c r="D523">
        <f t="shared" si="25"/>
        <v>3</v>
      </c>
      <c r="E523" t="str">
        <f t="shared" si="26"/>
        <v>2024-3</v>
      </c>
      <c r="K523" t="s">
        <v>219</v>
      </c>
      <c r="L523" t="s">
        <v>494</v>
      </c>
    </row>
    <row r="524" spans="1:12" x14ac:dyDescent="0.25">
      <c r="A524" t="s">
        <v>47</v>
      </c>
      <c r="B524" t="s">
        <v>324</v>
      </c>
      <c r="C524">
        <f t="shared" si="24"/>
        <v>2024</v>
      </c>
      <c r="D524">
        <f t="shared" si="25"/>
        <v>3</v>
      </c>
      <c r="E524" t="str">
        <f t="shared" si="26"/>
        <v>2024-3</v>
      </c>
      <c r="K524" t="s">
        <v>151</v>
      </c>
      <c r="L524" t="s">
        <v>490</v>
      </c>
    </row>
    <row r="525" spans="1:12" x14ac:dyDescent="0.25">
      <c r="A525" t="s">
        <v>28</v>
      </c>
      <c r="B525" t="s">
        <v>324</v>
      </c>
      <c r="C525">
        <f t="shared" si="24"/>
        <v>2024</v>
      </c>
      <c r="D525">
        <f t="shared" si="25"/>
        <v>3</v>
      </c>
      <c r="E525" t="str">
        <f t="shared" si="26"/>
        <v>2024-3</v>
      </c>
      <c r="K525" t="s">
        <v>151</v>
      </c>
      <c r="L525" t="s">
        <v>492</v>
      </c>
    </row>
    <row r="526" spans="1:12" x14ac:dyDescent="0.25">
      <c r="A526" t="s">
        <v>121</v>
      </c>
      <c r="B526" t="s">
        <v>324</v>
      </c>
      <c r="C526">
        <f t="shared" si="24"/>
        <v>2024</v>
      </c>
      <c r="D526">
        <f t="shared" si="25"/>
        <v>3</v>
      </c>
      <c r="E526" t="str">
        <f t="shared" si="26"/>
        <v>2024-3</v>
      </c>
      <c r="K526" t="s">
        <v>151</v>
      </c>
      <c r="L526" t="s">
        <v>493</v>
      </c>
    </row>
    <row r="527" spans="1:12" x14ac:dyDescent="0.25">
      <c r="A527" t="s">
        <v>151</v>
      </c>
      <c r="B527" t="s">
        <v>324</v>
      </c>
      <c r="C527">
        <f t="shared" si="24"/>
        <v>2024</v>
      </c>
      <c r="D527">
        <f t="shared" si="25"/>
        <v>3</v>
      </c>
      <c r="E527" t="str">
        <f t="shared" si="26"/>
        <v>2024-3</v>
      </c>
      <c r="K527" t="s">
        <v>151</v>
      </c>
      <c r="L527" t="s">
        <v>495</v>
      </c>
    </row>
    <row r="528" spans="1:12" x14ac:dyDescent="0.25">
      <c r="A528" t="s">
        <v>268</v>
      </c>
      <c r="B528" t="s">
        <v>324</v>
      </c>
      <c r="C528">
        <f t="shared" si="24"/>
        <v>2024</v>
      </c>
      <c r="D528">
        <f t="shared" si="25"/>
        <v>3</v>
      </c>
      <c r="E528" t="str">
        <f t="shared" si="26"/>
        <v>2024-3</v>
      </c>
      <c r="K528" t="s">
        <v>151</v>
      </c>
      <c r="L528" t="s">
        <v>499</v>
      </c>
    </row>
    <row r="529" spans="1:12" x14ac:dyDescent="0.25">
      <c r="A529" t="s">
        <v>109</v>
      </c>
      <c r="B529" t="s">
        <v>324</v>
      </c>
      <c r="C529">
        <f t="shared" si="24"/>
        <v>2024</v>
      </c>
      <c r="D529">
        <f t="shared" si="25"/>
        <v>3</v>
      </c>
      <c r="E529" t="str">
        <f t="shared" si="26"/>
        <v>2024-3</v>
      </c>
      <c r="K529" t="s">
        <v>151</v>
      </c>
      <c r="L529" t="s">
        <v>500</v>
      </c>
    </row>
    <row r="530" spans="1:12" x14ac:dyDescent="0.25">
      <c r="A530" t="s">
        <v>31</v>
      </c>
      <c r="B530" t="s">
        <v>326</v>
      </c>
      <c r="C530">
        <f t="shared" si="24"/>
        <v>2024</v>
      </c>
      <c r="D530">
        <f t="shared" si="25"/>
        <v>3</v>
      </c>
      <c r="E530" t="str">
        <f t="shared" si="26"/>
        <v>2024-3</v>
      </c>
      <c r="K530" t="s">
        <v>45</v>
      </c>
      <c r="L530" t="s">
        <v>489</v>
      </c>
    </row>
    <row r="531" spans="1:12" x14ac:dyDescent="0.25">
      <c r="A531" t="s">
        <v>282</v>
      </c>
      <c r="B531" t="s">
        <v>326</v>
      </c>
      <c r="C531">
        <f t="shared" si="24"/>
        <v>2024</v>
      </c>
      <c r="D531">
        <f t="shared" si="25"/>
        <v>3</v>
      </c>
      <c r="E531" t="str">
        <f t="shared" si="26"/>
        <v>2024-3</v>
      </c>
      <c r="K531" t="s">
        <v>45</v>
      </c>
      <c r="L531" t="s">
        <v>490</v>
      </c>
    </row>
    <row r="532" spans="1:12" x14ac:dyDescent="0.25">
      <c r="A532" t="s">
        <v>173</v>
      </c>
      <c r="B532" t="s">
        <v>326</v>
      </c>
      <c r="C532">
        <f t="shared" si="24"/>
        <v>2024</v>
      </c>
      <c r="D532">
        <f t="shared" si="25"/>
        <v>3</v>
      </c>
      <c r="E532" t="str">
        <f t="shared" si="26"/>
        <v>2024-3</v>
      </c>
      <c r="K532" t="s">
        <v>45</v>
      </c>
      <c r="L532" t="s">
        <v>494</v>
      </c>
    </row>
    <row r="533" spans="1:12" x14ac:dyDescent="0.25">
      <c r="A533" t="s">
        <v>98</v>
      </c>
      <c r="B533" t="s">
        <v>326</v>
      </c>
      <c r="C533">
        <f t="shared" si="24"/>
        <v>2024</v>
      </c>
      <c r="D533">
        <f t="shared" si="25"/>
        <v>3</v>
      </c>
      <c r="E533" t="str">
        <f t="shared" si="26"/>
        <v>2024-3</v>
      </c>
      <c r="K533" t="s">
        <v>171</v>
      </c>
      <c r="L533" t="s">
        <v>491</v>
      </c>
    </row>
    <row r="534" spans="1:12" x14ac:dyDescent="0.25">
      <c r="A534" t="s">
        <v>79</v>
      </c>
      <c r="B534" t="s">
        <v>327</v>
      </c>
      <c r="C534">
        <f t="shared" si="24"/>
        <v>2024</v>
      </c>
      <c r="D534">
        <f t="shared" si="25"/>
        <v>3</v>
      </c>
      <c r="E534" t="str">
        <f t="shared" si="26"/>
        <v>2024-3</v>
      </c>
      <c r="K534" t="s">
        <v>171</v>
      </c>
      <c r="L534" t="s">
        <v>495</v>
      </c>
    </row>
    <row r="535" spans="1:12" x14ac:dyDescent="0.25">
      <c r="A535" t="s">
        <v>328</v>
      </c>
      <c r="B535" t="s">
        <v>327</v>
      </c>
      <c r="C535">
        <f t="shared" si="24"/>
        <v>2024</v>
      </c>
      <c r="D535">
        <f t="shared" si="25"/>
        <v>3</v>
      </c>
      <c r="E535" t="str">
        <f t="shared" si="26"/>
        <v>2024-3</v>
      </c>
      <c r="K535" t="s">
        <v>171</v>
      </c>
      <c r="L535" t="s">
        <v>497</v>
      </c>
    </row>
    <row r="536" spans="1:12" x14ac:dyDescent="0.25">
      <c r="A536" t="s">
        <v>270</v>
      </c>
      <c r="B536" t="s">
        <v>327</v>
      </c>
      <c r="C536">
        <f t="shared" si="24"/>
        <v>2024</v>
      </c>
      <c r="D536">
        <f t="shared" si="25"/>
        <v>3</v>
      </c>
      <c r="E536" t="str">
        <f t="shared" si="26"/>
        <v>2024-3</v>
      </c>
      <c r="K536" t="s">
        <v>171</v>
      </c>
      <c r="L536" t="s">
        <v>498</v>
      </c>
    </row>
    <row r="537" spans="1:12" x14ac:dyDescent="0.25">
      <c r="A537" t="s">
        <v>59</v>
      </c>
      <c r="B537" t="s">
        <v>327</v>
      </c>
      <c r="C537">
        <f t="shared" si="24"/>
        <v>2024</v>
      </c>
      <c r="D537">
        <f t="shared" si="25"/>
        <v>3</v>
      </c>
      <c r="E537" t="str">
        <f t="shared" si="26"/>
        <v>2024-3</v>
      </c>
      <c r="K537" t="s">
        <v>171</v>
      </c>
      <c r="L537" t="s">
        <v>500</v>
      </c>
    </row>
    <row r="538" spans="1:12" x14ac:dyDescent="0.25">
      <c r="A538" t="s">
        <v>271</v>
      </c>
      <c r="B538" t="s">
        <v>329</v>
      </c>
      <c r="C538">
        <f t="shared" si="24"/>
        <v>2024</v>
      </c>
      <c r="D538">
        <f t="shared" si="25"/>
        <v>3</v>
      </c>
      <c r="E538" t="str">
        <f t="shared" si="26"/>
        <v>2024-3</v>
      </c>
      <c r="K538" t="s">
        <v>256</v>
      </c>
      <c r="L538" t="s">
        <v>493</v>
      </c>
    </row>
    <row r="539" spans="1:12" x14ac:dyDescent="0.25">
      <c r="A539" t="s">
        <v>330</v>
      </c>
      <c r="B539" t="s">
        <v>329</v>
      </c>
      <c r="C539">
        <f t="shared" si="24"/>
        <v>2024</v>
      </c>
      <c r="D539">
        <f t="shared" si="25"/>
        <v>3</v>
      </c>
      <c r="E539" t="str">
        <f t="shared" si="26"/>
        <v>2024-3</v>
      </c>
      <c r="K539" t="s">
        <v>256</v>
      </c>
      <c r="L539" t="s">
        <v>494</v>
      </c>
    </row>
    <row r="540" spans="1:12" x14ac:dyDescent="0.25">
      <c r="A540" t="s">
        <v>180</v>
      </c>
      <c r="B540" t="s">
        <v>329</v>
      </c>
      <c r="C540">
        <f t="shared" si="24"/>
        <v>2024</v>
      </c>
      <c r="D540">
        <f t="shared" si="25"/>
        <v>3</v>
      </c>
      <c r="E540" t="str">
        <f t="shared" si="26"/>
        <v>2024-3</v>
      </c>
      <c r="K540" t="s">
        <v>256</v>
      </c>
      <c r="L540" t="s">
        <v>498</v>
      </c>
    </row>
    <row r="541" spans="1:12" x14ac:dyDescent="0.25">
      <c r="A541" t="s">
        <v>20</v>
      </c>
      <c r="B541" t="s">
        <v>331</v>
      </c>
      <c r="C541">
        <f t="shared" si="24"/>
        <v>2024</v>
      </c>
      <c r="D541">
        <f t="shared" si="25"/>
        <v>3</v>
      </c>
      <c r="E541" t="str">
        <f t="shared" si="26"/>
        <v>2024-3</v>
      </c>
      <c r="K541" t="s">
        <v>256</v>
      </c>
      <c r="L541" t="s">
        <v>499</v>
      </c>
    </row>
    <row r="542" spans="1:12" x14ac:dyDescent="0.25">
      <c r="A542" t="s">
        <v>300</v>
      </c>
      <c r="B542" t="s">
        <v>331</v>
      </c>
      <c r="C542">
        <f t="shared" si="24"/>
        <v>2024</v>
      </c>
      <c r="D542">
        <f t="shared" si="25"/>
        <v>3</v>
      </c>
      <c r="E542" t="str">
        <f t="shared" si="26"/>
        <v>2024-3</v>
      </c>
      <c r="K542" t="s">
        <v>256</v>
      </c>
      <c r="L542" t="s">
        <v>500</v>
      </c>
    </row>
    <row r="543" spans="1:12" x14ac:dyDescent="0.25">
      <c r="A543" t="s">
        <v>187</v>
      </c>
      <c r="B543" t="s">
        <v>332</v>
      </c>
      <c r="C543">
        <f t="shared" si="24"/>
        <v>2024</v>
      </c>
      <c r="D543">
        <f t="shared" si="25"/>
        <v>3</v>
      </c>
      <c r="E543" t="str">
        <f t="shared" si="26"/>
        <v>2024-3</v>
      </c>
      <c r="K543" t="s">
        <v>429</v>
      </c>
      <c r="L543" t="s">
        <v>499</v>
      </c>
    </row>
    <row r="544" spans="1:12" x14ac:dyDescent="0.25">
      <c r="A544" t="s">
        <v>107</v>
      </c>
      <c r="B544" t="s">
        <v>332</v>
      </c>
      <c r="C544">
        <f t="shared" si="24"/>
        <v>2024</v>
      </c>
      <c r="D544">
        <f t="shared" si="25"/>
        <v>3</v>
      </c>
      <c r="E544" t="str">
        <f t="shared" si="26"/>
        <v>2024-3</v>
      </c>
      <c r="K544" t="s">
        <v>98</v>
      </c>
      <c r="L544" t="s">
        <v>489</v>
      </c>
    </row>
    <row r="545" spans="1:12" x14ac:dyDescent="0.25">
      <c r="A545" t="s">
        <v>108</v>
      </c>
      <c r="B545" t="s">
        <v>332</v>
      </c>
      <c r="C545">
        <f t="shared" si="24"/>
        <v>2024</v>
      </c>
      <c r="D545">
        <f t="shared" si="25"/>
        <v>3</v>
      </c>
      <c r="E545" t="str">
        <f t="shared" si="26"/>
        <v>2024-3</v>
      </c>
      <c r="K545" t="s">
        <v>98</v>
      </c>
      <c r="L545" t="s">
        <v>492</v>
      </c>
    </row>
    <row r="546" spans="1:12" x14ac:dyDescent="0.25">
      <c r="A546" t="s">
        <v>191</v>
      </c>
      <c r="B546" t="s">
        <v>332</v>
      </c>
      <c r="C546">
        <f t="shared" si="24"/>
        <v>2024</v>
      </c>
      <c r="D546">
        <f t="shared" si="25"/>
        <v>3</v>
      </c>
      <c r="E546" t="str">
        <f t="shared" si="26"/>
        <v>2024-3</v>
      </c>
      <c r="K546" t="s">
        <v>98</v>
      </c>
      <c r="L546" t="s">
        <v>495</v>
      </c>
    </row>
    <row r="547" spans="1:12" x14ac:dyDescent="0.25">
      <c r="A547" t="s">
        <v>172</v>
      </c>
      <c r="B547" t="s">
        <v>332</v>
      </c>
      <c r="C547">
        <f t="shared" si="24"/>
        <v>2024</v>
      </c>
      <c r="D547">
        <f t="shared" si="25"/>
        <v>3</v>
      </c>
      <c r="E547" t="str">
        <f t="shared" si="26"/>
        <v>2024-3</v>
      </c>
      <c r="K547" t="s">
        <v>98</v>
      </c>
      <c r="L547" t="s">
        <v>496</v>
      </c>
    </row>
    <row r="548" spans="1:12" x14ac:dyDescent="0.25">
      <c r="A548" t="s">
        <v>150</v>
      </c>
      <c r="B548" t="s">
        <v>332</v>
      </c>
      <c r="C548">
        <f t="shared" si="24"/>
        <v>2024</v>
      </c>
      <c r="D548">
        <f t="shared" si="25"/>
        <v>3</v>
      </c>
      <c r="E548" t="str">
        <f t="shared" si="26"/>
        <v>2024-3</v>
      </c>
      <c r="K548" t="s">
        <v>98</v>
      </c>
      <c r="L548" t="s">
        <v>497</v>
      </c>
    </row>
    <row r="549" spans="1:12" x14ac:dyDescent="0.25">
      <c r="A549" t="s">
        <v>6</v>
      </c>
      <c r="B549" t="s">
        <v>332</v>
      </c>
      <c r="C549">
        <f t="shared" si="24"/>
        <v>2024</v>
      </c>
      <c r="D549">
        <f t="shared" si="25"/>
        <v>3</v>
      </c>
      <c r="E549" t="str">
        <f t="shared" si="26"/>
        <v>2024-3</v>
      </c>
      <c r="K549" t="s">
        <v>98</v>
      </c>
      <c r="L549" t="s">
        <v>500</v>
      </c>
    </row>
    <row r="550" spans="1:12" x14ac:dyDescent="0.25">
      <c r="A550" t="s">
        <v>62</v>
      </c>
      <c r="B550" t="s">
        <v>332</v>
      </c>
      <c r="C550">
        <f t="shared" si="24"/>
        <v>2024</v>
      </c>
      <c r="D550">
        <f t="shared" si="25"/>
        <v>3</v>
      </c>
      <c r="E550" t="str">
        <f t="shared" si="26"/>
        <v>2024-3</v>
      </c>
      <c r="K550" t="s">
        <v>338</v>
      </c>
      <c r="L550" t="s">
        <v>495</v>
      </c>
    </row>
    <row r="551" spans="1:12" x14ac:dyDescent="0.25">
      <c r="A551" t="s">
        <v>207</v>
      </c>
      <c r="B551" t="s">
        <v>332</v>
      </c>
      <c r="C551">
        <f t="shared" si="24"/>
        <v>2024</v>
      </c>
      <c r="D551">
        <f t="shared" si="25"/>
        <v>3</v>
      </c>
      <c r="E551" t="str">
        <f t="shared" si="26"/>
        <v>2024-3</v>
      </c>
      <c r="K551" t="s">
        <v>338</v>
      </c>
      <c r="L551" t="s">
        <v>496</v>
      </c>
    </row>
    <row r="552" spans="1:12" x14ac:dyDescent="0.25">
      <c r="A552" t="s">
        <v>75</v>
      </c>
      <c r="B552" t="s">
        <v>332</v>
      </c>
      <c r="C552">
        <f t="shared" si="24"/>
        <v>2024</v>
      </c>
      <c r="D552">
        <f t="shared" si="25"/>
        <v>3</v>
      </c>
      <c r="E552" t="str">
        <f t="shared" si="26"/>
        <v>2024-3</v>
      </c>
      <c r="K552" t="s">
        <v>24</v>
      </c>
      <c r="L552" t="s">
        <v>489</v>
      </c>
    </row>
    <row r="553" spans="1:12" x14ac:dyDescent="0.25">
      <c r="A553" t="s">
        <v>293</v>
      </c>
      <c r="B553" t="s">
        <v>333</v>
      </c>
      <c r="C553">
        <f t="shared" si="24"/>
        <v>2024</v>
      </c>
      <c r="D553">
        <f t="shared" si="25"/>
        <v>3</v>
      </c>
      <c r="E553" t="str">
        <f t="shared" si="26"/>
        <v>2024-3</v>
      </c>
      <c r="K553" t="s">
        <v>24</v>
      </c>
      <c r="L553" t="s">
        <v>490</v>
      </c>
    </row>
    <row r="554" spans="1:12" x14ac:dyDescent="0.25">
      <c r="A554" t="s">
        <v>195</v>
      </c>
      <c r="B554" t="s">
        <v>333</v>
      </c>
      <c r="C554">
        <f t="shared" si="24"/>
        <v>2024</v>
      </c>
      <c r="D554">
        <f t="shared" si="25"/>
        <v>3</v>
      </c>
      <c r="E554" t="str">
        <f t="shared" si="26"/>
        <v>2024-3</v>
      </c>
      <c r="K554" t="s">
        <v>24</v>
      </c>
      <c r="L554" t="s">
        <v>493</v>
      </c>
    </row>
    <row r="555" spans="1:12" x14ac:dyDescent="0.25">
      <c r="A555" t="s">
        <v>264</v>
      </c>
      <c r="B555" t="s">
        <v>333</v>
      </c>
      <c r="C555">
        <f t="shared" si="24"/>
        <v>2024</v>
      </c>
      <c r="D555">
        <f t="shared" si="25"/>
        <v>3</v>
      </c>
      <c r="E555" t="str">
        <f t="shared" si="26"/>
        <v>2024-3</v>
      </c>
      <c r="K555" t="s">
        <v>24</v>
      </c>
      <c r="L555" t="s">
        <v>496</v>
      </c>
    </row>
    <row r="556" spans="1:12" x14ac:dyDescent="0.25">
      <c r="A556" t="s">
        <v>304</v>
      </c>
      <c r="B556" t="s">
        <v>333</v>
      </c>
      <c r="C556">
        <f t="shared" si="24"/>
        <v>2024</v>
      </c>
      <c r="D556">
        <f t="shared" si="25"/>
        <v>3</v>
      </c>
      <c r="E556" t="str">
        <f t="shared" si="26"/>
        <v>2024-3</v>
      </c>
      <c r="K556" t="s">
        <v>24</v>
      </c>
      <c r="L556" t="s">
        <v>498</v>
      </c>
    </row>
    <row r="557" spans="1:12" x14ac:dyDescent="0.25">
      <c r="A557" t="s">
        <v>173</v>
      </c>
      <c r="B557" t="s">
        <v>333</v>
      </c>
      <c r="C557">
        <f t="shared" si="24"/>
        <v>2024</v>
      </c>
      <c r="D557">
        <f t="shared" si="25"/>
        <v>3</v>
      </c>
      <c r="E557" t="str">
        <f t="shared" si="26"/>
        <v>2024-3</v>
      </c>
      <c r="K557" t="s">
        <v>198</v>
      </c>
      <c r="L557" t="s">
        <v>491</v>
      </c>
    </row>
    <row r="558" spans="1:12" x14ac:dyDescent="0.25">
      <c r="A558" t="s">
        <v>282</v>
      </c>
      <c r="B558" t="s">
        <v>334</v>
      </c>
      <c r="C558">
        <f t="shared" si="24"/>
        <v>2024</v>
      </c>
      <c r="D558">
        <f t="shared" si="25"/>
        <v>3</v>
      </c>
      <c r="E558" t="str">
        <f t="shared" si="26"/>
        <v>2024-3</v>
      </c>
      <c r="K558" t="s">
        <v>198</v>
      </c>
      <c r="L558" t="s">
        <v>493</v>
      </c>
    </row>
    <row r="559" spans="1:12" x14ac:dyDescent="0.25">
      <c r="A559" t="s">
        <v>172</v>
      </c>
      <c r="B559" t="s">
        <v>334</v>
      </c>
      <c r="C559">
        <f t="shared" si="24"/>
        <v>2024</v>
      </c>
      <c r="D559">
        <f t="shared" si="25"/>
        <v>3</v>
      </c>
      <c r="E559" t="str">
        <f t="shared" si="26"/>
        <v>2024-3</v>
      </c>
      <c r="K559" t="s">
        <v>198</v>
      </c>
      <c r="L559" t="s">
        <v>494</v>
      </c>
    </row>
    <row r="560" spans="1:12" x14ac:dyDescent="0.25">
      <c r="A560" t="s">
        <v>335</v>
      </c>
      <c r="B560" t="s">
        <v>336</v>
      </c>
      <c r="C560">
        <f t="shared" si="24"/>
        <v>2024</v>
      </c>
      <c r="D560">
        <f t="shared" si="25"/>
        <v>3</v>
      </c>
      <c r="E560" t="str">
        <f t="shared" si="26"/>
        <v>2024-3</v>
      </c>
      <c r="K560" t="s">
        <v>198</v>
      </c>
      <c r="L560" t="s">
        <v>495</v>
      </c>
    </row>
    <row r="561" spans="1:12" x14ac:dyDescent="0.25">
      <c r="A561" t="s">
        <v>66</v>
      </c>
      <c r="B561" t="s">
        <v>336</v>
      </c>
      <c r="C561">
        <f t="shared" si="24"/>
        <v>2024</v>
      </c>
      <c r="D561">
        <f t="shared" si="25"/>
        <v>3</v>
      </c>
      <c r="E561" t="str">
        <f t="shared" si="26"/>
        <v>2024-3</v>
      </c>
      <c r="K561" t="s">
        <v>123</v>
      </c>
      <c r="L561" t="s">
        <v>490</v>
      </c>
    </row>
    <row r="562" spans="1:12" x14ac:dyDescent="0.25">
      <c r="A562" t="s">
        <v>198</v>
      </c>
      <c r="B562" t="s">
        <v>336</v>
      </c>
      <c r="C562">
        <f t="shared" si="24"/>
        <v>2024</v>
      </c>
      <c r="D562">
        <f t="shared" si="25"/>
        <v>3</v>
      </c>
      <c r="E562" t="str">
        <f t="shared" si="26"/>
        <v>2024-3</v>
      </c>
      <c r="K562" t="s">
        <v>123</v>
      </c>
      <c r="L562" t="s">
        <v>492</v>
      </c>
    </row>
    <row r="563" spans="1:12" x14ac:dyDescent="0.25">
      <c r="A563" t="s">
        <v>138</v>
      </c>
      <c r="B563" t="s">
        <v>337</v>
      </c>
      <c r="C563">
        <f t="shared" si="24"/>
        <v>2024</v>
      </c>
      <c r="D563">
        <f t="shared" si="25"/>
        <v>3</v>
      </c>
      <c r="E563" t="str">
        <f t="shared" si="26"/>
        <v>2024-3</v>
      </c>
      <c r="K563" t="s">
        <v>123</v>
      </c>
      <c r="L563" t="s">
        <v>494</v>
      </c>
    </row>
    <row r="564" spans="1:12" x14ac:dyDescent="0.25">
      <c r="A564" t="s">
        <v>116</v>
      </c>
      <c r="B564" t="s">
        <v>337</v>
      </c>
      <c r="C564">
        <f t="shared" si="24"/>
        <v>2024</v>
      </c>
      <c r="D564">
        <f t="shared" si="25"/>
        <v>3</v>
      </c>
      <c r="E564" t="str">
        <f t="shared" si="26"/>
        <v>2024-3</v>
      </c>
      <c r="K564" t="s">
        <v>123</v>
      </c>
      <c r="L564" t="s">
        <v>498</v>
      </c>
    </row>
    <row r="565" spans="1:12" x14ac:dyDescent="0.25">
      <c r="A565" t="s">
        <v>338</v>
      </c>
      <c r="B565" t="s">
        <v>339</v>
      </c>
      <c r="C565">
        <f t="shared" si="24"/>
        <v>2024</v>
      </c>
      <c r="D565">
        <f t="shared" si="25"/>
        <v>3</v>
      </c>
      <c r="E565" t="str">
        <f t="shared" si="26"/>
        <v>2024-3</v>
      </c>
      <c r="K565" t="s">
        <v>29</v>
      </c>
      <c r="L565" t="s">
        <v>489</v>
      </c>
    </row>
    <row r="566" spans="1:12" x14ac:dyDescent="0.25">
      <c r="A566" t="s">
        <v>74</v>
      </c>
      <c r="B566" t="s">
        <v>339</v>
      </c>
      <c r="C566">
        <f t="shared" si="24"/>
        <v>2024</v>
      </c>
      <c r="D566">
        <f t="shared" si="25"/>
        <v>3</v>
      </c>
      <c r="E566" t="str">
        <f t="shared" si="26"/>
        <v>2024-3</v>
      </c>
      <c r="K566" t="s">
        <v>29</v>
      </c>
      <c r="L566" t="s">
        <v>490</v>
      </c>
    </row>
    <row r="567" spans="1:12" x14ac:dyDescent="0.25">
      <c r="A567" t="s">
        <v>144</v>
      </c>
      <c r="B567" t="s">
        <v>339</v>
      </c>
      <c r="C567">
        <f t="shared" si="24"/>
        <v>2024</v>
      </c>
      <c r="D567">
        <f t="shared" si="25"/>
        <v>3</v>
      </c>
      <c r="E567" t="str">
        <f t="shared" si="26"/>
        <v>2024-3</v>
      </c>
      <c r="K567" t="s">
        <v>29</v>
      </c>
      <c r="L567" t="s">
        <v>491</v>
      </c>
    </row>
    <row r="568" spans="1:12" x14ac:dyDescent="0.25">
      <c r="A568" t="s">
        <v>82</v>
      </c>
      <c r="B568" t="s">
        <v>339</v>
      </c>
      <c r="C568">
        <f t="shared" si="24"/>
        <v>2024</v>
      </c>
      <c r="D568">
        <f t="shared" si="25"/>
        <v>3</v>
      </c>
      <c r="E568" t="str">
        <f t="shared" si="26"/>
        <v>2024-3</v>
      </c>
      <c r="K568" t="s">
        <v>29</v>
      </c>
      <c r="L568" t="s">
        <v>497</v>
      </c>
    </row>
    <row r="569" spans="1:12" x14ac:dyDescent="0.25">
      <c r="A569" t="s">
        <v>139</v>
      </c>
      <c r="B569" t="s">
        <v>339</v>
      </c>
      <c r="C569">
        <f t="shared" si="24"/>
        <v>2024</v>
      </c>
      <c r="D569">
        <f t="shared" si="25"/>
        <v>3</v>
      </c>
      <c r="E569" t="str">
        <f t="shared" si="26"/>
        <v>2024-3</v>
      </c>
      <c r="K569" t="s">
        <v>70</v>
      </c>
      <c r="L569" t="s">
        <v>489</v>
      </c>
    </row>
    <row r="570" spans="1:12" x14ac:dyDescent="0.25">
      <c r="A570" t="s">
        <v>77</v>
      </c>
      <c r="B570" t="s">
        <v>339</v>
      </c>
      <c r="C570">
        <f t="shared" si="24"/>
        <v>2024</v>
      </c>
      <c r="D570">
        <f t="shared" si="25"/>
        <v>3</v>
      </c>
      <c r="E570" t="str">
        <f t="shared" si="26"/>
        <v>2024-3</v>
      </c>
      <c r="K570" t="s">
        <v>70</v>
      </c>
      <c r="L570" t="s">
        <v>490</v>
      </c>
    </row>
    <row r="571" spans="1:12" x14ac:dyDescent="0.25">
      <c r="A571" t="s">
        <v>212</v>
      </c>
      <c r="B571" t="s">
        <v>339</v>
      </c>
      <c r="C571">
        <f t="shared" si="24"/>
        <v>2024</v>
      </c>
      <c r="D571">
        <f t="shared" si="25"/>
        <v>3</v>
      </c>
      <c r="E571" t="str">
        <f t="shared" si="26"/>
        <v>2024-3</v>
      </c>
      <c r="K571" t="s">
        <v>70</v>
      </c>
      <c r="L571" t="s">
        <v>493</v>
      </c>
    </row>
    <row r="572" spans="1:12" x14ac:dyDescent="0.25">
      <c r="A572" t="s">
        <v>316</v>
      </c>
      <c r="B572" t="s">
        <v>339</v>
      </c>
      <c r="C572">
        <f t="shared" si="24"/>
        <v>2024</v>
      </c>
      <c r="D572">
        <f t="shared" si="25"/>
        <v>3</v>
      </c>
      <c r="E572" t="str">
        <f t="shared" si="26"/>
        <v>2024-3</v>
      </c>
      <c r="K572" t="s">
        <v>70</v>
      </c>
      <c r="L572" t="s">
        <v>494</v>
      </c>
    </row>
    <row r="573" spans="1:12" x14ac:dyDescent="0.25">
      <c r="A573" t="s">
        <v>320</v>
      </c>
      <c r="B573" t="s">
        <v>339</v>
      </c>
      <c r="C573">
        <f t="shared" si="24"/>
        <v>2024</v>
      </c>
      <c r="D573">
        <f t="shared" si="25"/>
        <v>3</v>
      </c>
      <c r="E573" t="str">
        <f t="shared" si="26"/>
        <v>2024-3</v>
      </c>
      <c r="K573" t="s">
        <v>70</v>
      </c>
      <c r="L573" t="s">
        <v>497</v>
      </c>
    </row>
    <row r="574" spans="1:12" x14ac:dyDescent="0.25">
      <c r="A574" t="s">
        <v>74</v>
      </c>
      <c r="B574" t="s">
        <v>339</v>
      </c>
      <c r="C574">
        <f t="shared" si="24"/>
        <v>2024</v>
      </c>
      <c r="D574">
        <f t="shared" si="25"/>
        <v>3</v>
      </c>
      <c r="E574" t="str">
        <f t="shared" si="26"/>
        <v>2024-3</v>
      </c>
      <c r="K574" t="s">
        <v>70</v>
      </c>
      <c r="L574" t="s">
        <v>499</v>
      </c>
    </row>
    <row r="575" spans="1:12" x14ac:dyDescent="0.25">
      <c r="A575" t="s">
        <v>38</v>
      </c>
      <c r="B575" t="s">
        <v>339</v>
      </c>
      <c r="C575">
        <f t="shared" si="24"/>
        <v>2024</v>
      </c>
      <c r="D575">
        <f t="shared" si="25"/>
        <v>3</v>
      </c>
      <c r="E575" t="str">
        <f t="shared" si="26"/>
        <v>2024-3</v>
      </c>
      <c r="K575" t="s">
        <v>82</v>
      </c>
      <c r="L575" t="s">
        <v>489</v>
      </c>
    </row>
    <row r="576" spans="1:12" x14ac:dyDescent="0.25">
      <c r="A576" t="s">
        <v>86</v>
      </c>
      <c r="B576" t="s">
        <v>339</v>
      </c>
      <c r="C576">
        <f t="shared" si="24"/>
        <v>2024</v>
      </c>
      <c r="D576">
        <f t="shared" si="25"/>
        <v>3</v>
      </c>
      <c r="E576" t="str">
        <f t="shared" si="26"/>
        <v>2024-3</v>
      </c>
      <c r="K576" t="s">
        <v>82</v>
      </c>
      <c r="L576" t="s">
        <v>495</v>
      </c>
    </row>
    <row r="577" spans="1:12" x14ac:dyDescent="0.25">
      <c r="A577" t="s">
        <v>272</v>
      </c>
      <c r="B577" t="s">
        <v>339</v>
      </c>
      <c r="C577">
        <f t="shared" si="24"/>
        <v>2024</v>
      </c>
      <c r="D577">
        <f t="shared" si="25"/>
        <v>3</v>
      </c>
      <c r="E577" t="str">
        <f t="shared" si="26"/>
        <v>2024-3</v>
      </c>
      <c r="K577" t="s">
        <v>82</v>
      </c>
      <c r="L577" t="s">
        <v>496</v>
      </c>
    </row>
    <row r="578" spans="1:12" x14ac:dyDescent="0.25">
      <c r="A578" t="s">
        <v>198</v>
      </c>
      <c r="B578" t="s">
        <v>340</v>
      </c>
      <c r="C578">
        <f t="shared" si="24"/>
        <v>2024</v>
      </c>
      <c r="D578">
        <f t="shared" si="25"/>
        <v>3</v>
      </c>
      <c r="E578" t="str">
        <f t="shared" si="26"/>
        <v>2024-3</v>
      </c>
      <c r="K578" t="s">
        <v>82</v>
      </c>
      <c r="L578" t="s">
        <v>497</v>
      </c>
    </row>
    <row r="579" spans="1:12" x14ac:dyDescent="0.25">
      <c r="A579" t="s">
        <v>60</v>
      </c>
      <c r="B579" t="s">
        <v>340</v>
      </c>
      <c r="C579">
        <f t="shared" ref="C579:C642" si="27">YEAR(B579)</f>
        <v>2024</v>
      </c>
      <c r="D579">
        <f t="shared" ref="D579:D642" si="28">MONTH(B579)</f>
        <v>3</v>
      </c>
      <c r="E579" t="str">
        <f t="shared" ref="E579:E642" si="29">C579&amp;"-"&amp;D579</f>
        <v>2024-3</v>
      </c>
      <c r="K579" t="s">
        <v>82</v>
      </c>
      <c r="L579" t="s">
        <v>500</v>
      </c>
    </row>
    <row r="580" spans="1:12" x14ac:dyDescent="0.25">
      <c r="A580" t="s">
        <v>195</v>
      </c>
      <c r="B580" t="s">
        <v>340</v>
      </c>
      <c r="C580">
        <f t="shared" si="27"/>
        <v>2024</v>
      </c>
      <c r="D580">
        <f t="shared" si="28"/>
        <v>3</v>
      </c>
      <c r="E580" t="str">
        <f t="shared" si="29"/>
        <v>2024-3</v>
      </c>
      <c r="K580" t="s">
        <v>109</v>
      </c>
      <c r="L580" t="s">
        <v>490</v>
      </c>
    </row>
    <row r="581" spans="1:12" x14ac:dyDescent="0.25">
      <c r="A581" t="s">
        <v>150</v>
      </c>
      <c r="B581" t="s">
        <v>341</v>
      </c>
      <c r="C581">
        <f t="shared" si="27"/>
        <v>2024</v>
      </c>
      <c r="D581">
        <f t="shared" si="28"/>
        <v>3</v>
      </c>
      <c r="E581" t="str">
        <f t="shared" si="29"/>
        <v>2024-3</v>
      </c>
      <c r="K581" t="s">
        <v>109</v>
      </c>
      <c r="L581" t="s">
        <v>492</v>
      </c>
    </row>
    <row r="582" spans="1:12" x14ac:dyDescent="0.25">
      <c r="A582" t="s">
        <v>151</v>
      </c>
      <c r="B582" t="s">
        <v>341</v>
      </c>
      <c r="C582">
        <f t="shared" si="27"/>
        <v>2024</v>
      </c>
      <c r="D582">
        <f t="shared" si="28"/>
        <v>3</v>
      </c>
      <c r="E582" t="str">
        <f t="shared" si="29"/>
        <v>2024-3</v>
      </c>
      <c r="K582" t="s">
        <v>109</v>
      </c>
      <c r="L582" t="s">
        <v>495</v>
      </c>
    </row>
    <row r="583" spans="1:12" x14ac:dyDescent="0.25">
      <c r="A583" t="s">
        <v>272</v>
      </c>
      <c r="B583" t="s">
        <v>342</v>
      </c>
      <c r="C583">
        <f t="shared" si="27"/>
        <v>2024</v>
      </c>
      <c r="D583">
        <f t="shared" si="28"/>
        <v>3</v>
      </c>
      <c r="E583" t="str">
        <f t="shared" si="29"/>
        <v>2024-3</v>
      </c>
      <c r="K583" t="s">
        <v>109</v>
      </c>
      <c r="L583" t="s">
        <v>496</v>
      </c>
    </row>
    <row r="584" spans="1:12" x14ac:dyDescent="0.25">
      <c r="A584" t="s">
        <v>71</v>
      </c>
      <c r="B584" t="s">
        <v>343</v>
      </c>
      <c r="C584">
        <f t="shared" si="27"/>
        <v>2024</v>
      </c>
      <c r="D584">
        <f t="shared" si="28"/>
        <v>3</v>
      </c>
      <c r="E584" t="str">
        <f t="shared" si="29"/>
        <v>2024-3</v>
      </c>
      <c r="K584" t="s">
        <v>109</v>
      </c>
      <c r="L584" t="s">
        <v>500</v>
      </c>
    </row>
    <row r="585" spans="1:12" x14ac:dyDescent="0.25">
      <c r="A585" t="s">
        <v>292</v>
      </c>
      <c r="B585" t="s">
        <v>343</v>
      </c>
      <c r="C585">
        <f t="shared" si="27"/>
        <v>2024</v>
      </c>
      <c r="D585">
        <f t="shared" si="28"/>
        <v>3</v>
      </c>
      <c r="E585" t="str">
        <f t="shared" si="29"/>
        <v>2024-3</v>
      </c>
      <c r="K585" t="s">
        <v>59</v>
      </c>
      <c r="L585" t="s">
        <v>489</v>
      </c>
    </row>
    <row r="586" spans="1:12" x14ac:dyDescent="0.25">
      <c r="A586" t="s">
        <v>140</v>
      </c>
      <c r="B586" t="s">
        <v>344</v>
      </c>
      <c r="C586">
        <f t="shared" si="27"/>
        <v>2024</v>
      </c>
      <c r="D586">
        <f t="shared" si="28"/>
        <v>4</v>
      </c>
      <c r="E586" t="str">
        <f t="shared" si="29"/>
        <v>2024-4</v>
      </c>
      <c r="K586" t="s">
        <v>59</v>
      </c>
      <c r="L586" t="s">
        <v>492</v>
      </c>
    </row>
    <row r="587" spans="1:12" x14ac:dyDescent="0.25">
      <c r="A587" t="s">
        <v>24</v>
      </c>
      <c r="B587" t="s">
        <v>344</v>
      </c>
      <c r="C587">
        <f t="shared" si="27"/>
        <v>2024</v>
      </c>
      <c r="D587">
        <f t="shared" si="28"/>
        <v>4</v>
      </c>
      <c r="E587" t="str">
        <f t="shared" si="29"/>
        <v>2024-4</v>
      </c>
      <c r="K587" t="s">
        <v>59</v>
      </c>
      <c r="L587" t="s">
        <v>495</v>
      </c>
    </row>
    <row r="588" spans="1:12" x14ac:dyDescent="0.25">
      <c r="A588" t="s">
        <v>75</v>
      </c>
      <c r="B588" t="s">
        <v>344</v>
      </c>
      <c r="C588">
        <f t="shared" si="27"/>
        <v>2024</v>
      </c>
      <c r="D588">
        <f t="shared" si="28"/>
        <v>4</v>
      </c>
      <c r="E588" t="str">
        <f t="shared" si="29"/>
        <v>2024-4</v>
      </c>
      <c r="K588" t="s">
        <v>59</v>
      </c>
      <c r="L588" t="s">
        <v>496</v>
      </c>
    </row>
    <row r="589" spans="1:12" x14ac:dyDescent="0.25">
      <c r="A589" t="s">
        <v>82</v>
      </c>
      <c r="B589" t="s">
        <v>344</v>
      </c>
      <c r="C589">
        <f t="shared" si="27"/>
        <v>2024</v>
      </c>
      <c r="D589">
        <f t="shared" si="28"/>
        <v>4</v>
      </c>
      <c r="E589" t="str">
        <f t="shared" si="29"/>
        <v>2024-4</v>
      </c>
      <c r="K589" t="s">
        <v>59</v>
      </c>
      <c r="L589" t="s">
        <v>497</v>
      </c>
    </row>
    <row r="590" spans="1:12" x14ac:dyDescent="0.25">
      <c r="A590" t="s">
        <v>239</v>
      </c>
      <c r="B590" t="s">
        <v>344</v>
      </c>
      <c r="C590">
        <f t="shared" si="27"/>
        <v>2024</v>
      </c>
      <c r="D590">
        <f t="shared" si="28"/>
        <v>4</v>
      </c>
      <c r="E590" t="str">
        <f t="shared" si="29"/>
        <v>2024-4</v>
      </c>
      <c r="K590" t="s">
        <v>59</v>
      </c>
      <c r="L590" t="s">
        <v>498</v>
      </c>
    </row>
    <row r="591" spans="1:12" x14ac:dyDescent="0.25">
      <c r="A591" t="s">
        <v>111</v>
      </c>
      <c r="B591" t="s">
        <v>344</v>
      </c>
      <c r="C591">
        <f t="shared" si="27"/>
        <v>2024</v>
      </c>
      <c r="D591">
        <f t="shared" si="28"/>
        <v>4</v>
      </c>
      <c r="E591" t="str">
        <f t="shared" si="29"/>
        <v>2024-4</v>
      </c>
      <c r="K591" t="s">
        <v>59</v>
      </c>
      <c r="L591" t="s">
        <v>500</v>
      </c>
    </row>
    <row r="592" spans="1:12" x14ac:dyDescent="0.25">
      <c r="A592" t="s">
        <v>86</v>
      </c>
      <c r="B592" t="s">
        <v>344</v>
      </c>
      <c r="C592">
        <f t="shared" si="27"/>
        <v>2024</v>
      </c>
      <c r="D592">
        <f t="shared" si="28"/>
        <v>4</v>
      </c>
      <c r="E592" t="str">
        <f t="shared" si="29"/>
        <v>2024-4</v>
      </c>
      <c r="K592" t="s">
        <v>275</v>
      </c>
      <c r="L592" t="s">
        <v>493</v>
      </c>
    </row>
    <row r="593" spans="1:12" x14ac:dyDescent="0.25">
      <c r="A593" t="s">
        <v>59</v>
      </c>
      <c r="B593" t="s">
        <v>344</v>
      </c>
      <c r="C593">
        <f t="shared" si="27"/>
        <v>2024</v>
      </c>
      <c r="D593">
        <f t="shared" si="28"/>
        <v>4</v>
      </c>
      <c r="E593" t="str">
        <f t="shared" si="29"/>
        <v>2024-4</v>
      </c>
      <c r="K593" t="s">
        <v>275</v>
      </c>
      <c r="L593" t="s">
        <v>498</v>
      </c>
    </row>
    <row r="594" spans="1:12" x14ac:dyDescent="0.25">
      <c r="A594" t="s">
        <v>125</v>
      </c>
      <c r="B594" t="s">
        <v>344</v>
      </c>
      <c r="C594">
        <f t="shared" si="27"/>
        <v>2024</v>
      </c>
      <c r="D594">
        <f t="shared" si="28"/>
        <v>4</v>
      </c>
      <c r="E594" t="str">
        <f t="shared" si="29"/>
        <v>2024-4</v>
      </c>
      <c r="K594" t="s">
        <v>275</v>
      </c>
      <c r="L594" t="s">
        <v>499</v>
      </c>
    </row>
    <row r="595" spans="1:12" x14ac:dyDescent="0.25">
      <c r="A595" t="s">
        <v>107</v>
      </c>
      <c r="B595" t="s">
        <v>345</v>
      </c>
      <c r="C595">
        <f t="shared" si="27"/>
        <v>2024</v>
      </c>
      <c r="D595">
        <f t="shared" si="28"/>
        <v>4</v>
      </c>
      <c r="E595" t="str">
        <f t="shared" si="29"/>
        <v>2024-4</v>
      </c>
      <c r="K595" t="s">
        <v>203</v>
      </c>
      <c r="L595" t="s">
        <v>491</v>
      </c>
    </row>
    <row r="596" spans="1:12" x14ac:dyDescent="0.25">
      <c r="A596" t="s">
        <v>136</v>
      </c>
      <c r="B596" t="s">
        <v>345</v>
      </c>
      <c r="C596">
        <f t="shared" si="27"/>
        <v>2024</v>
      </c>
      <c r="D596">
        <f t="shared" si="28"/>
        <v>4</v>
      </c>
      <c r="E596" t="str">
        <f t="shared" si="29"/>
        <v>2024-4</v>
      </c>
      <c r="K596" t="s">
        <v>203</v>
      </c>
      <c r="L596" t="s">
        <v>494</v>
      </c>
    </row>
    <row r="597" spans="1:12" x14ac:dyDescent="0.25">
      <c r="A597" t="s">
        <v>157</v>
      </c>
      <c r="B597" t="s">
        <v>346</v>
      </c>
      <c r="C597">
        <f t="shared" si="27"/>
        <v>2024</v>
      </c>
      <c r="D597">
        <f t="shared" si="28"/>
        <v>4</v>
      </c>
      <c r="E597" t="str">
        <f t="shared" si="29"/>
        <v>2024-4</v>
      </c>
      <c r="K597" t="s">
        <v>203</v>
      </c>
      <c r="L597" t="s">
        <v>497</v>
      </c>
    </row>
    <row r="598" spans="1:12" x14ac:dyDescent="0.25">
      <c r="A598" t="s">
        <v>71</v>
      </c>
      <c r="B598" t="s">
        <v>346</v>
      </c>
      <c r="C598">
        <f t="shared" si="27"/>
        <v>2024</v>
      </c>
      <c r="D598">
        <f t="shared" si="28"/>
        <v>4</v>
      </c>
      <c r="E598" t="str">
        <f t="shared" si="29"/>
        <v>2024-4</v>
      </c>
      <c r="K598" t="s">
        <v>203</v>
      </c>
      <c r="L598" t="s">
        <v>499</v>
      </c>
    </row>
    <row r="599" spans="1:12" x14ac:dyDescent="0.25">
      <c r="A599" t="s">
        <v>39</v>
      </c>
      <c r="B599" t="s">
        <v>346</v>
      </c>
      <c r="C599">
        <f t="shared" si="27"/>
        <v>2024</v>
      </c>
      <c r="D599">
        <f t="shared" si="28"/>
        <v>4</v>
      </c>
      <c r="E599" t="str">
        <f t="shared" si="29"/>
        <v>2024-4</v>
      </c>
      <c r="K599" t="s">
        <v>105</v>
      </c>
      <c r="L599" t="s">
        <v>489</v>
      </c>
    </row>
    <row r="600" spans="1:12" x14ac:dyDescent="0.25">
      <c r="A600" t="s">
        <v>228</v>
      </c>
      <c r="B600" t="s">
        <v>346</v>
      </c>
      <c r="C600">
        <f t="shared" si="27"/>
        <v>2024</v>
      </c>
      <c r="D600">
        <f t="shared" si="28"/>
        <v>4</v>
      </c>
      <c r="E600" t="str">
        <f t="shared" si="29"/>
        <v>2024-4</v>
      </c>
      <c r="K600" t="s">
        <v>105</v>
      </c>
      <c r="L600" t="s">
        <v>492</v>
      </c>
    </row>
    <row r="601" spans="1:12" x14ac:dyDescent="0.25">
      <c r="A601" t="s">
        <v>24</v>
      </c>
      <c r="B601" t="s">
        <v>347</v>
      </c>
      <c r="C601">
        <f t="shared" si="27"/>
        <v>2024</v>
      </c>
      <c r="D601">
        <f t="shared" si="28"/>
        <v>4</v>
      </c>
      <c r="E601" t="str">
        <f t="shared" si="29"/>
        <v>2024-4</v>
      </c>
      <c r="K601" t="s">
        <v>105</v>
      </c>
      <c r="L601" t="s">
        <v>494</v>
      </c>
    </row>
    <row r="602" spans="1:12" x14ac:dyDescent="0.25">
      <c r="A602" t="s">
        <v>31</v>
      </c>
      <c r="B602" t="s">
        <v>347</v>
      </c>
      <c r="C602">
        <f t="shared" si="27"/>
        <v>2024</v>
      </c>
      <c r="D602">
        <f t="shared" si="28"/>
        <v>4</v>
      </c>
      <c r="E602" t="str">
        <f t="shared" si="29"/>
        <v>2024-4</v>
      </c>
      <c r="K602" t="s">
        <v>105</v>
      </c>
      <c r="L602" t="s">
        <v>497</v>
      </c>
    </row>
    <row r="603" spans="1:12" x14ac:dyDescent="0.25">
      <c r="A603" t="s">
        <v>248</v>
      </c>
      <c r="B603" t="s">
        <v>348</v>
      </c>
      <c r="C603">
        <f t="shared" si="27"/>
        <v>2024</v>
      </c>
      <c r="D603">
        <f t="shared" si="28"/>
        <v>4</v>
      </c>
      <c r="E603" t="str">
        <f t="shared" si="29"/>
        <v>2024-4</v>
      </c>
      <c r="K603" t="s">
        <v>105</v>
      </c>
      <c r="L603" t="s">
        <v>499</v>
      </c>
    </row>
    <row r="604" spans="1:12" x14ac:dyDescent="0.25">
      <c r="A604" t="s">
        <v>103</v>
      </c>
      <c r="B604" t="s">
        <v>349</v>
      </c>
      <c r="C604">
        <f t="shared" si="27"/>
        <v>2024</v>
      </c>
      <c r="D604">
        <f t="shared" si="28"/>
        <v>4</v>
      </c>
      <c r="E604" t="str">
        <f t="shared" si="29"/>
        <v>2024-4</v>
      </c>
      <c r="K604" t="s">
        <v>105</v>
      </c>
      <c r="L604" t="s">
        <v>500</v>
      </c>
    </row>
    <row r="605" spans="1:12" x14ac:dyDescent="0.25">
      <c r="A605" t="s">
        <v>197</v>
      </c>
      <c r="B605" t="s">
        <v>349</v>
      </c>
      <c r="C605">
        <f t="shared" si="27"/>
        <v>2024</v>
      </c>
      <c r="D605">
        <f t="shared" si="28"/>
        <v>4</v>
      </c>
      <c r="E605" t="str">
        <f t="shared" si="29"/>
        <v>2024-4</v>
      </c>
      <c r="K605" t="s">
        <v>271</v>
      </c>
      <c r="L605" t="s">
        <v>493</v>
      </c>
    </row>
    <row r="606" spans="1:12" x14ac:dyDescent="0.25">
      <c r="A606" t="s">
        <v>350</v>
      </c>
      <c r="B606" t="s">
        <v>349</v>
      </c>
      <c r="C606">
        <f t="shared" si="27"/>
        <v>2024</v>
      </c>
      <c r="D606">
        <f t="shared" si="28"/>
        <v>4</v>
      </c>
      <c r="E606" t="str">
        <f t="shared" si="29"/>
        <v>2024-4</v>
      </c>
      <c r="K606" t="s">
        <v>271</v>
      </c>
      <c r="L606" t="s">
        <v>495</v>
      </c>
    </row>
    <row r="607" spans="1:12" x14ac:dyDescent="0.25">
      <c r="A607" t="s">
        <v>235</v>
      </c>
      <c r="B607" t="s">
        <v>349</v>
      </c>
      <c r="C607">
        <f t="shared" si="27"/>
        <v>2024</v>
      </c>
      <c r="D607">
        <f t="shared" si="28"/>
        <v>4</v>
      </c>
      <c r="E607" t="str">
        <f t="shared" si="29"/>
        <v>2024-4</v>
      </c>
      <c r="K607" t="s">
        <v>271</v>
      </c>
      <c r="L607" t="s">
        <v>498</v>
      </c>
    </row>
    <row r="608" spans="1:12" x14ac:dyDescent="0.25">
      <c r="A608" t="s">
        <v>102</v>
      </c>
      <c r="B608" t="s">
        <v>349</v>
      </c>
      <c r="C608">
        <f t="shared" si="27"/>
        <v>2024</v>
      </c>
      <c r="D608">
        <f t="shared" si="28"/>
        <v>4</v>
      </c>
      <c r="E608" t="str">
        <f t="shared" si="29"/>
        <v>2024-4</v>
      </c>
      <c r="K608" t="s">
        <v>271</v>
      </c>
      <c r="L608" t="s">
        <v>500</v>
      </c>
    </row>
    <row r="609" spans="1:12" x14ac:dyDescent="0.25">
      <c r="A609" t="s">
        <v>98</v>
      </c>
      <c r="B609" t="s">
        <v>349</v>
      </c>
      <c r="C609">
        <f t="shared" si="27"/>
        <v>2024</v>
      </c>
      <c r="D609">
        <f t="shared" si="28"/>
        <v>4</v>
      </c>
      <c r="E609" t="str">
        <f t="shared" si="29"/>
        <v>2024-4</v>
      </c>
      <c r="K609" t="s">
        <v>118</v>
      </c>
      <c r="L609" t="s">
        <v>490</v>
      </c>
    </row>
    <row r="610" spans="1:12" x14ac:dyDescent="0.25">
      <c r="A610" t="s">
        <v>66</v>
      </c>
      <c r="B610" t="s">
        <v>349</v>
      </c>
      <c r="C610">
        <f t="shared" si="27"/>
        <v>2024</v>
      </c>
      <c r="D610">
        <f t="shared" si="28"/>
        <v>4</v>
      </c>
      <c r="E610" t="str">
        <f t="shared" si="29"/>
        <v>2024-4</v>
      </c>
      <c r="K610" t="s">
        <v>118</v>
      </c>
      <c r="L610" t="s">
        <v>495</v>
      </c>
    </row>
    <row r="611" spans="1:12" x14ac:dyDescent="0.25">
      <c r="A611" t="s">
        <v>248</v>
      </c>
      <c r="B611" t="s">
        <v>349</v>
      </c>
      <c r="C611">
        <f t="shared" si="27"/>
        <v>2024</v>
      </c>
      <c r="D611">
        <f t="shared" si="28"/>
        <v>4</v>
      </c>
      <c r="E611" t="str">
        <f t="shared" si="29"/>
        <v>2024-4</v>
      </c>
      <c r="K611" t="s">
        <v>118</v>
      </c>
      <c r="L611" t="s">
        <v>497</v>
      </c>
    </row>
    <row r="612" spans="1:12" x14ac:dyDescent="0.25">
      <c r="A612" t="s">
        <v>316</v>
      </c>
      <c r="B612" t="s">
        <v>349</v>
      </c>
      <c r="C612">
        <f t="shared" si="27"/>
        <v>2024</v>
      </c>
      <c r="D612">
        <f t="shared" si="28"/>
        <v>4</v>
      </c>
      <c r="E612" t="str">
        <f t="shared" si="29"/>
        <v>2024-4</v>
      </c>
      <c r="K612" t="s">
        <v>118</v>
      </c>
      <c r="L612" t="s">
        <v>499</v>
      </c>
    </row>
    <row r="613" spans="1:12" x14ac:dyDescent="0.25">
      <c r="A613" t="s">
        <v>258</v>
      </c>
      <c r="B613" t="s">
        <v>349</v>
      </c>
      <c r="C613">
        <f t="shared" si="27"/>
        <v>2024</v>
      </c>
      <c r="D613">
        <f t="shared" si="28"/>
        <v>4</v>
      </c>
      <c r="E613" t="str">
        <f t="shared" si="29"/>
        <v>2024-4</v>
      </c>
      <c r="K613" t="s">
        <v>118</v>
      </c>
      <c r="L613" t="s">
        <v>500</v>
      </c>
    </row>
    <row r="614" spans="1:12" x14ac:dyDescent="0.25">
      <c r="A614" t="s">
        <v>206</v>
      </c>
      <c r="B614" t="s">
        <v>349</v>
      </c>
      <c r="C614">
        <f t="shared" si="27"/>
        <v>2024</v>
      </c>
      <c r="D614">
        <f t="shared" si="28"/>
        <v>4</v>
      </c>
      <c r="E614" t="str">
        <f t="shared" si="29"/>
        <v>2024-4</v>
      </c>
      <c r="K614" t="s">
        <v>282</v>
      </c>
      <c r="L614" t="s">
        <v>493</v>
      </c>
    </row>
    <row r="615" spans="1:12" x14ac:dyDescent="0.25">
      <c r="A615" t="s">
        <v>64</v>
      </c>
      <c r="B615" t="s">
        <v>349</v>
      </c>
      <c r="C615">
        <f t="shared" si="27"/>
        <v>2024</v>
      </c>
      <c r="D615">
        <f t="shared" si="28"/>
        <v>4</v>
      </c>
      <c r="E615" t="str">
        <f t="shared" si="29"/>
        <v>2024-4</v>
      </c>
      <c r="K615" t="s">
        <v>282</v>
      </c>
      <c r="L615" t="s">
        <v>495</v>
      </c>
    </row>
    <row r="616" spans="1:12" x14ac:dyDescent="0.25">
      <c r="A616" t="s">
        <v>109</v>
      </c>
      <c r="B616" t="s">
        <v>351</v>
      </c>
      <c r="C616">
        <f t="shared" si="27"/>
        <v>2024</v>
      </c>
      <c r="D616">
        <f t="shared" si="28"/>
        <v>4</v>
      </c>
      <c r="E616" t="str">
        <f t="shared" si="29"/>
        <v>2024-4</v>
      </c>
      <c r="K616" t="s">
        <v>11</v>
      </c>
      <c r="L616" t="s">
        <v>489</v>
      </c>
    </row>
    <row r="617" spans="1:12" x14ac:dyDescent="0.25">
      <c r="A617" t="s">
        <v>281</v>
      </c>
      <c r="B617" t="s">
        <v>352</v>
      </c>
      <c r="C617">
        <f t="shared" si="27"/>
        <v>2024</v>
      </c>
      <c r="D617">
        <f t="shared" si="28"/>
        <v>4</v>
      </c>
      <c r="E617" t="str">
        <f t="shared" si="29"/>
        <v>2024-4</v>
      </c>
      <c r="K617" t="s">
        <v>11</v>
      </c>
      <c r="L617" t="s">
        <v>490</v>
      </c>
    </row>
    <row r="618" spans="1:12" x14ac:dyDescent="0.25">
      <c r="A618" t="s">
        <v>302</v>
      </c>
      <c r="B618" t="s">
        <v>352</v>
      </c>
      <c r="C618">
        <f t="shared" si="27"/>
        <v>2024</v>
      </c>
      <c r="D618">
        <f t="shared" si="28"/>
        <v>4</v>
      </c>
      <c r="E618" t="str">
        <f t="shared" si="29"/>
        <v>2024-4</v>
      </c>
      <c r="K618" t="s">
        <v>11</v>
      </c>
      <c r="L618" t="s">
        <v>495</v>
      </c>
    </row>
    <row r="619" spans="1:12" x14ac:dyDescent="0.25">
      <c r="A619" t="s">
        <v>71</v>
      </c>
      <c r="B619" t="s">
        <v>353</v>
      </c>
      <c r="C619">
        <f t="shared" si="27"/>
        <v>2024</v>
      </c>
      <c r="D619">
        <f t="shared" si="28"/>
        <v>4</v>
      </c>
      <c r="E619" t="str">
        <f t="shared" si="29"/>
        <v>2024-4</v>
      </c>
      <c r="K619" t="s">
        <v>11</v>
      </c>
      <c r="L619" t="s">
        <v>497</v>
      </c>
    </row>
    <row r="620" spans="1:12" x14ac:dyDescent="0.25">
      <c r="A620" t="s">
        <v>116</v>
      </c>
      <c r="B620" t="s">
        <v>353</v>
      </c>
      <c r="C620">
        <f t="shared" si="27"/>
        <v>2024</v>
      </c>
      <c r="D620">
        <f t="shared" si="28"/>
        <v>4</v>
      </c>
      <c r="E620" t="str">
        <f t="shared" si="29"/>
        <v>2024-4</v>
      </c>
      <c r="K620" t="s">
        <v>11</v>
      </c>
      <c r="L620" t="s">
        <v>498</v>
      </c>
    </row>
    <row r="621" spans="1:12" x14ac:dyDescent="0.25">
      <c r="A621" t="s">
        <v>184</v>
      </c>
      <c r="B621" t="s">
        <v>354</v>
      </c>
      <c r="C621">
        <f t="shared" si="27"/>
        <v>2024</v>
      </c>
      <c r="D621">
        <f t="shared" si="28"/>
        <v>4</v>
      </c>
      <c r="E621" t="str">
        <f t="shared" si="29"/>
        <v>2024-4</v>
      </c>
      <c r="K621" t="s">
        <v>9</v>
      </c>
      <c r="L621" t="s">
        <v>489</v>
      </c>
    </row>
    <row r="622" spans="1:12" x14ac:dyDescent="0.25">
      <c r="A622" t="s">
        <v>73</v>
      </c>
      <c r="B622" t="s">
        <v>354</v>
      </c>
      <c r="C622">
        <f t="shared" si="27"/>
        <v>2024</v>
      </c>
      <c r="D622">
        <f t="shared" si="28"/>
        <v>4</v>
      </c>
      <c r="E622" t="str">
        <f t="shared" si="29"/>
        <v>2024-4</v>
      </c>
      <c r="K622" t="s">
        <v>9</v>
      </c>
      <c r="L622" t="s">
        <v>493</v>
      </c>
    </row>
    <row r="623" spans="1:12" x14ac:dyDescent="0.25">
      <c r="A623" t="s">
        <v>270</v>
      </c>
      <c r="B623" t="s">
        <v>354</v>
      </c>
      <c r="C623">
        <f t="shared" si="27"/>
        <v>2024</v>
      </c>
      <c r="D623">
        <f t="shared" si="28"/>
        <v>4</v>
      </c>
      <c r="E623" t="str">
        <f t="shared" si="29"/>
        <v>2024-4</v>
      </c>
      <c r="K623" t="s">
        <v>9</v>
      </c>
      <c r="L623" t="s">
        <v>495</v>
      </c>
    </row>
    <row r="624" spans="1:12" x14ac:dyDescent="0.25">
      <c r="A624" t="s">
        <v>24</v>
      </c>
      <c r="B624" t="s">
        <v>354</v>
      </c>
      <c r="C624">
        <f t="shared" si="27"/>
        <v>2024</v>
      </c>
      <c r="D624">
        <f t="shared" si="28"/>
        <v>4</v>
      </c>
      <c r="E624" t="str">
        <f t="shared" si="29"/>
        <v>2024-4</v>
      </c>
      <c r="K624" t="s">
        <v>9</v>
      </c>
      <c r="L624" t="s">
        <v>497</v>
      </c>
    </row>
    <row r="625" spans="1:12" x14ac:dyDescent="0.25">
      <c r="A625" t="s">
        <v>239</v>
      </c>
      <c r="B625" t="s">
        <v>354</v>
      </c>
      <c r="C625">
        <f t="shared" si="27"/>
        <v>2024</v>
      </c>
      <c r="D625">
        <f t="shared" si="28"/>
        <v>4</v>
      </c>
      <c r="E625" t="str">
        <f t="shared" si="29"/>
        <v>2024-4</v>
      </c>
      <c r="K625" t="s">
        <v>9</v>
      </c>
      <c r="L625" t="s">
        <v>500</v>
      </c>
    </row>
    <row r="626" spans="1:12" x14ac:dyDescent="0.25">
      <c r="A626" t="s">
        <v>231</v>
      </c>
      <c r="B626" t="s">
        <v>355</v>
      </c>
      <c r="C626">
        <f t="shared" si="27"/>
        <v>2024</v>
      </c>
      <c r="D626">
        <f t="shared" si="28"/>
        <v>4</v>
      </c>
      <c r="E626" t="str">
        <f t="shared" si="29"/>
        <v>2024-4</v>
      </c>
      <c r="K626" t="s">
        <v>316</v>
      </c>
      <c r="L626" t="s">
        <v>495</v>
      </c>
    </row>
    <row r="627" spans="1:12" x14ac:dyDescent="0.25">
      <c r="A627" t="s">
        <v>280</v>
      </c>
      <c r="B627" t="s">
        <v>355</v>
      </c>
      <c r="C627">
        <f t="shared" si="27"/>
        <v>2024</v>
      </c>
      <c r="D627">
        <f t="shared" si="28"/>
        <v>4</v>
      </c>
      <c r="E627" t="str">
        <f t="shared" si="29"/>
        <v>2024-4</v>
      </c>
      <c r="K627" t="s">
        <v>316</v>
      </c>
      <c r="L627" t="s">
        <v>496</v>
      </c>
    </row>
    <row r="628" spans="1:12" x14ac:dyDescent="0.25">
      <c r="A628" t="s">
        <v>235</v>
      </c>
      <c r="B628" t="s">
        <v>355</v>
      </c>
      <c r="C628">
        <f t="shared" si="27"/>
        <v>2024</v>
      </c>
      <c r="D628">
        <f t="shared" si="28"/>
        <v>4</v>
      </c>
      <c r="E628" t="str">
        <f t="shared" si="29"/>
        <v>2024-4</v>
      </c>
      <c r="K628" t="s">
        <v>316</v>
      </c>
      <c r="L628" t="s">
        <v>497</v>
      </c>
    </row>
    <row r="629" spans="1:12" x14ac:dyDescent="0.25">
      <c r="A629" t="s">
        <v>6</v>
      </c>
      <c r="B629" t="s">
        <v>356</v>
      </c>
      <c r="C629">
        <f t="shared" si="27"/>
        <v>2024</v>
      </c>
      <c r="D629">
        <f t="shared" si="28"/>
        <v>4</v>
      </c>
      <c r="E629" t="str">
        <f t="shared" si="29"/>
        <v>2024-4</v>
      </c>
      <c r="K629" t="s">
        <v>316</v>
      </c>
      <c r="L629" t="s">
        <v>499</v>
      </c>
    </row>
    <row r="630" spans="1:12" x14ac:dyDescent="0.25">
      <c r="A630" t="s">
        <v>136</v>
      </c>
      <c r="B630" t="s">
        <v>356</v>
      </c>
      <c r="C630">
        <f t="shared" si="27"/>
        <v>2024</v>
      </c>
      <c r="D630">
        <f t="shared" si="28"/>
        <v>4</v>
      </c>
      <c r="E630" t="str">
        <f t="shared" si="29"/>
        <v>2024-4</v>
      </c>
      <c r="K630" t="s">
        <v>316</v>
      </c>
      <c r="L630" t="s">
        <v>500</v>
      </c>
    </row>
    <row r="631" spans="1:12" x14ac:dyDescent="0.25">
      <c r="A631" t="s">
        <v>293</v>
      </c>
      <c r="B631" t="s">
        <v>356</v>
      </c>
      <c r="C631">
        <f t="shared" si="27"/>
        <v>2024</v>
      </c>
      <c r="D631">
        <f t="shared" si="28"/>
        <v>4</v>
      </c>
      <c r="E631" t="str">
        <f t="shared" si="29"/>
        <v>2024-4</v>
      </c>
      <c r="K631" t="s">
        <v>280</v>
      </c>
      <c r="L631" t="s">
        <v>493</v>
      </c>
    </row>
    <row r="632" spans="1:12" x14ac:dyDescent="0.25">
      <c r="A632" t="s">
        <v>86</v>
      </c>
      <c r="B632" t="s">
        <v>357</v>
      </c>
      <c r="C632">
        <f t="shared" si="27"/>
        <v>2024</v>
      </c>
      <c r="D632">
        <f t="shared" si="28"/>
        <v>4</v>
      </c>
      <c r="E632" t="str">
        <f t="shared" si="29"/>
        <v>2024-4</v>
      </c>
      <c r="K632" t="s">
        <v>280</v>
      </c>
      <c r="L632" t="s">
        <v>495</v>
      </c>
    </row>
    <row r="633" spans="1:12" x14ac:dyDescent="0.25">
      <c r="A633" t="s">
        <v>173</v>
      </c>
      <c r="B633" t="s">
        <v>357</v>
      </c>
      <c r="C633">
        <f t="shared" si="27"/>
        <v>2024</v>
      </c>
      <c r="D633">
        <f t="shared" si="28"/>
        <v>4</v>
      </c>
      <c r="E633" t="str">
        <f t="shared" si="29"/>
        <v>2024-4</v>
      </c>
      <c r="K633" t="s">
        <v>280</v>
      </c>
      <c r="L633" t="s">
        <v>496</v>
      </c>
    </row>
    <row r="634" spans="1:12" x14ac:dyDescent="0.25">
      <c r="A634" t="s">
        <v>292</v>
      </c>
      <c r="B634" t="s">
        <v>357</v>
      </c>
      <c r="C634">
        <f t="shared" si="27"/>
        <v>2024</v>
      </c>
      <c r="D634">
        <f t="shared" si="28"/>
        <v>4</v>
      </c>
      <c r="E634" t="str">
        <f t="shared" si="29"/>
        <v>2024-4</v>
      </c>
      <c r="K634" t="s">
        <v>280</v>
      </c>
      <c r="L634" t="s">
        <v>497</v>
      </c>
    </row>
    <row r="635" spans="1:12" x14ac:dyDescent="0.25">
      <c r="A635" t="s">
        <v>296</v>
      </c>
      <c r="B635" t="s">
        <v>358</v>
      </c>
      <c r="C635">
        <f t="shared" si="27"/>
        <v>2024</v>
      </c>
      <c r="D635">
        <f t="shared" si="28"/>
        <v>4</v>
      </c>
      <c r="E635" t="str">
        <f t="shared" si="29"/>
        <v>2024-4</v>
      </c>
      <c r="K635" t="s">
        <v>428</v>
      </c>
      <c r="L635" t="s">
        <v>499</v>
      </c>
    </row>
    <row r="636" spans="1:12" x14ac:dyDescent="0.25">
      <c r="A636" t="s">
        <v>160</v>
      </c>
      <c r="B636" t="s">
        <v>358</v>
      </c>
      <c r="C636">
        <f t="shared" si="27"/>
        <v>2024</v>
      </c>
      <c r="D636">
        <f t="shared" si="28"/>
        <v>4</v>
      </c>
      <c r="E636" t="str">
        <f t="shared" si="29"/>
        <v>2024-4</v>
      </c>
      <c r="K636" t="s">
        <v>428</v>
      </c>
      <c r="L636" t="s">
        <v>500</v>
      </c>
    </row>
    <row r="637" spans="1:12" x14ac:dyDescent="0.25">
      <c r="A637" t="s">
        <v>73</v>
      </c>
      <c r="B637" t="s">
        <v>358</v>
      </c>
      <c r="C637">
        <f t="shared" si="27"/>
        <v>2024</v>
      </c>
      <c r="D637">
        <f t="shared" si="28"/>
        <v>4</v>
      </c>
      <c r="E637" t="str">
        <f t="shared" si="29"/>
        <v>2024-4</v>
      </c>
      <c r="K637" t="s">
        <v>93</v>
      </c>
      <c r="L637" t="s">
        <v>489</v>
      </c>
    </row>
    <row r="638" spans="1:12" x14ac:dyDescent="0.25">
      <c r="A638" t="s">
        <v>359</v>
      </c>
      <c r="B638" t="s">
        <v>358</v>
      </c>
      <c r="C638">
        <f t="shared" si="27"/>
        <v>2024</v>
      </c>
      <c r="D638">
        <f t="shared" si="28"/>
        <v>4</v>
      </c>
      <c r="E638" t="str">
        <f t="shared" si="29"/>
        <v>2024-4</v>
      </c>
      <c r="K638" t="s">
        <v>93</v>
      </c>
      <c r="L638" t="s">
        <v>490</v>
      </c>
    </row>
    <row r="639" spans="1:12" x14ac:dyDescent="0.25">
      <c r="A639" t="s">
        <v>238</v>
      </c>
      <c r="B639" t="s">
        <v>360</v>
      </c>
      <c r="C639">
        <f t="shared" si="27"/>
        <v>2024</v>
      </c>
      <c r="D639">
        <f t="shared" si="28"/>
        <v>4</v>
      </c>
      <c r="E639" t="str">
        <f t="shared" si="29"/>
        <v>2024-4</v>
      </c>
      <c r="K639" t="s">
        <v>93</v>
      </c>
      <c r="L639" t="s">
        <v>491</v>
      </c>
    </row>
    <row r="640" spans="1:12" x14ac:dyDescent="0.25">
      <c r="A640" t="s">
        <v>320</v>
      </c>
      <c r="B640" t="s">
        <v>360</v>
      </c>
      <c r="C640">
        <f t="shared" si="27"/>
        <v>2024</v>
      </c>
      <c r="D640">
        <f t="shared" si="28"/>
        <v>4</v>
      </c>
      <c r="E640" t="str">
        <f t="shared" si="29"/>
        <v>2024-4</v>
      </c>
      <c r="K640" t="s">
        <v>93</v>
      </c>
      <c r="L640" t="s">
        <v>497</v>
      </c>
    </row>
    <row r="641" spans="1:12" x14ac:dyDescent="0.25">
      <c r="A641" t="s">
        <v>113</v>
      </c>
      <c r="B641" t="s">
        <v>360</v>
      </c>
      <c r="C641">
        <f t="shared" si="27"/>
        <v>2024</v>
      </c>
      <c r="D641">
        <f t="shared" si="28"/>
        <v>4</v>
      </c>
      <c r="E641" t="str">
        <f t="shared" si="29"/>
        <v>2024-4</v>
      </c>
      <c r="K641" t="s">
        <v>93</v>
      </c>
      <c r="L641" t="s">
        <v>500</v>
      </c>
    </row>
    <row r="642" spans="1:12" x14ac:dyDescent="0.25">
      <c r="A642" t="s">
        <v>173</v>
      </c>
      <c r="B642" t="s">
        <v>360</v>
      </c>
      <c r="C642">
        <f t="shared" si="27"/>
        <v>2024</v>
      </c>
      <c r="D642">
        <f t="shared" si="28"/>
        <v>4</v>
      </c>
      <c r="E642" t="str">
        <f t="shared" si="29"/>
        <v>2024-4</v>
      </c>
      <c r="K642" t="s">
        <v>449</v>
      </c>
      <c r="L642" t="s">
        <v>500</v>
      </c>
    </row>
    <row r="643" spans="1:12" x14ac:dyDescent="0.25">
      <c r="A643" t="s">
        <v>235</v>
      </c>
      <c r="B643" t="s">
        <v>360</v>
      </c>
      <c r="C643">
        <f t="shared" ref="C643:C706" si="30">YEAR(B643)</f>
        <v>2024</v>
      </c>
      <c r="D643">
        <f t="shared" ref="D643:D706" si="31">MONTH(B643)</f>
        <v>4</v>
      </c>
      <c r="E643" t="str">
        <f t="shared" ref="E643:E706" si="32">C643&amp;"-"&amp;D643</f>
        <v>2024-4</v>
      </c>
      <c r="K643" t="s">
        <v>300</v>
      </c>
      <c r="L643" t="s">
        <v>494</v>
      </c>
    </row>
    <row r="644" spans="1:12" x14ac:dyDescent="0.25">
      <c r="A644" t="s">
        <v>107</v>
      </c>
      <c r="B644" t="s">
        <v>361</v>
      </c>
      <c r="C644">
        <f t="shared" si="30"/>
        <v>2024</v>
      </c>
      <c r="D644">
        <f t="shared" si="31"/>
        <v>4</v>
      </c>
      <c r="E644" t="str">
        <f t="shared" si="32"/>
        <v>2024-4</v>
      </c>
      <c r="K644" t="s">
        <v>300</v>
      </c>
      <c r="L644" t="s">
        <v>495</v>
      </c>
    </row>
    <row r="645" spans="1:12" x14ac:dyDescent="0.25">
      <c r="A645" t="s">
        <v>180</v>
      </c>
      <c r="B645" t="s">
        <v>361</v>
      </c>
      <c r="C645">
        <f t="shared" si="30"/>
        <v>2024</v>
      </c>
      <c r="D645">
        <f t="shared" si="31"/>
        <v>4</v>
      </c>
      <c r="E645" t="str">
        <f t="shared" si="32"/>
        <v>2024-4</v>
      </c>
      <c r="K645" t="s">
        <v>300</v>
      </c>
      <c r="L645" t="s">
        <v>496</v>
      </c>
    </row>
    <row r="646" spans="1:12" x14ac:dyDescent="0.25">
      <c r="A646" t="s">
        <v>28</v>
      </c>
      <c r="B646" t="s">
        <v>361</v>
      </c>
      <c r="C646">
        <f t="shared" si="30"/>
        <v>2024</v>
      </c>
      <c r="D646">
        <f t="shared" si="31"/>
        <v>4</v>
      </c>
      <c r="E646" t="str">
        <f t="shared" si="32"/>
        <v>2024-4</v>
      </c>
      <c r="K646" t="s">
        <v>300</v>
      </c>
      <c r="L646" t="s">
        <v>498</v>
      </c>
    </row>
    <row r="647" spans="1:12" x14ac:dyDescent="0.25">
      <c r="A647" t="s">
        <v>317</v>
      </c>
      <c r="B647" t="s">
        <v>361</v>
      </c>
      <c r="C647">
        <f t="shared" si="30"/>
        <v>2024</v>
      </c>
      <c r="D647">
        <f t="shared" si="31"/>
        <v>4</v>
      </c>
      <c r="E647" t="str">
        <f t="shared" si="32"/>
        <v>2024-4</v>
      </c>
      <c r="K647" t="s">
        <v>300</v>
      </c>
      <c r="L647" t="s">
        <v>499</v>
      </c>
    </row>
    <row r="648" spans="1:12" x14ac:dyDescent="0.25">
      <c r="A648" t="s">
        <v>335</v>
      </c>
      <c r="B648" t="s">
        <v>362</v>
      </c>
      <c r="C648">
        <f t="shared" si="30"/>
        <v>2024</v>
      </c>
      <c r="D648">
        <f t="shared" si="31"/>
        <v>4</v>
      </c>
      <c r="E648" t="str">
        <f t="shared" si="32"/>
        <v>2024-4</v>
      </c>
      <c r="K648" t="s">
        <v>293</v>
      </c>
      <c r="L648" t="s">
        <v>494</v>
      </c>
    </row>
    <row r="649" spans="1:12" x14ac:dyDescent="0.25">
      <c r="A649" t="s">
        <v>75</v>
      </c>
      <c r="B649" t="s">
        <v>362</v>
      </c>
      <c r="C649">
        <f t="shared" si="30"/>
        <v>2024</v>
      </c>
      <c r="D649">
        <f t="shared" si="31"/>
        <v>4</v>
      </c>
      <c r="E649" t="str">
        <f t="shared" si="32"/>
        <v>2024-4</v>
      </c>
      <c r="K649" t="s">
        <v>293</v>
      </c>
      <c r="L649" t="s">
        <v>495</v>
      </c>
    </row>
    <row r="650" spans="1:12" x14ac:dyDescent="0.25">
      <c r="A650" t="s">
        <v>281</v>
      </c>
      <c r="B650" t="s">
        <v>362</v>
      </c>
      <c r="C650">
        <f t="shared" si="30"/>
        <v>2024</v>
      </c>
      <c r="D650">
        <f t="shared" si="31"/>
        <v>4</v>
      </c>
      <c r="E650" t="str">
        <f t="shared" si="32"/>
        <v>2024-4</v>
      </c>
      <c r="K650" t="s">
        <v>293</v>
      </c>
      <c r="L650" t="s">
        <v>496</v>
      </c>
    </row>
    <row r="651" spans="1:12" x14ac:dyDescent="0.25">
      <c r="A651" t="s">
        <v>300</v>
      </c>
      <c r="B651" t="s">
        <v>362</v>
      </c>
      <c r="C651">
        <f t="shared" si="30"/>
        <v>2024</v>
      </c>
      <c r="D651">
        <f t="shared" si="31"/>
        <v>4</v>
      </c>
      <c r="E651" t="str">
        <f t="shared" si="32"/>
        <v>2024-4</v>
      </c>
      <c r="K651" t="s">
        <v>293</v>
      </c>
      <c r="L651" t="s">
        <v>500</v>
      </c>
    </row>
    <row r="652" spans="1:12" x14ac:dyDescent="0.25">
      <c r="A652" t="s">
        <v>238</v>
      </c>
      <c r="B652" t="s">
        <v>362</v>
      </c>
      <c r="C652">
        <f t="shared" si="30"/>
        <v>2024</v>
      </c>
      <c r="D652">
        <f t="shared" si="31"/>
        <v>4</v>
      </c>
      <c r="E652" t="str">
        <f t="shared" si="32"/>
        <v>2024-4</v>
      </c>
      <c r="K652" t="s">
        <v>61</v>
      </c>
      <c r="L652" t="s">
        <v>489</v>
      </c>
    </row>
    <row r="653" spans="1:12" x14ac:dyDescent="0.25">
      <c r="A653" t="s">
        <v>249</v>
      </c>
      <c r="B653" t="s">
        <v>363</v>
      </c>
      <c r="C653">
        <f t="shared" si="30"/>
        <v>2024</v>
      </c>
      <c r="D653">
        <f t="shared" si="31"/>
        <v>4</v>
      </c>
      <c r="E653" t="str">
        <f t="shared" si="32"/>
        <v>2024-4</v>
      </c>
      <c r="K653" t="s">
        <v>61</v>
      </c>
      <c r="L653" t="s">
        <v>492</v>
      </c>
    </row>
    <row r="654" spans="1:12" x14ac:dyDescent="0.25">
      <c r="A654" t="s">
        <v>84</v>
      </c>
      <c r="B654" t="s">
        <v>363</v>
      </c>
      <c r="C654">
        <f t="shared" si="30"/>
        <v>2024</v>
      </c>
      <c r="D654">
        <f t="shared" si="31"/>
        <v>4</v>
      </c>
      <c r="E654" t="str">
        <f t="shared" si="32"/>
        <v>2024-4</v>
      </c>
      <c r="K654" t="s">
        <v>61</v>
      </c>
      <c r="L654" t="s">
        <v>497</v>
      </c>
    </row>
    <row r="655" spans="1:12" x14ac:dyDescent="0.25">
      <c r="A655" t="s">
        <v>364</v>
      </c>
      <c r="B655" t="s">
        <v>363</v>
      </c>
      <c r="C655">
        <f t="shared" si="30"/>
        <v>2024</v>
      </c>
      <c r="D655">
        <f t="shared" si="31"/>
        <v>4</v>
      </c>
      <c r="E655" t="str">
        <f t="shared" si="32"/>
        <v>2024-4</v>
      </c>
      <c r="K655" t="s">
        <v>61</v>
      </c>
      <c r="L655" t="s">
        <v>499</v>
      </c>
    </row>
    <row r="656" spans="1:12" x14ac:dyDescent="0.25">
      <c r="A656" t="s">
        <v>281</v>
      </c>
      <c r="B656" t="s">
        <v>363</v>
      </c>
      <c r="C656">
        <f t="shared" si="30"/>
        <v>2024</v>
      </c>
      <c r="D656">
        <f t="shared" si="31"/>
        <v>4</v>
      </c>
      <c r="E656" t="str">
        <f t="shared" si="32"/>
        <v>2024-4</v>
      </c>
      <c r="K656" t="s">
        <v>73</v>
      </c>
      <c r="L656" t="s">
        <v>489</v>
      </c>
    </row>
    <row r="657" spans="1:12" x14ac:dyDescent="0.25">
      <c r="A657" t="s">
        <v>264</v>
      </c>
      <c r="B657" t="s">
        <v>363</v>
      </c>
      <c r="C657">
        <f t="shared" si="30"/>
        <v>2024</v>
      </c>
      <c r="D657">
        <f t="shared" si="31"/>
        <v>4</v>
      </c>
      <c r="E657" t="str">
        <f t="shared" si="32"/>
        <v>2024-4</v>
      </c>
      <c r="K657" t="s">
        <v>73</v>
      </c>
      <c r="L657" t="s">
        <v>490</v>
      </c>
    </row>
    <row r="658" spans="1:12" x14ac:dyDescent="0.25">
      <c r="A658" t="s">
        <v>338</v>
      </c>
      <c r="B658" t="s">
        <v>365</v>
      </c>
      <c r="C658">
        <f t="shared" si="30"/>
        <v>2024</v>
      </c>
      <c r="D658">
        <f t="shared" si="31"/>
        <v>4</v>
      </c>
      <c r="E658" t="str">
        <f t="shared" si="32"/>
        <v>2024-4</v>
      </c>
      <c r="K658" t="s">
        <v>73</v>
      </c>
      <c r="L658" t="s">
        <v>491</v>
      </c>
    </row>
    <row r="659" spans="1:12" x14ac:dyDescent="0.25">
      <c r="A659" t="s">
        <v>328</v>
      </c>
      <c r="B659" t="s">
        <v>365</v>
      </c>
      <c r="C659">
        <f t="shared" si="30"/>
        <v>2024</v>
      </c>
      <c r="D659">
        <f t="shared" si="31"/>
        <v>4</v>
      </c>
      <c r="E659" t="str">
        <f t="shared" si="32"/>
        <v>2024-4</v>
      </c>
      <c r="K659" t="s">
        <v>73</v>
      </c>
      <c r="L659" t="s">
        <v>493</v>
      </c>
    </row>
    <row r="660" spans="1:12" x14ac:dyDescent="0.25">
      <c r="A660" t="s">
        <v>141</v>
      </c>
      <c r="B660" t="s">
        <v>366</v>
      </c>
      <c r="C660">
        <f t="shared" si="30"/>
        <v>2024</v>
      </c>
      <c r="D660">
        <f t="shared" si="31"/>
        <v>4</v>
      </c>
      <c r="E660" t="str">
        <f t="shared" si="32"/>
        <v>2024-4</v>
      </c>
      <c r="K660" t="s">
        <v>73</v>
      </c>
      <c r="L660" t="s">
        <v>496</v>
      </c>
    </row>
    <row r="661" spans="1:12" x14ac:dyDescent="0.25">
      <c r="A661" t="s">
        <v>66</v>
      </c>
      <c r="B661" t="s">
        <v>366</v>
      </c>
      <c r="C661">
        <f t="shared" si="30"/>
        <v>2024</v>
      </c>
      <c r="D661">
        <f t="shared" si="31"/>
        <v>4</v>
      </c>
      <c r="E661" t="str">
        <f t="shared" si="32"/>
        <v>2024-4</v>
      </c>
      <c r="K661" t="s">
        <v>73</v>
      </c>
      <c r="L661" t="s">
        <v>499</v>
      </c>
    </row>
    <row r="662" spans="1:12" x14ac:dyDescent="0.25">
      <c r="A662" t="s">
        <v>158</v>
      </c>
      <c r="B662" t="s">
        <v>366</v>
      </c>
      <c r="C662">
        <f t="shared" si="30"/>
        <v>2024</v>
      </c>
      <c r="D662">
        <f t="shared" si="31"/>
        <v>4</v>
      </c>
      <c r="E662" t="str">
        <f t="shared" si="32"/>
        <v>2024-4</v>
      </c>
      <c r="K662" t="s">
        <v>13</v>
      </c>
      <c r="L662" t="s">
        <v>489</v>
      </c>
    </row>
    <row r="663" spans="1:12" x14ac:dyDescent="0.25">
      <c r="A663" t="s">
        <v>131</v>
      </c>
      <c r="B663" t="s">
        <v>366</v>
      </c>
      <c r="C663">
        <f t="shared" si="30"/>
        <v>2024</v>
      </c>
      <c r="D663">
        <f t="shared" si="31"/>
        <v>4</v>
      </c>
      <c r="E663" t="str">
        <f t="shared" si="32"/>
        <v>2024-4</v>
      </c>
      <c r="K663" t="s">
        <v>13</v>
      </c>
      <c r="L663" t="s">
        <v>492</v>
      </c>
    </row>
    <row r="664" spans="1:12" x14ac:dyDescent="0.25">
      <c r="A664" t="s">
        <v>243</v>
      </c>
      <c r="B664" t="s">
        <v>366</v>
      </c>
      <c r="C664">
        <f t="shared" si="30"/>
        <v>2024</v>
      </c>
      <c r="D664">
        <f t="shared" si="31"/>
        <v>4</v>
      </c>
      <c r="E664" t="str">
        <f t="shared" si="32"/>
        <v>2024-4</v>
      </c>
      <c r="K664" t="s">
        <v>13</v>
      </c>
      <c r="L664" t="s">
        <v>499</v>
      </c>
    </row>
    <row r="665" spans="1:12" x14ac:dyDescent="0.25">
      <c r="A665" t="s">
        <v>56</v>
      </c>
      <c r="B665" t="s">
        <v>366</v>
      </c>
      <c r="C665">
        <f t="shared" si="30"/>
        <v>2024</v>
      </c>
      <c r="D665">
        <f t="shared" si="31"/>
        <v>4</v>
      </c>
      <c r="E665" t="str">
        <f t="shared" si="32"/>
        <v>2024-4</v>
      </c>
      <c r="K665" t="s">
        <v>141</v>
      </c>
      <c r="L665" t="s">
        <v>490</v>
      </c>
    </row>
    <row r="666" spans="1:12" x14ac:dyDescent="0.25">
      <c r="A666" t="s">
        <v>129</v>
      </c>
      <c r="B666" t="s">
        <v>367</v>
      </c>
      <c r="C666">
        <f t="shared" si="30"/>
        <v>2024</v>
      </c>
      <c r="D666">
        <f t="shared" si="31"/>
        <v>4</v>
      </c>
      <c r="E666" t="str">
        <f t="shared" si="32"/>
        <v>2024-4</v>
      </c>
      <c r="K666" t="s">
        <v>141</v>
      </c>
      <c r="L666" t="s">
        <v>495</v>
      </c>
    </row>
    <row r="667" spans="1:12" x14ac:dyDescent="0.25">
      <c r="A667" t="s">
        <v>328</v>
      </c>
      <c r="B667" t="s">
        <v>367</v>
      </c>
      <c r="C667">
        <f t="shared" si="30"/>
        <v>2024</v>
      </c>
      <c r="D667">
        <f t="shared" si="31"/>
        <v>4</v>
      </c>
      <c r="E667" t="str">
        <f t="shared" si="32"/>
        <v>2024-4</v>
      </c>
      <c r="K667" t="s">
        <v>141</v>
      </c>
      <c r="L667" t="s">
        <v>496</v>
      </c>
    </row>
    <row r="668" spans="1:12" x14ac:dyDescent="0.25">
      <c r="A668" t="s">
        <v>47</v>
      </c>
      <c r="B668" t="s">
        <v>367</v>
      </c>
      <c r="C668">
        <f t="shared" si="30"/>
        <v>2024</v>
      </c>
      <c r="D668">
        <f t="shared" si="31"/>
        <v>4</v>
      </c>
      <c r="E668" t="str">
        <f t="shared" si="32"/>
        <v>2024-4</v>
      </c>
      <c r="K668" t="s">
        <v>141</v>
      </c>
      <c r="L668" t="s">
        <v>498</v>
      </c>
    </row>
    <row r="669" spans="1:12" x14ac:dyDescent="0.25">
      <c r="A669" t="s">
        <v>136</v>
      </c>
      <c r="B669" t="s">
        <v>368</v>
      </c>
      <c r="C669">
        <f t="shared" si="30"/>
        <v>2024</v>
      </c>
      <c r="D669">
        <f t="shared" si="31"/>
        <v>5</v>
      </c>
      <c r="E669" t="str">
        <f t="shared" si="32"/>
        <v>2024-5</v>
      </c>
      <c r="K669" t="s">
        <v>141</v>
      </c>
      <c r="L669" t="s">
        <v>499</v>
      </c>
    </row>
    <row r="670" spans="1:12" x14ac:dyDescent="0.25">
      <c r="A670" t="s">
        <v>64</v>
      </c>
      <c r="B670" t="s">
        <v>368</v>
      </c>
      <c r="C670">
        <f t="shared" si="30"/>
        <v>2024</v>
      </c>
      <c r="D670">
        <f t="shared" si="31"/>
        <v>5</v>
      </c>
      <c r="E670" t="str">
        <f t="shared" si="32"/>
        <v>2024-5</v>
      </c>
      <c r="K670" t="s">
        <v>212</v>
      </c>
      <c r="L670" t="s">
        <v>492</v>
      </c>
    </row>
    <row r="671" spans="1:12" x14ac:dyDescent="0.25">
      <c r="A671" t="s">
        <v>101</v>
      </c>
      <c r="B671" t="s">
        <v>368</v>
      </c>
      <c r="C671">
        <f t="shared" si="30"/>
        <v>2024</v>
      </c>
      <c r="D671">
        <f t="shared" si="31"/>
        <v>5</v>
      </c>
      <c r="E671" t="str">
        <f t="shared" si="32"/>
        <v>2024-5</v>
      </c>
      <c r="K671" t="s">
        <v>212</v>
      </c>
      <c r="L671" t="s">
        <v>495</v>
      </c>
    </row>
    <row r="672" spans="1:12" x14ac:dyDescent="0.25">
      <c r="A672" t="s">
        <v>168</v>
      </c>
      <c r="B672" t="s">
        <v>368</v>
      </c>
      <c r="C672">
        <f t="shared" si="30"/>
        <v>2024</v>
      </c>
      <c r="D672">
        <f t="shared" si="31"/>
        <v>5</v>
      </c>
      <c r="E672" t="str">
        <f t="shared" si="32"/>
        <v>2024-5</v>
      </c>
      <c r="K672" t="s">
        <v>212</v>
      </c>
      <c r="L672" t="s">
        <v>499</v>
      </c>
    </row>
    <row r="673" spans="1:12" x14ac:dyDescent="0.25">
      <c r="A673" t="s">
        <v>229</v>
      </c>
      <c r="B673" t="s">
        <v>369</v>
      </c>
      <c r="C673">
        <f t="shared" si="30"/>
        <v>2024</v>
      </c>
      <c r="D673">
        <f t="shared" si="31"/>
        <v>5</v>
      </c>
      <c r="E673" t="str">
        <f t="shared" si="32"/>
        <v>2024-5</v>
      </c>
      <c r="K673" t="s">
        <v>185</v>
      </c>
      <c r="L673" t="s">
        <v>491</v>
      </c>
    </row>
    <row r="674" spans="1:12" x14ac:dyDescent="0.25">
      <c r="A674" t="s">
        <v>195</v>
      </c>
      <c r="B674" t="s">
        <v>370</v>
      </c>
      <c r="C674">
        <f t="shared" si="30"/>
        <v>2024</v>
      </c>
      <c r="D674">
        <f t="shared" si="31"/>
        <v>5</v>
      </c>
      <c r="E674" t="str">
        <f t="shared" si="32"/>
        <v>2024-5</v>
      </c>
      <c r="K674" t="s">
        <v>185</v>
      </c>
      <c r="L674" t="s">
        <v>493</v>
      </c>
    </row>
    <row r="675" spans="1:12" x14ac:dyDescent="0.25">
      <c r="A675" t="s">
        <v>32</v>
      </c>
      <c r="B675" t="s">
        <v>370</v>
      </c>
      <c r="C675">
        <f t="shared" si="30"/>
        <v>2024</v>
      </c>
      <c r="D675">
        <f t="shared" si="31"/>
        <v>5</v>
      </c>
      <c r="E675" t="str">
        <f t="shared" si="32"/>
        <v>2024-5</v>
      </c>
      <c r="K675" t="s">
        <v>185</v>
      </c>
      <c r="L675" t="s">
        <v>497</v>
      </c>
    </row>
    <row r="676" spans="1:12" x14ac:dyDescent="0.25">
      <c r="A676" t="s">
        <v>40</v>
      </c>
      <c r="B676" t="s">
        <v>370</v>
      </c>
      <c r="C676">
        <f t="shared" si="30"/>
        <v>2024</v>
      </c>
      <c r="D676">
        <f t="shared" si="31"/>
        <v>5</v>
      </c>
      <c r="E676" t="str">
        <f t="shared" si="32"/>
        <v>2024-5</v>
      </c>
      <c r="K676" t="s">
        <v>185</v>
      </c>
      <c r="L676" t="s">
        <v>501</v>
      </c>
    </row>
    <row r="677" spans="1:12" x14ac:dyDescent="0.25">
      <c r="A677" t="s">
        <v>90</v>
      </c>
      <c r="B677" t="s">
        <v>370</v>
      </c>
      <c r="C677">
        <f t="shared" si="30"/>
        <v>2024</v>
      </c>
      <c r="D677">
        <f t="shared" si="31"/>
        <v>5</v>
      </c>
      <c r="E677" t="str">
        <f t="shared" si="32"/>
        <v>2024-5</v>
      </c>
      <c r="K677" t="s">
        <v>287</v>
      </c>
      <c r="L677" t="s">
        <v>494</v>
      </c>
    </row>
    <row r="678" spans="1:12" x14ac:dyDescent="0.25">
      <c r="A678" t="s">
        <v>105</v>
      </c>
      <c r="B678" t="s">
        <v>371</v>
      </c>
      <c r="C678">
        <f t="shared" si="30"/>
        <v>2024</v>
      </c>
      <c r="D678">
        <f t="shared" si="31"/>
        <v>5</v>
      </c>
      <c r="E678" t="str">
        <f t="shared" si="32"/>
        <v>2024-5</v>
      </c>
      <c r="K678" t="s">
        <v>287</v>
      </c>
      <c r="L678" t="s">
        <v>499</v>
      </c>
    </row>
    <row r="679" spans="1:12" x14ac:dyDescent="0.25">
      <c r="A679" t="s">
        <v>108</v>
      </c>
      <c r="B679" t="s">
        <v>371</v>
      </c>
      <c r="C679">
        <f t="shared" si="30"/>
        <v>2024</v>
      </c>
      <c r="D679">
        <f t="shared" si="31"/>
        <v>5</v>
      </c>
      <c r="E679" t="str">
        <f t="shared" si="32"/>
        <v>2024-5</v>
      </c>
      <c r="K679" t="s">
        <v>287</v>
      </c>
      <c r="L679" t="s">
        <v>500</v>
      </c>
    </row>
    <row r="680" spans="1:12" x14ac:dyDescent="0.25">
      <c r="A680" t="s">
        <v>235</v>
      </c>
      <c r="B680" t="s">
        <v>371</v>
      </c>
      <c r="C680">
        <f t="shared" si="30"/>
        <v>2024</v>
      </c>
      <c r="D680">
        <f t="shared" si="31"/>
        <v>5</v>
      </c>
      <c r="E680" t="str">
        <f t="shared" si="32"/>
        <v>2024-5</v>
      </c>
      <c r="K680" t="s">
        <v>163</v>
      </c>
      <c r="L680" t="s">
        <v>491</v>
      </c>
    </row>
    <row r="681" spans="1:12" x14ac:dyDescent="0.25">
      <c r="A681" t="s">
        <v>102</v>
      </c>
      <c r="B681" t="s">
        <v>371</v>
      </c>
      <c r="C681">
        <f t="shared" si="30"/>
        <v>2024</v>
      </c>
      <c r="D681">
        <f t="shared" si="31"/>
        <v>5</v>
      </c>
      <c r="E681" t="str">
        <f t="shared" si="32"/>
        <v>2024-5</v>
      </c>
      <c r="K681" t="s">
        <v>163</v>
      </c>
      <c r="L681" t="s">
        <v>492</v>
      </c>
    </row>
    <row r="682" spans="1:12" x14ac:dyDescent="0.25">
      <c r="A682" t="s">
        <v>118</v>
      </c>
      <c r="B682" t="s">
        <v>371</v>
      </c>
      <c r="C682">
        <f t="shared" si="30"/>
        <v>2024</v>
      </c>
      <c r="D682">
        <f t="shared" si="31"/>
        <v>5</v>
      </c>
      <c r="E682" t="str">
        <f t="shared" si="32"/>
        <v>2024-5</v>
      </c>
      <c r="K682" t="s">
        <v>163</v>
      </c>
      <c r="L682" t="s">
        <v>494</v>
      </c>
    </row>
    <row r="683" spans="1:12" x14ac:dyDescent="0.25">
      <c r="A683" t="s">
        <v>372</v>
      </c>
      <c r="B683" t="s">
        <v>371</v>
      </c>
      <c r="C683">
        <f t="shared" si="30"/>
        <v>2024</v>
      </c>
      <c r="D683">
        <f t="shared" si="31"/>
        <v>5</v>
      </c>
      <c r="E683" t="str">
        <f t="shared" si="32"/>
        <v>2024-5</v>
      </c>
      <c r="K683" t="s">
        <v>163</v>
      </c>
      <c r="L683" t="s">
        <v>497</v>
      </c>
    </row>
    <row r="684" spans="1:12" x14ac:dyDescent="0.25">
      <c r="A684" t="s">
        <v>206</v>
      </c>
      <c r="B684" t="s">
        <v>371</v>
      </c>
      <c r="C684">
        <f t="shared" si="30"/>
        <v>2024</v>
      </c>
      <c r="D684">
        <f t="shared" si="31"/>
        <v>5</v>
      </c>
      <c r="E684" t="str">
        <f t="shared" si="32"/>
        <v>2024-5</v>
      </c>
      <c r="K684" t="s">
        <v>270</v>
      </c>
      <c r="L684" t="s">
        <v>493</v>
      </c>
    </row>
    <row r="685" spans="1:12" x14ac:dyDescent="0.25">
      <c r="A685" t="s">
        <v>82</v>
      </c>
      <c r="B685" t="s">
        <v>371</v>
      </c>
      <c r="C685">
        <f t="shared" si="30"/>
        <v>2024</v>
      </c>
      <c r="D685">
        <f t="shared" si="31"/>
        <v>5</v>
      </c>
      <c r="E685" t="str">
        <f t="shared" si="32"/>
        <v>2024-5</v>
      </c>
      <c r="K685" t="s">
        <v>270</v>
      </c>
      <c r="L685" t="s">
        <v>495</v>
      </c>
    </row>
    <row r="686" spans="1:12" x14ac:dyDescent="0.25">
      <c r="A686" t="s">
        <v>118</v>
      </c>
      <c r="B686" t="s">
        <v>373</v>
      </c>
      <c r="C686">
        <f t="shared" si="30"/>
        <v>2024</v>
      </c>
      <c r="D686">
        <f t="shared" si="31"/>
        <v>5</v>
      </c>
      <c r="E686" t="str">
        <f t="shared" si="32"/>
        <v>2024-5</v>
      </c>
      <c r="K686" t="s">
        <v>270</v>
      </c>
      <c r="L686" t="s">
        <v>496</v>
      </c>
    </row>
    <row r="687" spans="1:12" x14ac:dyDescent="0.25">
      <c r="A687" t="s">
        <v>209</v>
      </c>
      <c r="B687" t="s">
        <v>373</v>
      </c>
      <c r="C687">
        <f t="shared" si="30"/>
        <v>2024</v>
      </c>
      <c r="D687">
        <f t="shared" si="31"/>
        <v>5</v>
      </c>
      <c r="E687" t="str">
        <f t="shared" si="32"/>
        <v>2024-5</v>
      </c>
      <c r="K687" t="s">
        <v>270</v>
      </c>
      <c r="L687" t="s">
        <v>497</v>
      </c>
    </row>
    <row r="688" spans="1:12" x14ac:dyDescent="0.25">
      <c r="A688" t="s">
        <v>32</v>
      </c>
      <c r="B688" t="s">
        <v>373</v>
      </c>
      <c r="C688">
        <f t="shared" si="30"/>
        <v>2024</v>
      </c>
      <c r="D688">
        <f t="shared" si="31"/>
        <v>5</v>
      </c>
      <c r="E688" t="str">
        <f t="shared" si="32"/>
        <v>2024-5</v>
      </c>
      <c r="K688" t="s">
        <v>270</v>
      </c>
      <c r="L688" t="s">
        <v>499</v>
      </c>
    </row>
    <row r="689" spans="1:12" x14ac:dyDescent="0.25">
      <c r="A689" t="s">
        <v>40</v>
      </c>
      <c r="B689" t="s">
        <v>373</v>
      </c>
      <c r="C689">
        <f t="shared" si="30"/>
        <v>2024</v>
      </c>
      <c r="D689">
        <f t="shared" si="31"/>
        <v>5</v>
      </c>
      <c r="E689" t="str">
        <f t="shared" si="32"/>
        <v>2024-5</v>
      </c>
      <c r="K689" t="s">
        <v>270</v>
      </c>
      <c r="L689" t="s">
        <v>500</v>
      </c>
    </row>
    <row r="690" spans="1:12" x14ac:dyDescent="0.25">
      <c r="A690" t="s">
        <v>248</v>
      </c>
      <c r="B690" t="s">
        <v>373</v>
      </c>
      <c r="C690">
        <f t="shared" si="30"/>
        <v>2024</v>
      </c>
      <c r="D690">
        <f t="shared" si="31"/>
        <v>5</v>
      </c>
      <c r="E690" t="str">
        <f t="shared" si="32"/>
        <v>2024-5</v>
      </c>
      <c r="K690" t="s">
        <v>18</v>
      </c>
      <c r="L690" t="s">
        <v>489</v>
      </c>
    </row>
    <row r="691" spans="1:12" x14ac:dyDescent="0.25">
      <c r="A691" t="s">
        <v>138</v>
      </c>
      <c r="B691" t="s">
        <v>373</v>
      </c>
      <c r="C691">
        <f t="shared" si="30"/>
        <v>2024</v>
      </c>
      <c r="D691">
        <f t="shared" si="31"/>
        <v>5</v>
      </c>
      <c r="E691" t="str">
        <f t="shared" si="32"/>
        <v>2024-5</v>
      </c>
      <c r="K691" t="s">
        <v>18</v>
      </c>
      <c r="L691" t="s">
        <v>490</v>
      </c>
    </row>
    <row r="692" spans="1:12" x14ac:dyDescent="0.25">
      <c r="A692" t="s">
        <v>85</v>
      </c>
      <c r="B692" t="s">
        <v>374</v>
      </c>
      <c r="C692">
        <f t="shared" si="30"/>
        <v>2024</v>
      </c>
      <c r="D692">
        <f t="shared" si="31"/>
        <v>5</v>
      </c>
      <c r="E692" t="str">
        <f t="shared" si="32"/>
        <v>2024-5</v>
      </c>
      <c r="K692" t="s">
        <v>18</v>
      </c>
      <c r="L692" t="s">
        <v>493</v>
      </c>
    </row>
    <row r="693" spans="1:12" x14ac:dyDescent="0.25">
      <c r="A693" t="s">
        <v>270</v>
      </c>
      <c r="B693" t="s">
        <v>374</v>
      </c>
      <c r="C693">
        <f t="shared" si="30"/>
        <v>2024</v>
      </c>
      <c r="D693">
        <f t="shared" si="31"/>
        <v>5</v>
      </c>
      <c r="E693" t="str">
        <f t="shared" si="32"/>
        <v>2024-5</v>
      </c>
      <c r="K693" t="s">
        <v>101</v>
      </c>
      <c r="L693" t="s">
        <v>489</v>
      </c>
    </row>
    <row r="694" spans="1:12" x14ac:dyDescent="0.25">
      <c r="A694" t="s">
        <v>281</v>
      </c>
      <c r="B694" t="s">
        <v>374</v>
      </c>
      <c r="C694">
        <f t="shared" si="30"/>
        <v>2024</v>
      </c>
      <c r="D694">
        <f t="shared" si="31"/>
        <v>5</v>
      </c>
      <c r="E694" t="str">
        <f t="shared" si="32"/>
        <v>2024-5</v>
      </c>
      <c r="K694" t="s">
        <v>101</v>
      </c>
      <c r="L694" t="s">
        <v>490</v>
      </c>
    </row>
    <row r="695" spans="1:12" x14ac:dyDescent="0.25">
      <c r="A695" t="s">
        <v>93</v>
      </c>
      <c r="B695" t="s">
        <v>374</v>
      </c>
      <c r="C695">
        <f t="shared" si="30"/>
        <v>2024</v>
      </c>
      <c r="D695">
        <f t="shared" si="31"/>
        <v>5</v>
      </c>
      <c r="E695" t="str">
        <f t="shared" si="32"/>
        <v>2024-5</v>
      </c>
      <c r="K695" t="s">
        <v>101</v>
      </c>
      <c r="L695" t="s">
        <v>492</v>
      </c>
    </row>
    <row r="696" spans="1:12" x14ac:dyDescent="0.25">
      <c r="A696" t="s">
        <v>140</v>
      </c>
      <c r="B696" t="s">
        <v>374</v>
      </c>
      <c r="C696">
        <f t="shared" si="30"/>
        <v>2024</v>
      </c>
      <c r="D696">
        <f t="shared" si="31"/>
        <v>5</v>
      </c>
      <c r="E696" t="str">
        <f t="shared" si="32"/>
        <v>2024-5</v>
      </c>
      <c r="K696" t="s">
        <v>101</v>
      </c>
      <c r="L696" t="s">
        <v>493</v>
      </c>
    </row>
    <row r="697" spans="1:12" x14ac:dyDescent="0.25">
      <c r="A697" t="s">
        <v>272</v>
      </c>
      <c r="B697" t="s">
        <v>374</v>
      </c>
      <c r="C697">
        <f t="shared" si="30"/>
        <v>2024</v>
      </c>
      <c r="D697">
        <f t="shared" si="31"/>
        <v>5</v>
      </c>
      <c r="E697" t="str">
        <f t="shared" si="32"/>
        <v>2024-5</v>
      </c>
      <c r="K697" t="s">
        <v>101</v>
      </c>
      <c r="L697" t="s">
        <v>494</v>
      </c>
    </row>
    <row r="698" spans="1:12" x14ac:dyDescent="0.25">
      <c r="A698" t="s">
        <v>185</v>
      </c>
      <c r="B698" t="s">
        <v>375</v>
      </c>
      <c r="C698">
        <f t="shared" si="30"/>
        <v>2024</v>
      </c>
      <c r="D698">
        <f t="shared" si="31"/>
        <v>5</v>
      </c>
      <c r="E698" t="str">
        <f t="shared" si="32"/>
        <v>2024-5</v>
      </c>
      <c r="K698" t="s">
        <v>101</v>
      </c>
      <c r="L698" t="s">
        <v>497</v>
      </c>
    </row>
    <row r="699" spans="1:12" x14ac:dyDescent="0.25">
      <c r="A699" t="s">
        <v>316</v>
      </c>
      <c r="B699" t="s">
        <v>376</v>
      </c>
      <c r="C699">
        <f t="shared" si="30"/>
        <v>2024</v>
      </c>
      <c r="D699">
        <f t="shared" si="31"/>
        <v>5</v>
      </c>
      <c r="E699" t="str">
        <f t="shared" si="32"/>
        <v>2024-5</v>
      </c>
      <c r="K699" t="s">
        <v>101</v>
      </c>
      <c r="L699" t="s">
        <v>498</v>
      </c>
    </row>
    <row r="700" spans="1:12" x14ac:dyDescent="0.25">
      <c r="A700" t="s">
        <v>34</v>
      </c>
      <c r="B700" t="s">
        <v>376</v>
      </c>
      <c r="C700">
        <f t="shared" si="30"/>
        <v>2024</v>
      </c>
      <c r="D700">
        <f t="shared" si="31"/>
        <v>5</v>
      </c>
      <c r="E700" t="str">
        <f t="shared" si="32"/>
        <v>2024-5</v>
      </c>
      <c r="K700" t="s">
        <v>20</v>
      </c>
      <c r="L700" t="s">
        <v>489</v>
      </c>
    </row>
    <row r="701" spans="1:12" x14ac:dyDescent="0.25">
      <c r="A701" t="s">
        <v>214</v>
      </c>
      <c r="B701" t="s">
        <v>376</v>
      </c>
      <c r="C701">
        <f t="shared" si="30"/>
        <v>2024</v>
      </c>
      <c r="D701">
        <f t="shared" si="31"/>
        <v>5</v>
      </c>
      <c r="E701" t="str">
        <f t="shared" si="32"/>
        <v>2024-5</v>
      </c>
      <c r="K701" t="s">
        <v>20</v>
      </c>
      <c r="L701" t="s">
        <v>491</v>
      </c>
    </row>
    <row r="702" spans="1:12" x14ac:dyDescent="0.25">
      <c r="A702" t="s">
        <v>190</v>
      </c>
      <c r="B702" t="s">
        <v>377</v>
      </c>
      <c r="C702">
        <f t="shared" si="30"/>
        <v>2024</v>
      </c>
      <c r="D702">
        <f t="shared" si="31"/>
        <v>5</v>
      </c>
      <c r="E702" t="str">
        <f t="shared" si="32"/>
        <v>2024-5</v>
      </c>
      <c r="K702" t="s">
        <v>20</v>
      </c>
      <c r="L702" t="s">
        <v>494</v>
      </c>
    </row>
    <row r="703" spans="1:12" x14ac:dyDescent="0.25">
      <c r="A703" t="s">
        <v>59</v>
      </c>
      <c r="B703" t="s">
        <v>377</v>
      </c>
      <c r="C703">
        <f t="shared" si="30"/>
        <v>2024</v>
      </c>
      <c r="D703">
        <f t="shared" si="31"/>
        <v>5</v>
      </c>
      <c r="E703" t="str">
        <f t="shared" si="32"/>
        <v>2024-5</v>
      </c>
      <c r="K703" t="s">
        <v>20</v>
      </c>
      <c r="L703" t="s">
        <v>495</v>
      </c>
    </row>
    <row r="704" spans="1:12" x14ac:dyDescent="0.25">
      <c r="A704" t="s">
        <v>235</v>
      </c>
      <c r="B704" t="s">
        <v>377</v>
      </c>
      <c r="C704">
        <f t="shared" si="30"/>
        <v>2024</v>
      </c>
      <c r="D704">
        <f t="shared" si="31"/>
        <v>5</v>
      </c>
      <c r="E704" t="str">
        <f t="shared" si="32"/>
        <v>2024-5</v>
      </c>
      <c r="K704" t="s">
        <v>20</v>
      </c>
      <c r="L704" t="s">
        <v>498</v>
      </c>
    </row>
    <row r="705" spans="1:12" x14ac:dyDescent="0.25">
      <c r="A705" t="s">
        <v>207</v>
      </c>
      <c r="B705" t="s">
        <v>377</v>
      </c>
      <c r="C705">
        <f t="shared" si="30"/>
        <v>2024</v>
      </c>
      <c r="D705">
        <f t="shared" si="31"/>
        <v>5</v>
      </c>
      <c r="E705" t="str">
        <f t="shared" si="32"/>
        <v>2024-5</v>
      </c>
      <c r="K705" t="s">
        <v>20</v>
      </c>
      <c r="L705" t="s">
        <v>500</v>
      </c>
    </row>
    <row r="706" spans="1:12" x14ac:dyDescent="0.25">
      <c r="A706" t="s">
        <v>11</v>
      </c>
      <c r="B706" t="s">
        <v>377</v>
      </c>
      <c r="C706">
        <f t="shared" si="30"/>
        <v>2024</v>
      </c>
      <c r="D706">
        <f t="shared" si="31"/>
        <v>5</v>
      </c>
      <c r="E706" t="str">
        <f t="shared" si="32"/>
        <v>2024-5</v>
      </c>
      <c r="K706" t="s">
        <v>296</v>
      </c>
      <c r="L706" t="s">
        <v>494</v>
      </c>
    </row>
    <row r="707" spans="1:12" x14ac:dyDescent="0.25">
      <c r="A707" t="s">
        <v>272</v>
      </c>
      <c r="B707" t="s">
        <v>377</v>
      </c>
      <c r="C707">
        <f t="shared" ref="C707:C770" si="33">YEAR(B707)</f>
        <v>2024</v>
      </c>
      <c r="D707">
        <f t="shared" ref="D707:D770" si="34">MONTH(B707)</f>
        <v>5</v>
      </c>
      <c r="E707" t="str">
        <f t="shared" ref="E707:E770" si="35">C707&amp;"-"&amp;D707</f>
        <v>2024-5</v>
      </c>
      <c r="K707" t="s">
        <v>296</v>
      </c>
      <c r="L707" t="s">
        <v>496</v>
      </c>
    </row>
    <row r="708" spans="1:12" x14ac:dyDescent="0.25">
      <c r="A708" t="s">
        <v>29</v>
      </c>
      <c r="B708" t="s">
        <v>378</v>
      </c>
      <c r="C708">
        <f t="shared" si="33"/>
        <v>2024</v>
      </c>
      <c r="D708">
        <f t="shared" si="34"/>
        <v>5</v>
      </c>
      <c r="E708" t="str">
        <f t="shared" si="35"/>
        <v>2024-5</v>
      </c>
      <c r="K708" t="s">
        <v>296</v>
      </c>
      <c r="L708" t="s">
        <v>497</v>
      </c>
    </row>
    <row r="709" spans="1:12" x14ac:dyDescent="0.25">
      <c r="A709" t="s">
        <v>9</v>
      </c>
      <c r="B709" t="s">
        <v>378</v>
      </c>
      <c r="C709">
        <f t="shared" si="33"/>
        <v>2024</v>
      </c>
      <c r="D709">
        <f t="shared" si="34"/>
        <v>5</v>
      </c>
      <c r="E709" t="str">
        <f t="shared" si="35"/>
        <v>2024-5</v>
      </c>
      <c r="K709" t="s">
        <v>296</v>
      </c>
      <c r="L709" t="s">
        <v>499</v>
      </c>
    </row>
    <row r="710" spans="1:12" x14ac:dyDescent="0.25">
      <c r="A710" t="s">
        <v>70</v>
      </c>
      <c r="B710" t="s">
        <v>378</v>
      </c>
      <c r="C710">
        <f t="shared" si="33"/>
        <v>2024</v>
      </c>
      <c r="D710">
        <f t="shared" si="34"/>
        <v>5</v>
      </c>
      <c r="E710" t="str">
        <f t="shared" si="35"/>
        <v>2024-5</v>
      </c>
      <c r="K710" t="s">
        <v>146</v>
      </c>
      <c r="L710" t="s">
        <v>490</v>
      </c>
    </row>
    <row r="711" spans="1:12" x14ac:dyDescent="0.25">
      <c r="A711" t="s">
        <v>163</v>
      </c>
      <c r="B711" t="s">
        <v>379</v>
      </c>
      <c r="C711">
        <f t="shared" si="33"/>
        <v>2024</v>
      </c>
      <c r="D711">
        <f t="shared" si="34"/>
        <v>5</v>
      </c>
      <c r="E711" t="str">
        <f t="shared" si="35"/>
        <v>2024-5</v>
      </c>
      <c r="K711" t="s">
        <v>146</v>
      </c>
      <c r="L711" t="s">
        <v>491</v>
      </c>
    </row>
    <row r="712" spans="1:12" x14ac:dyDescent="0.25">
      <c r="A712" t="s">
        <v>238</v>
      </c>
      <c r="B712" t="s">
        <v>380</v>
      </c>
      <c r="C712">
        <f t="shared" si="33"/>
        <v>2024</v>
      </c>
      <c r="D712">
        <f t="shared" si="34"/>
        <v>5</v>
      </c>
      <c r="E712" t="str">
        <f t="shared" si="35"/>
        <v>2024-5</v>
      </c>
      <c r="K712" t="s">
        <v>146</v>
      </c>
      <c r="L712" t="s">
        <v>494</v>
      </c>
    </row>
    <row r="713" spans="1:12" x14ac:dyDescent="0.25">
      <c r="A713" t="s">
        <v>180</v>
      </c>
      <c r="B713" t="s">
        <v>380</v>
      </c>
      <c r="C713">
        <f t="shared" si="33"/>
        <v>2024</v>
      </c>
      <c r="D713">
        <f t="shared" si="34"/>
        <v>5</v>
      </c>
      <c r="E713" t="str">
        <f t="shared" si="35"/>
        <v>2024-5</v>
      </c>
      <c r="K713" t="s">
        <v>146</v>
      </c>
      <c r="L713" t="s">
        <v>498</v>
      </c>
    </row>
    <row r="714" spans="1:12" x14ac:dyDescent="0.25">
      <c r="A714" t="s">
        <v>34</v>
      </c>
      <c r="B714" t="s">
        <v>380</v>
      </c>
      <c r="C714">
        <f t="shared" si="33"/>
        <v>2024</v>
      </c>
      <c r="D714">
        <f t="shared" si="34"/>
        <v>5</v>
      </c>
      <c r="E714" t="str">
        <f t="shared" si="35"/>
        <v>2024-5</v>
      </c>
      <c r="K714" t="s">
        <v>146</v>
      </c>
      <c r="L714" t="s">
        <v>499</v>
      </c>
    </row>
    <row r="715" spans="1:12" x14ac:dyDescent="0.25">
      <c r="A715" t="s">
        <v>296</v>
      </c>
      <c r="B715" t="s">
        <v>380</v>
      </c>
      <c r="C715">
        <f t="shared" si="33"/>
        <v>2024</v>
      </c>
      <c r="D715">
        <f t="shared" si="34"/>
        <v>5</v>
      </c>
      <c r="E715" t="str">
        <f t="shared" si="35"/>
        <v>2024-5</v>
      </c>
      <c r="K715" t="s">
        <v>85</v>
      </c>
      <c r="L715" t="s">
        <v>489</v>
      </c>
    </row>
    <row r="716" spans="1:12" x14ac:dyDescent="0.25">
      <c r="A716" t="s">
        <v>195</v>
      </c>
      <c r="B716" t="s">
        <v>381</v>
      </c>
      <c r="C716">
        <f t="shared" si="33"/>
        <v>2024</v>
      </c>
      <c r="D716">
        <f t="shared" si="34"/>
        <v>5</v>
      </c>
      <c r="E716" t="str">
        <f t="shared" si="35"/>
        <v>2024-5</v>
      </c>
      <c r="K716" t="s">
        <v>85</v>
      </c>
      <c r="L716" t="s">
        <v>490</v>
      </c>
    </row>
    <row r="717" spans="1:12" x14ac:dyDescent="0.25">
      <c r="A717" t="s">
        <v>116</v>
      </c>
      <c r="B717" t="s">
        <v>381</v>
      </c>
      <c r="C717">
        <f t="shared" si="33"/>
        <v>2024</v>
      </c>
      <c r="D717">
        <f t="shared" si="34"/>
        <v>5</v>
      </c>
      <c r="E717" t="str">
        <f t="shared" si="35"/>
        <v>2024-5</v>
      </c>
      <c r="K717" t="s">
        <v>85</v>
      </c>
      <c r="L717" t="s">
        <v>493</v>
      </c>
    </row>
    <row r="718" spans="1:12" x14ac:dyDescent="0.25">
      <c r="A718" t="s">
        <v>66</v>
      </c>
      <c r="B718" t="s">
        <v>381</v>
      </c>
      <c r="C718">
        <f t="shared" si="33"/>
        <v>2024</v>
      </c>
      <c r="D718">
        <f t="shared" si="34"/>
        <v>5</v>
      </c>
      <c r="E718" t="str">
        <f t="shared" si="35"/>
        <v>2024-5</v>
      </c>
      <c r="K718" t="s">
        <v>85</v>
      </c>
      <c r="L718" t="s">
        <v>494</v>
      </c>
    </row>
    <row r="719" spans="1:12" x14ac:dyDescent="0.25">
      <c r="A719" t="s">
        <v>136</v>
      </c>
      <c r="B719" t="s">
        <v>381</v>
      </c>
      <c r="C719">
        <f t="shared" si="33"/>
        <v>2024</v>
      </c>
      <c r="D719">
        <f t="shared" si="34"/>
        <v>5</v>
      </c>
      <c r="E719" t="str">
        <f t="shared" si="35"/>
        <v>2024-5</v>
      </c>
      <c r="K719" t="s">
        <v>85</v>
      </c>
      <c r="L719" t="s">
        <v>495</v>
      </c>
    </row>
    <row r="720" spans="1:12" x14ac:dyDescent="0.25">
      <c r="A720" t="s">
        <v>206</v>
      </c>
      <c r="B720" t="s">
        <v>381</v>
      </c>
      <c r="C720">
        <f t="shared" si="33"/>
        <v>2024</v>
      </c>
      <c r="D720">
        <f t="shared" si="34"/>
        <v>5</v>
      </c>
      <c r="E720" t="str">
        <f t="shared" si="35"/>
        <v>2024-5</v>
      </c>
      <c r="K720" t="s">
        <v>85</v>
      </c>
      <c r="L720" t="s">
        <v>497</v>
      </c>
    </row>
    <row r="721" spans="1:12" x14ac:dyDescent="0.25">
      <c r="A721" t="s">
        <v>138</v>
      </c>
      <c r="B721" t="s">
        <v>382</v>
      </c>
      <c r="C721">
        <f t="shared" si="33"/>
        <v>2024</v>
      </c>
      <c r="D721">
        <f t="shared" si="34"/>
        <v>5</v>
      </c>
      <c r="E721" t="str">
        <f t="shared" si="35"/>
        <v>2024-5</v>
      </c>
      <c r="K721" t="s">
        <v>85</v>
      </c>
      <c r="L721" t="s">
        <v>500</v>
      </c>
    </row>
    <row r="722" spans="1:12" x14ac:dyDescent="0.25">
      <c r="A722" t="s">
        <v>68</v>
      </c>
      <c r="B722" t="s">
        <v>382</v>
      </c>
      <c r="C722">
        <f t="shared" si="33"/>
        <v>2024</v>
      </c>
      <c r="D722">
        <f t="shared" si="34"/>
        <v>5</v>
      </c>
      <c r="E722" t="str">
        <f t="shared" si="35"/>
        <v>2024-5</v>
      </c>
      <c r="K722" t="s">
        <v>28</v>
      </c>
      <c r="L722" t="s">
        <v>489</v>
      </c>
    </row>
    <row r="723" spans="1:12" x14ac:dyDescent="0.25">
      <c r="A723" t="s">
        <v>203</v>
      </c>
      <c r="B723" t="s">
        <v>382</v>
      </c>
      <c r="C723">
        <f t="shared" si="33"/>
        <v>2024</v>
      </c>
      <c r="D723">
        <f t="shared" si="34"/>
        <v>5</v>
      </c>
      <c r="E723" t="str">
        <f t="shared" si="35"/>
        <v>2024-5</v>
      </c>
      <c r="K723" t="s">
        <v>28</v>
      </c>
      <c r="L723" t="s">
        <v>490</v>
      </c>
    </row>
    <row r="724" spans="1:12" x14ac:dyDescent="0.25">
      <c r="A724" t="s">
        <v>237</v>
      </c>
      <c r="B724" t="s">
        <v>383</v>
      </c>
      <c r="C724">
        <f t="shared" si="33"/>
        <v>2024</v>
      </c>
      <c r="D724">
        <f t="shared" si="34"/>
        <v>5</v>
      </c>
      <c r="E724" t="str">
        <f t="shared" si="35"/>
        <v>2024-5</v>
      </c>
      <c r="K724" t="s">
        <v>28</v>
      </c>
      <c r="L724" t="s">
        <v>492</v>
      </c>
    </row>
    <row r="725" spans="1:12" x14ac:dyDescent="0.25">
      <c r="A725" t="s">
        <v>185</v>
      </c>
      <c r="B725" t="s">
        <v>383</v>
      </c>
      <c r="C725">
        <f t="shared" si="33"/>
        <v>2024</v>
      </c>
      <c r="D725">
        <f t="shared" si="34"/>
        <v>5</v>
      </c>
      <c r="E725" t="str">
        <f t="shared" si="35"/>
        <v>2024-5</v>
      </c>
      <c r="K725" t="s">
        <v>28</v>
      </c>
      <c r="L725" t="s">
        <v>495</v>
      </c>
    </row>
    <row r="726" spans="1:12" x14ac:dyDescent="0.25">
      <c r="A726" t="s">
        <v>350</v>
      </c>
      <c r="B726" t="s">
        <v>384</v>
      </c>
      <c r="C726">
        <f t="shared" si="33"/>
        <v>2024</v>
      </c>
      <c r="D726">
        <f t="shared" si="34"/>
        <v>5</v>
      </c>
      <c r="E726" t="str">
        <f t="shared" si="35"/>
        <v>2024-5</v>
      </c>
      <c r="K726" t="s">
        <v>28</v>
      </c>
      <c r="L726" t="s">
        <v>496</v>
      </c>
    </row>
    <row r="727" spans="1:12" x14ac:dyDescent="0.25">
      <c r="A727" t="s">
        <v>200</v>
      </c>
      <c r="B727" t="s">
        <v>384</v>
      </c>
      <c r="C727">
        <f t="shared" si="33"/>
        <v>2024</v>
      </c>
      <c r="D727">
        <f t="shared" si="34"/>
        <v>5</v>
      </c>
      <c r="E727" t="str">
        <f t="shared" si="35"/>
        <v>2024-5</v>
      </c>
      <c r="K727" t="s">
        <v>297</v>
      </c>
      <c r="L727" t="s">
        <v>494</v>
      </c>
    </row>
    <row r="728" spans="1:12" x14ac:dyDescent="0.25">
      <c r="A728" t="s">
        <v>280</v>
      </c>
      <c r="B728" t="s">
        <v>384</v>
      </c>
      <c r="C728">
        <f t="shared" si="33"/>
        <v>2024</v>
      </c>
      <c r="D728">
        <f t="shared" si="34"/>
        <v>5</v>
      </c>
      <c r="E728" t="str">
        <f t="shared" si="35"/>
        <v>2024-5</v>
      </c>
      <c r="K728" t="s">
        <v>372</v>
      </c>
      <c r="L728" t="s">
        <v>497</v>
      </c>
    </row>
    <row r="729" spans="1:12" x14ac:dyDescent="0.25">
      <c r="A729" t="s">
        <v>202</v>
      </c>
      <c r="B729" t="s">
        <v>384</v>
      </c>
      <c r="C729">
        <f t="shared" si="33"/>
        <v>2024</v>
      </c>
      <c r="D729">
        <f t="shared" si="34"/>
        <v>5</v>
      </c>
      <c r="E729" t="str">
        <f t="shared" si="35"/>
        <v>2024-5</v>
      </c>
      <c r="K729" t="s">
        <v>290</v>
      </c>
      <c r="L729" t="s">
        <v>494</v>
      </c>
    </row>
    <row r="730" spans="1:12" x14ac:dyDescent="0.25">
      <c r="A730" t="s">
        <v>171</v>
      </c>
      <c r="B730" t="s">
        <v>384</v>
      </c>
      <c r="C730">
        <f t="shared" si="33"/>
        <v>2024</v>
      </c>
      <c r="D730">
        <f t="shared" si="34"/>
        <v>5</v>
      </c>
      <c r="E730" t="str">
        <f t="shared" si="35"/>
        <v>2024-5</v>
      </c>
      <c r="K730" t="s">
        <v>25</v>
      </c>
      <c r="L730" t="s">
        <v>489</v>
      </c>
    </row>
    <row r="731" spans="1:12" x14ac:dyDescent="0.25">
      <c r="A731" t="s">
        <v>316</v>
      </c>
      <c r="B731" t="s">
        <v>385</v>
      </c>
      <c r="C731">
        <f t="shared" si="33"/>
        <v>2024</v>
      </c>
      <c r="D731">
        <f t="shared" si="34"/>
        <v>5</v>
      </c>
      <c r="E731" t="str">
        <f t="shared" si="35"/>
        <v>2024-5</v>
      </c>
      <c r="K731" t="s">
        <v>25</v>
      </c>
      <c r="L731" t="s">
        <v>492</v>
      </c>
    </row>
    <row r="732" spans="1:12" x14ac:dyDescent="0.25">
      <c r="A732" t="s">
        <v>98</v>
      </c>
      <c r="B732" t="s">
        <v>385</v>
      </c>
      <c r="C732">
        <f t="shared" si="33"/>
        <v>2024</v>
      </c>
      <c r="D732">
        <f t="shared" si="34"/>
        <v>5</v>
      </c>
      <c r="E732" t="str">
        <f t="shared" si="35"/>
        <v>2024-5</v>
      </c>
      <c r="K732" t="s">
        <v>25</v>
      </c>
      <c r="L732" t="s">
        <v>493</v>
      </c>
    </row>
    <row r="733" spans="1:12" x14ac:dyDescent="0.25">
      <c r="A733" t="s">
        <v>60</v>
      </c>
      <c r="B733" t="s">
        <v>385</v>
      </c>
      <c r="C733">
        <f t="shared" si="33"/>
        <v>2024</v>
      </c>
      <c r="D733">
        <f t="shared" si="34"/>
        <v>5</v>
      </c>
      <c r="E733" t="str">
        <f t="shared" si="35"/>
        <v>2024-5</v>
      </c>
      <c r="K733" t="s">
        <v>25</v>
      </c>
      <c r="L733" t="s">
        <v>494</v>
      </c>
    </row>
    <row r="734" spans="1:12" x14ac:dyDescent="0.25">
      <c r="A734" t="s">
        <v>264</v>
      </c>
      <c r="B734" t="s">
        <v>385</v>
      </c>
      <c r="C734">
        <f t="shared" si="33"/>
        <v>2024</v>
      </c>
      <c r="D734">
        <f t="shared" si="34"/>
        <v>5</v>
      </c>
      <c r="E734" t="str">
        <f t="shared" si="35"/>
        <v>2024-5</v>
      </c>
      <c r="K734" t="s">
        <v>25</v>
      </c>
      <c r="L734" t="s">
        <v>498</v>
      </c>
    </row>
    <row r="735" spans="1:12" x14ac:dyDescent="0.25">
      <c r="A735" t="s">
        <v>264</v>
      </c>
      <c r="B735" t="s">
        <v>385</v>
      </c>
      <c r="C735">
        <f t="shared" si="33"/>
        <v>2024</v>
      </c>
      <c r="D735">
        <f t="shared" si="34"/>
        <v>5</v>
      </c>
      <c r="E735" t="str">
        <f t="shared" si="35"/>
        <v>2024-5</v>
      </c>
      <c r="K735" t="s">
        <v>160</v>
      </c>
      <c r="L735" t="s">
        <v>490</v>
      </c>
    </row>
    <row r="736" spans="1:12" x14ac:dyDescent="0.25">
      <c r="A736" t="s">
        <v>195</v>
      </c>
      <c r="B736" t="s">
        <v>386</v>
      </c>
      <c r="C736">
        <f t="shared" si="33"/>
        <v>2024</v>
      </c>
      <c r="D736">
        <f t="shared" si="34"/>
        <v>5</v>
      </c>
      <c r="E736" t="str">
        <f t="shared" si="35"/>
        <v>2024-5</v>
      </c>
      <c r="K736" t="s">
        <v>160</v>
      </c>
      <c r="L736" t="s">
        <v>493</v>
      </c>
    </row>
    <row r="737" spans="1:12" x14ac:dyDescent="0.25">
      <c r="A737" t="s">
        <v>61</v>
      </c>
      <c r="B737" t="s">
        <v>386</v>
      </c>
      <c r="C737">
        <f t="shared" si="33"/>
        <v>2024</v>
      </c>
      <c r="D737">
        <f t="shared" si="34"/>
        <v>5</v>
      </c>
      <c r="E737" t="str">
        <f t="shared" si="35"/>
        <v>2024-5</v>
      </c>
      <c r="K737" t="s">
        <v>160</v>
      </c>
      <c r="L737" t="s">
        <v>496</v>
      </c>
    </row>
    <row r="738" spans="1:12" x14ac:dyDescent="0.25">
      <c r="A738" t="s">
        <v>60</v>
      </c>
      <c r="B738" t="s">
        <v>386</v>
      </c>
      <c r="C738">
        <f t="shared" si="33"/>
        <v>2024</v>
      </c>
      <c r="D738">
        <f t="shared" si="34"/>
        <v>5</v>
      </c>
      <c r="E738" t="str">
        <f t="shared" si="35"/>
        <v>2024-5</v>
      </c>
      <c r="K738" t="s">
        <v>97</v>
      </c>
      <c r="L738" t="s">
        <v>489</v>
      </c>
    </row>
    <row r="739" spans="1:12" x14ac:dyDescent="0.25">
      <c r="A739" t="s">
        <v>35</v>
      </c>
      <c r="B739" t="s">
        <v>387</v>
      </c>
      <c r="C739">
        <f t="shared" si="33"/>
        <v>2024</v>
      </c>
      <c r="D739">
        <f t="shared" si="34"/>
        <v>5</v>
      </c>
      <c r="E739" t="str">
        <f t="shared" si="35"/>
        <v>2024-5</v>
      </c>
      <c r="K739" t="s">
        <v>97</v>
      </c>
      <c r="L739" t="s">
        <v>492</v>
      </c>
    </row>
    <row r="740" spans="1:12" x14ac:dyDescent="0.25">
      <c r="A740" t="s">
        <v>129</v>
      </c>
      <c r="B740" t="s">
        <v>388</v>
      </c>
      <c r="C740">
        <f t="shared" si="33"/>
        <v>2024</v>
      </c>
      <c r="D740">
        <f t="shared" si="34"/>
        <v>5</v>
      </c>
      <c r="E740" t="str">
        <f t="shared" si="35"/>
        <v>2024-5</v>
      </c>
      <c r="K740" t="s">
        <v>97</v>
      </c>
      <c r="L740" t="s">
        <v>493</v>
      </c>
    </row>
    <row r="741" spans="1:12" x14ac:dyDescent="0.25">
      <c r="A741" t="s">
        <v>140</v>
      </c>
      <c r="B741" t="s">
        <v>388</v>
      </c>
      <c r="C741">
        <f t="shared" si="33"/>
        <v>2024</v>
      </c>
      <c r="D741">
        <f t="shared" si="34"/>
        <v>5</v>
      </c>
      <c r="E741" t="str">
        <f t="shared" si="35"/>
        <v>2024-5</v>
      </c>
      <c r="K741" t="s">
        <v>97</v>
      </c>
      <c r="L741" t="s">
        <v>494</v>
      </c>
    </row>
    <row r="742" spans="1:12" x14ac:dyDescent="0.25">
      <c r="A742" t="s">
        <v>195</v>
      </c>
      <c r="B742" t="s">
        <v>388</v>
      </c>
      <c r="C742">
        <f t="shared" si="33"/>
        <v>2024</v>
      </c>
      <c r="D742">
        <f t="shared" si="34"/>
        <v>5</v>
      </c>
      <c r="E742" t="str">
        <f t="shared" si="35"/>
        <v>2024-5</v>
      </c>
      <c r="K742" t="s">
        <v>97</v>
      </c>
      <c r="L742" t="s">
        <v>499</v>
      </c>
    </row>
    <row r="743" spans="1:12" x14ac:dyDescent="0.25">
      <c r="A743" t="s">
        <v>37</v>
      </c>
      <c r="B743" t="s">
        <v>389</v>
      </c>
      <c r="C743">
        <f t="shared" si="33"/>
        <v>2024</v>
      </c>
      <c r="D743">
        <f t="shared" si="34"/>
        <v>5</v>
      </c>
      <c r="E743" t="str">
        <f t="shared" si="35"/>
        <v>2024-5</v>
      </c>
      <c r="K743" t="s">
        <v>206</v>
      </c>
      <c r="L743" t="s">
        <v>491</v>
      </c>
    </row>
    <row r="744" spans="1:12" x14ac:dyDescent="0.25">
      <c r="A744" t="s">
        <v>116</v>
      </c>
      <c r="B744" t="s">
        <v>389</v>
      </c>
      <c r="C744">
        <f t="shared" si="33"/>
        <v>2024</v>
      </c>
      <c r="D744">
        <f t="shared" si="34"/>
        <v>5</v>
      </c>
      <c r="E744" t="str">
        <f t="shared" si="35"/>
        <v>2024-5</v>
      </c>
      <c r="K744" t="s">
        <v>206</v>
      </c>
      <c r="L744" t="s">
        <v>492</v>
      </c>
    </row>
    <row r="745" spans="1:12" x14ac:dyDescent="0.25">
      <c r="A745" t="s">
        <v>312</v>
      </c>
      <c r="B745" t="s">
        <v>390</v>
      </c>
      <c r="C745">
        <f t="shared" si="33"/>
        <v>2024</v>
      </c>
      <c r="D745">
        <f t="shared" si="34"/>
        <v>6</v>
      </c>
      <c r="E745" t="str">
        <f t="shared" si="35"/>
        <v>2024-6</v>
      </c>
      <c r="K745" t="s">
        <v>206</v>
      </c>
      <c r="L745" t="s">
        <v>493</v>
      </c>
    </row>
    <row r="746" spans="1:12" x14ac:dyDescent="0.25">
      <c r="A746" t="s">
        <v>101</v>
      </c>
      <c r="B746" t="s">
        <v>390</v>
      </c>
      <c r="C746">
        <f t="shared" si="33"/>
        <v>2024</v>
      </c>
      <c r="D746">
        <f t="shared" si="34"/>
        <v>6</v>
      </c>
      <c r="E746" t="str">
        <f t="shared" si="35"/>
        <v>2024-6</v>
      </c>
      <c r="K746" t="s">
        <v>206</v>
      </c>
      <c r="L746" t="s">
        <v>496</v>
      </c>
    </row>
    <row r="747" spans="1:12" x14ac:dyDescent="0.25">
      <c r="A747" t="s">
        <v>129</v>
      </c>
      <c r="B747" t="s">
        <v>391</v>
      </c>
      <c r="C747">
        <f t="shared" si="33"/>
        <v>2024</v>
      </c>
      <c r="D747">
        <f t="shared" si="34"/>
        <v>6</v>
      </c>
      <c r="E747" t="str">
        <f t="shared" si="35"/>
        <v>2024-6</v>
      </c>
      <c r="K747" t="s">
        <v>206</v>
      </c>
      <c r="L747" t="s">
        <v>497</v>
      </c>
    </row>
    <row r="748" spans="1:12" x14ac:dyDescent="0.25">
      <c r="A748" t="s">
        <v>252</v>
      </c>
      <c r="B748" t="s">
        <v>391</v>
      </c>
      <c r="C748">
        <f t="shared" si="33"/>
        <v>2024</v>
      </c>
      <c r="D748">
        <f t="shared" si="34"/>
        <v>6</v>
      </c>
      <c r="E748" t="str">
        <f t="shared" si="35"/>
        <v>2024-6</v>
      </c>
      <c r="K748" t="s">
        <v>206</v>
      </c>
      <c r="L748" t="s">
        <v>498</v>
      </c>
    </row>
    <row r="749" spans="1:12" x14ac:dyDescent="0.25">
      <c r="A749" t="s">
        <v>129</v>
      </c>
      <c r="B749" t="s">
        <v>391</v>
      </c>
      <c r="C749">
        <f t="shared" si="33"/>
        <v>2024</v>
      </c>
      <c r="D749">
        <f t="shared" si="34"/>
        <v>6</v>
      </c>
      <c r="E749" t="str">
        <f t="shared" si="35"/>
        <v>2024-6</v>
      </c>
      <c r="K749" t="s">
        <v>328</v>
      </c>
      <c r="L749" t="s">
        <v>495</v>
      </c>
    </row>
    <row r="750" spans="1:12" x14ac:dyDescent="0.25">
      <c r="A750" t="s">
        <v>107</v>
      </c>
      <c r="B750" t="s">
        <v>392</v>
      </c>
      <c r="C750">
        <f t="shared" si="33"/>
        <v>2024</v>
      </c>
      <c r="D750">
        <f t="shared" si="34"/>
        <v>6</v>
      </c>
      <c r="E750" t="str">
        <f t="shared" si="35"/>
        <v>2024-6</v>
      </c>
      <c r="K750" t="s">
        <v>328</v>
      </c>
      <c r="L750" t="s">
        <v>496</v>
      </c>
    </row>
    <row r="751" spans="1:12" x14ac:dyDescent="0.25">
      <c r="A751" t="s">
        <v>148</v>
      </c>
      <c r="B751" t="s">
        <v>392</v>
      </c>
      <c r="C751">
        <f t="shared" si="33"/>
        <v>2024</v>
      </c>
      <c r="D751">
        <f t="shared" si="34"/>
        <v>6</v>
      </c>
      <c r="E751" t="str">
        <f t="shared" si="35"/>
        <v>2024-6</v>
      </c>
      <c r="K751" t="s">
        <v>41</v>
      </c>
      <c r="L751" t="s">
        <v>489</v>
      </c>
    </row>
    <row r="752" spans="1:12" x14ac:dyDescent="0.25">
      <c r="A752" t="s">
        <v>47</v>
      </c>
      <c r="B752" t="s">
        <v>392</v>
      </c>
      <c r="C752">
        <f t="shared" si="33"/>
        <v>2024</v>
      </c>
      <c r="D752">
        <f t="shared" si="34"/>
        <v>6</v>
      </c>
      <c r="E752" t="str">
        <f t="shared" si="35"/>
        <v>2024-6</v>
      </c>
      <c r="K752" t="s">
        <v>41</v>
      </c>
      <c r="L752" t="s">
        <v>491</v>
      </c>
    </row>
    <row r="753" spans="1:12" x14ac:dyDescent="0.25">
      <c r="A753" t="s">
        <v>25</v>
      </c>
      <c r="B753" t="s">
        <v>392</v>
      </c>
      <c r="C753">
        <f t="shared" si="33"/>
        <v>2024</v>
      </c>
      <c r="D753">
        <f t="shared" si="34"/>
        <v>6</v>
      </c>
      <c r="E753" t="str">
        <f t="shared" si="35"/>
        <v>2024-6</v>
      </c>
      <c r="K753" t="s">
        <v>41</v>
      </c>
      <c r="L753" t="s">
        <v>494</v>
      </c>
    </row>
    <row r="754" spans="1:12" x14ac:dyDescent="0.25">
      <c r="A754" t="s">
        <v>271</v>
      </c>
      <c r="B754" t="s">
        <v>392</v>
      </c>
      <c r="C754">
        <f t="shared" si="33"/>
        <v>2024</v>
      </c>
      <c r="D754">
        <f t="shared" si="34"/>
        <v>6</v>
      </c>
      <c r="E754" t="str">
        <f t="shared" si="35"/>
        <v>2024-6</v>
      </c>
      <c r="K754" t="s">
        <v>68</v>
      </c>
      <c r="L754" t="s">
        <v>489</v>
      </c>
    </row>
    <row r="755" spans="1:12" x14ac:dyDescent="0.25">
      <c r="A755" t="s">
        <v>60</v>
      </c>
      <c r="B755" t="s">
        <v>392</v>
      </c>
      <c r="C755">
        <f t="shared" si="33"/>
        <v>2024</v>
      </c>
      <c r="D755">
        <f t="shared" si="34"/>
        <v>6</v>
      </c>
      <c r="E755" t="str">
        <f t="shared" si="35"/>
        <v>2024-6</v>
      </c>
      <c r="K755" t="s">
        <v>68</v>
      </c>
      <c r="L755" t="s">
        <v>490</v>
      </c>
    </row>
    <row r="756" spans="1:12" x14ac:dyDescent="0.25">
      <c r="A756" t="s">
        <v>11</v>
      </c>
      <c r="B756" t="s">
        <v>393</v>
      </c>
      <c r="C756">
        <f t="shared" si="33"/>
        <v>2024</v>
      </c>
      <c r="D756">
        <f t="shared" si="34"/>
        <v>6</v>
      </c>
      <c r="E756" t="str">
        <f t="shared" si="35"/>
        <v>2024-6</v>
      </c>
      <c r="K756" t="s">
        <v>68</v>
      </c>
      <c r="L756" t="s">
        <v>491</v>
      </c>
    </row>
    <row r="757" spans="1:12" x14ac:dyDescent="0.25">
      <c r="A757" t="s">
        <v>20</v>
      </c>
      <c r="B757" t="s">
        <v>393</v>
      </c>
      <c r="C757">
        <f t="shared" si="33"/>
        <v>2024</v>
      </c>
      <c r="D757">
        <f t="shared" si="34"/>
        <v>6</v>
      </c>
      <c r="E757" t="str">
        <f t="shared" si="35"/>
        <v>2024-6</v>
      </c>
      <c r="K757" t="s">
        <v>68</v>
      </c>
      <c r="L757" t="s">
        <v>492</v>
      </c>
    </row>
    <row r="758" spans="1:12" x14ac:dyDescent="0.25">
      <c r="A758" t="s">
        <v>141</v>
      </c>
      <c r="B758" t="s">
        <v>394</v>
      </c>
      <c r="C758">
        <f t="shared" si="33"/>
        <v>2024</v>
      </c>
      <c r="D758">
        <f t="shared" si="34"/>
        <v>6</v>
      </c>
      <c r="E758" t="str">
        <f t="shared" si="35"/>
        <v>2024-6</v>
      </c>
      <c r="K758" t="s">
        <v>68</v>
      </c>
      <c r="L758" t="s">
        <v>493</v>
      </c>
    </row>
    <row r="759" spans="1:12" x14ac:dyDescent="0.25">
      <c r="A759" t="s">
        <v>235</v>
      </c>
      <c r="B759" t="s">
        <v>394</v>
      </c>
      <c r="C759">
        <f t="shared" si="33"/>
        <v>2024</v>
      </c>
      <c r="D759">
        <f t="shared" si="34"/>
        <v>6</v>
      </c>
      <c r="E759" t="str">
        <f t="shared" si="35"/>
        <v>2024-6</v>
      </c>
      <c r="K759" t="s">
        <v>68</v>
      </c>
      <c r="L759" t="s">
        <v>497</v>
      </c>
    </row>
    <row r="760" spans="1:12" x14ac:dyDescent="0.25">
      <c r="A760" t="s">
        <v>79</v>
      </c>
      <c r="B760" t="s">
        <v>394</v>
      </c>
      <c r="C760">
        <f t="shared" si="33"/>
        <v>2024</v>
      </c>
      <c r="D760">
        <f t="shared" si="34"/>
        <v>6</v>
      </c>
      <c r="E760" t="str">
        <f t="shared" si="35"/>
        <v>2024-6</v>
      </c>
      <c r="K760" t="s">
        <v>190</v>
      </c>
      <c r="L760" t="s">
        <v>491</v>
      </c>
    </row>
    <row r="761" spans="1:12" x14ac:dyDescent="0.25">
      <c r="A761" t="s">
        <v>364</v>
      </c>
      <c r="B761" t="s">
        <v>394</v>
      </c>
      <c r="C761">
        <f t="shared" si="33"/>
        <v>2024</v>
      </c>
      <c r="D761">
        <f t="shared" si="34"/>
        <v>6</v>
      </c>
      <c r="E761" t="str">
        <f t="shared" si="35"/>
        <v>2024-6</v>
      </c>
      <c r="K761" t="s">
        <v>190</v>
      </c>
      <c r="L761" t="s">
        <v>494</v>
      </c>
    </row>
    <row r="762" spans="1:12" x14ac:dyDescent="0.25">
      <c r="A762" t="s">
        <v>123</v>
      </c>
      <c r="B762" t="s">
        <v>394</v>
      </c>
      <c r="C762">
        <f t="shared" si="33"/>
        <v>2024</v>
      </c>
      <c r="D762">
        <f t="shared" si="34"/>
        <v>6</v>
      </c>
      <c r="E762" t="str">
        <f t="shared" si="35"/>
        <v>2024-6</v>
      </c>
      <c r="K762" t="s">
        <v>190</v>
      </c>
      <c r="L762" t="s">
        <v>497</v>
      </c>
    </row>
    <row r="763" spans="1:12" x14ac:dyDescent="0.25">
      <c r="A763" t="s">
        <v>69</v>
      </c>
      <c r="B763" t="s">
        <v>395</v>
      </c>
      <c r="C763">
        <f t="shared" si="33"/>
        <v>2024</v>
      </c>
      <c r="D763">
        <f t="shared" si="34"/>
        <v>6</v>
      </c>
      <c r="E763" t="str">
        <f t="shared" si="35"/>
        <v>2024-6</v>
      </c>
      <c r="K763" t="s">
        <v>190</v>
      </c>
      <c r="L763" t="s">
        <v>499</v>
      </c>
    </row>
    <row r="764" spans="1:12" x14ac:dyDescent="0.25">
      <c r="A764" t="s">
        <v>235</v>
      </c>
      <c r="B764" t="s">
        <v>395</v>
      </c>
      <c r="C764">
        <f t="shared" si="33"/>
        <v>2024</v>
      </c>
      <c r="D764">
        <f t="shared" si="34"/>
        <v>6</v>
      </c>
      <c r="E764" t="str">
        <f t="shared" si="35"/>
        <v>2024-6</v>
      </c>
      <c r="K764" t="s">
        <v>108</v>
      </c>
      <c r="L764" t="s">
        <v>490</v>
      </c>
    </row>
    <row r="765" spans="1:12" x14ac:dyDescent="0.25">
      <c r="A765" t="s">
        <v>256</v>
      </c>
      <c r="B765" t="s">
        <v>395</v>
      </c>
      <c r="C765">
        <f t="shared" si="33"/>
        <v>2024</v>
      </c>
      <c r="D765">
        <f t="shared" si="34"/>
        <v>6</v>
      </c>
      <c r="E765" t="str">
        <f t="shared" si="35"/>
        <v>2024-6</v>
      </c>
      <c r="K765" t="s">
        <v>108</v>
      </c>
      <c r="L765" t="s">
        <v>491</v>
      </c>
    </row>
    <row r="766" spans="1:12" x14ac:dyDescent="0.25">
      <c r="A766" t="s">
        <v>77</v>
      </c>
      <c r="B766" t="s">
        <v>395</v>
      </c>
      <c r="C766">
        <f t="shared" si="33"/>
        <v>2024</v>
      </c>
      <c r="D766">
        <f t="shared" si="34"/>
        <v>6</v>
      </c>
      <c r="E766" t="str">
        <f t="shared" si="35"/>
        <v>2024-6</v>
      </c>
      <c r="K766" t="s">
        <v>108</v>
      </c>
      <c r="L766" t="s">
        <v>492</v>
      </c>
    </row>
    <row r="767" spans="1:12" x14ac:dyDescent="0.25">
      <c r="A767" t="s">
        <v>134</v>
      </c>
      <c r="B767" t="s">
        <v>395</v>
      </c>
      <c r="C767">
        <f t="shared" si="33"/>
        <v>2024</v>
      </c>
      <c r="D767">
        <f t="shared" si="34"/>
        <v>6</v>
      </c>
      <c r="E767" t="str">
        <f t="shared" si="35"/>
        <v>2024-6</v>
      </c>
      <c r="K767" t="s">
        <v>108</v>
      </c>
      <c r="L767" t="s">
        <v>493</v>
      </c>
    </row>
    <row r="768" spans="1:12" x14ac:dyDescent="0.25">
      <c r="A768" t="s">
        <v>139</v>
      </c>
      <c r="B768" t="s">
        <v>395</v>
      </c>
      <c r="C768">
        <f t="shared" si="33"/>
        <v>2024</v>
      </c>
      <c r="D768">
        <f t="shared" si="34"/>
        <v>6</v>
      </c>
      <c r="E768" t="str">
        <f t="shared" si="35"/>
        <v>2024-6</v>
      </c>
      <c r="K768" t="s">
        <v>108</v>
      </c>
      <c r="L768" t="s">
        <v>494</v>
      </c>
    </row>
    <row r="769" spans="1:12" x14ac:dyDescent="0.25">
      <c r="A769" t="s">
        <v>161</v>
      </c>
      <c r="B769" t="s">
        <v>395</v>
      </c>
      <c r="C769">
        <f t="shared" si="33"/>
        <v>2024</v>
      </c>
      <c r="D769">
        <f t="shared" si="34"/>
        <v>6</v>
      </c>
      <c r="E769" t="str">
        <f t="shared" si="35"/>
        <v>2024-6</v>
      </c>
      <c r="K769" t="s">
        <v>108</v>
      </c>
      <c r="L769" t="s">
        <v>495</v>
      </c>
    </row>
    <row r="770" spans="1:12" x14ac:dyDescent="0.25">
      <c r="A770" t="s">
        <v>108</v>
      </c>
      <c r="B770" t="s">
        <v>396</v>
      </c>
      <c r="C770">
        <f t="shared" si="33"/>
        <v>2024</v>
      </c>
      <c r="D770">
        <f t="shared" si="34"/>
        <v>6</v>
      </c>
      <c r="E770" t="str">
        <f t="shared" si="35"/>
        <v>2024-6</v>
      </c>
      <c r="K770" t="s">
        <v>108</v>
      </c>
      <c r="L770" t="s">
        <v>497</v>
      </c>
    </row>
    <row r="771" spans="1:12" x14ac:dyDescent="0.25">
      <c r="A771" t="s">
        <v>275</v>
      </c>
      <c r="B771" t="s">
        <v>397</v>
      </c>
      <c r="C771">
        <f t="shared" ref="C771:C834" si="36">YEAR(B771)</f>
        <v>2024</v>
      </c>
      <c r="D771">
        <f t="shared" ref="D771:D834" si="37">MONTH(B771)</f>
        <v>6</v>
      </c>
      <c r="E771" t="str">
        <f t="shared" ref="E771:E834" si="38">C771&amp;"-"&amp;D771</f>
        <v>2024-6</v>
      </c>
      <c r="K771" t="s">
        <v>108</v>
      </c>
      <c r="L771" t="s">
        <v>498</v>
      </c>
    </row>
    <row r="772" spans="1:12" x14ac:dyDescent="0.25">
      <c r="A772" t="s">
        <v>156</v>
      </c>
      <c r="B772" t="s">
        <v>397</v>
      </c>
      <c r="C772">
        <f t="shared" si="36"/>
        <v>2024</v>
      </c>
      <c r="D772">
        <f t="shared" si="37"/>
        <v>6</v>
      </c>
      <c r="E772" t="str">
        <f t="shared" si="38"/>
        <v>2024-6</v>
      </c>
      <c r="K772" t="s">
        <v>43</v>
      </c>
      <c r="L772" t="s">
        <v>489</v>
      </c>
    </row>
    <row r="773" spans="1:12" x14ac:dyDescent="0.25">
      <c r="A773" t="s">
        <v>312</v>
      </c>
      <c r="B773" t="s">
        <v>397</v>
      </c>
      <c r="C773">
        <f t="shared" si="36"/>
        <v>2024</v>
      </c>
      <c r="D773">
        <f t="shared" si="37"/>
        <v>6</v>
      </c>
      <c r="E773" t="str">
        <f t="shared" si="38"/>
        <v>2024-6</v>
      </c>
      <c r="K773" t="s">
        <v>43</v>
      </c>
      <c r="L773" t="s">
        <v>499</v>
      </c>
    </row>
    <row r="774" spans="1:12" x14ac:dyDescent="0.25">
      <c r="A774" t="s">
        <v>264</v>
      </c>
      <c r="B774" t="s">
        <v>398</v>
      </c>
      <c r="C774">
        <f t="shared" si="36"/>
        <v>2024</v>
      </c>
      <c r="D774">
        <f t="shared" si="37"/>
        <v>6</v>
      </c>
      <c r="E774" t="str">
        <f t="shared" si="38"/>
        <v>2024-6</v>
      </c>
      <c r="K774" t="s">
        <v>172</v>
      </c>
      <c r="L774" t="s">
        <v>491</v>
      </c>
    </row>
    <row r="775" spans="1:12" x14ac:dyDescent="0.25">
      <c r="A775" t="s">
        <v>235</v>
      </c>
      <c r="B775" t="s">
        <v>398</v>
      </c>
      <c r="C775">
        <f t="shared" si="36"/>
        <v>2024</v>
      </c>
      <c r="D775">
        <f t="shared" si="37"/>
        <v>6</v>
      </c>
      <c r="E775" t="str">
        <f t="shared" si="38"/>
        <v>2024-6</v>
      </c>
      <c r="K775" t="s">
        <v>172</v>
      </c>
      <c r="L775" t="s">
        <v>494</v>
      </c>
    </row>
    <row r="776" spans="1:12" x14ac:dyDescent="0.25">
      <c r="A776" t="s">
        <v>24</v>
      </c>
      <c r="B776" t="s">
        <v>398</v>
      </c>
      <c r="C776">
        <f t="shared" si="36"/>
        <v>2024</v>
      </c>
      <c r="D776">
        <f t="shared" si="37"/>
        <v>6</v>
      </c>
      <c r="E776" t="str">
        <f t="shared" si="38"/>
        <v>2024-6</v>
      </c>
      <c r="K776" t="s">
        <v>172</v>
      </c>
      <c r="L776" t="s">
        <v>495</v>
      </c>
    </row>
    <row r="777" spans="1:12" x14ac:dyDescent="0.25">
      <c r="A777" t="s">
        <v>148</v>
      </c>
      <c r="B777" t="s">
        <v>398</v>
      </c>
      <c r="C777">
        <f t="shared" si="36"/>
        <v>2024</v>
      </c>
      <c r="D777">
        <f t="shared" si="37"/>
        <v>6</v>
      </c>
      <c r="E777" t="str">
        <f t="shared" si="38"/>
        <v>2024-6</v>
      </c>
      <c r="K777" t="s">
        <v>172</v>
      </c>
      <c r="L777" t="s">
        <v>499</v>
      </c>
    </row>
    <row r="778" spans="1:12" x14ac:dyDescent="0.25">
      <c r="A778" t="s">
        <v>87</v>
      </c>
      <c r="B778" t="s">
        <v>398</v>
      </c>
      <c r="C778">
        <f t="shared" si="36"/>
        <v>2024</v>
      </c>
      <c r="D778">
        <f t="shared" si="37"/>
        <v>6</v>
      </c>
      <c r="E778" t="str">
        <f t="shared" si="38"/>
        <v>2024-6</v>
      </c>
      <c r="K778" t="s">
        <v>136</v>
      </c>
      <c r="L778" t="s">
        <v>490</v>
      </c>
    </row>
    <row r="779" spans="1:12" x14ac:dyDescent="0.25">
      <c r="A779" t="s">
        <v>191</v>
      </c>
      <c r="B779" t="s">
        <v>398</v>
      </c>
      <c r="C779">
        <f t="shared" si="36"/>
        <v>2024</v>
      </c>
      <c r="D779">
        <f t="shared" si="37"/>
        <v>6</v>
      </c>
      <c r="E779" t="str">
        <f t="shared" si="38"/>
        <v>2024-6</v>
      </c>
      <c r="K779" t="s">
        <v>136</v>
      </c>
      <c r="L779" t="s">
        <v>491</v>
      </c>
    </row>
    <row r="780" spans="1:12" x14ac:dyDescent="0.25">
      <c r="A780" t="s">
        <v>62</v>
      </c>
      <c r="B780" t="s">
        <v>399</v>
      </c>
      <c r="C780">
        <f t="shared" si="36"/>
        <v>2024</v>
      </c>
      <c r="D780">
        <f t="shared" si="37"/>
        <v>6</v>
      </c>
      <c r="E780" t="str">
        <f t="shared" si="38"/>
        <v>2024-6</v>
      </c>
      <c r="K780" t="s">
        <v>136</v>
      </c>
      <c r="L780" t="s">
        <v>496</v>
      </c>
    </row>
    <row r="781" spans="1:12" x14ac:dyDescent="0.25">
      <c r="A781" t="s">
        <v>115</v>
      </c>
      <c r="B781" t="s">
        <v>399</v>
      </c>
      <c r="C781">
        <f t="shared" si="36"/>
        <v>2024</v>
      </c>
      <c r="D781">
        <f t="shared" si="37"/>
        <v>6</v>
      </c>
      <c r="E781" t="str">
        <f t="shared" si="38"/>
        <v>2024-6</v>
      </c>
      <c r="K781" t="s">
        <v>136</v>
      </c>
      <c r="L781" t="s">
        <v>497</v>
      </c>
    </row>
    <row r="782" spans="1:12" x14ac:dyDescent="0.25">
      <c r="A782" t="s">
        <v>136</v>
      </c>
      <c r="B782" t="s">
        <v>399</v>
      </c>
      <c r="C782">
        <f t="shared" si="36"/>
        <v>2024</v>
      </c>
      <c r="D782">
        <f t="shared" si="37"/>
        <v>6</v>
      </c>
      <c r="E782" t="str">
        <f t="shared" si="38"/>
        <v>2024-6</v>
      </c>
      <c r="K782" t="s">
        <v>136</v>
      </c>
      <c r="L782" t="s">
        <v>498</v>
      </c>
    </row>
    <row r="783" spans="1:12" x14ac:dyDescent="0.25">
      <c r="A783" t="s">
        <v>95</v>
      </c>
      <c r="B783" t="s">
        <v>399</v>
      </c>
      <c r="C783">
        <f t="shared" si="36"/>
        <v>2024</v>
      </c>
      <c r="D783">
        <f t="shared" si="37"/>
        <v>6</v>
      </c>
      <c r="E783" t="str">
        <f t="shared" si="38"/>
        <v>2024-6</v>
      </c>
      <c r="K783" t="s">
        <v>136</v>
      </c>
      <c r="L783" t="s">
        <v>500</v>
      </c>
    </row>
    <row r="784" spans="1:12" x14ac:dyDescent="0.25">
      <c r="A784" t="s">
        <v>256</v>
      </c>
      <c r="B784" t="s">
        <v>399</v>
      </c>
      <c r="C784">
        <f t="shared" si="36"/>
        <v>2024</v>
      </c>
      <c r="D784">
        <f t="shared" si="37"/>
        <v>6</v>
      </c>
      <c r="E784" t="str">
        <f t="shared" si="38"/>
        <v>2024-6</v>
      </c>
      <c r="K784" t="s">
        <v>157</v>
      </c>
      <c r="L784" t="s">
        <v>490</v>
      </c>
    </row>
    <row r="785" spans="1:12" x14ac:dyDescent="0.25">
      <c r="A785" t="s">
        <v>207</v>
      </c>
      <c r="B785" t="s">
        <v>399</v>
      </c>
      <c r="C785">
        <f t="shared" si="36"/>
        <v>2024</v>
      </c>
      <c r="D785">
        <f t="shared" si="37"/>
        <v>6</v>
      </c>
      <c r="E785" t="str">
        <f t="shared" si="38"/>
        <v>2024-6</v>
      </c>
      <c r="K785" t="s">
        <v>157</v>
      </c>
      <c r="L785" t="s">
        <v>494</v>
      </c>
    </row>
    <row r="786" spans="1:12" x14ac:dyDescent="0.25">
      <c r="A786" t="s">
        <v>229</v>
      </c>
      <c r="B786" t="s">
        <v>399</v>
      </c>
      <c r="C786">
        <f t="shared" si="36"/>
        <v>2024</v>
      </c>
      <c r="D786">
        <f t="shared" si="37"/>
        <v>6</v>
      </c>
      <c r="E786" t="str">
        <f t="shared" si="38"/>
        <v>2024-6</v>
      </c>
      <c r="K786" t="s">
        <v>157</v>
      </c>
      <c r="L786" t="s">
        <v>496</v>
      </c>
    </row>
    <row r="787" spans="1:12" x14ac:dyDescent="0.25">
      <c r="A787" t="s">
        <v>170</v>
      </c>
      <c r="B787" t="s">
        <v>399</v>
      </c>
      <c r="C787">
        <f t="shared" si="36"/>
        <v>2024</v>
      </c>
      <c r="D787">
        <f t="shared" si="37"/>
        <v>6</v>
      </c>
      <c r="E787" t="str">
        <f t="shared" si="38"/>
        <v>2024-6</v>
      </c>
      <c r="K787" t="s">
        <v>157</v>
      </c>
      <c r="L787" t="s">
        <v>499</v>
      </c>
    </row>
    <row r="788" spans="1:12" x14ac:dyDescent="0.25">
      <c r="A788" t="s">
        <v>206</v>
      </c>
      <c r="B788" t="s">
        <v>399</v>
      </c>
      <c r="C788">
        <f t="shared" si="36"/>
        <v>2024</v>
      </c>
      <c r="D788">
        <f t="shared" si="37"/>
        <v>6</v>
      </c>
      <c r="E788" t="str">
        <f t="shared" si="38"/>
        <v>2024-6</v>
      </c>
      <c r="K788" t="s">
        <v>193</v>
      </c>
      <c r="L788" t="s">
        <v>491</v>
      </c>
    </row>
    <row r="789" spans="1:12" x14ac:dyDescent="0.25">
      <c r="A789" t="s">
        <v>6</v>
      </c>
      <c r="B789" t="s">
        <v>399</v>
      </c>
      <c r="C789">
        <f t="shared" si="36"/>
        <v>2024</v>
      </c>
      <c r="D789">
        <f t="shared" si="37"/>
        <v>6</v>
      </c>
      <c r="E789" t="str">
        <f t="shared" si="38"/>
        <v>2024-6</v>
      </c>
      <c r="K789" t="s">
        <v>193</v>
      </c>
      <c r="L789" t="s">
        <v>492</v>
      </c>
    </row>
    <row r="790" spans="1:12" x14ac:dyDescent="0.25">
      <c r="A790" t="s">
        <v>165</v>
      </c>
      <c r="B790" t="s">
        <v>399</v>
      </c>
      <c r="C790">
        <f t="shared" si="36"/>
        <v>2024</v>
      </c>
      <c r="D790">
        <f t="shared" si="37"/>
        <v>6</v>
      </c>
      <c r="E790" t="str">
        <f t="shared" si="38"/>
        <v>2024-6</v>
      </c>
      <c r="K790" t="s">
        <v>193</v>
      </c>
      <c r="L790" t="s">
        <v>493</v>
      </c>
    </row>
    <row r="791" spans="1:12" x14ac:dyDescent="0.25">
      <c r="A791" t="s">
        <v>300</v>
      </c>
      <c r="B791" t="s">
        <v>399</v>
      </c>
      <c r="C791">
        <f t="shared" si="36"/>
        <v>2024</v>
      </c>
      <c r="D791">
        <f t="shared" si="37"/>
        <v>6</v>
      </c>
      <c r="E791" t="str">
        <f t="shared" si="38"/>
        <v>2024-6</v>
      </c>
      <c r="K791" t="s">
        <v>193</v>
      </c>
      <c r="L791" t="s">
        <v>494</v>
      </c>
    </row>
    <row r="792" spans="1:12" x14ac:dyDescent="0.25">
      <c r="A792" t="s">
        <v>281</v>
      </c>
      <c r="B792" t="s">
        <v>400</v>
      </c>
      <c r="C792">
        <f t="shared" si="36"/>
        <v>2024</v>
      </c>
      <c r="D792">
        <f t="shared" si="37"/>
        <v>6</v>
      </c>
      <c r="E792" t="str">
        <f t="shared" si="38"/>
        <v>2024-6</v>
      </c>
      <c r="K792" t="s">
        <v>193</v>
      </c>
      <c r="L792" t="s">
        <v>498</v>
      </c>
    </row>
    <row r="793" spans="1:12" x14ac:dyDescent="0.25">
      <c r="A793" t="s">
        <v>59</v>
      </c>
      <c r="B793" t="s">
        <v>401</v>
      </c>
      <c r="C793">
        <f t="shared" si="36"/>
        <v>2024</v>
      </c>
      <c r="D793">
        <f t="shared" si="37"/>
        <v>6</v>
      </c>
      <c r="E793" t="str">
        <f t="shared" si="38"/>
        <v>2024-6</v>
      </c>
      <c r="K793" t="s">
        <v>107</v>
      </c>
      <c r="L793" t="s">
        <v>490</v>
      </c>
    </row>
    <row r="794" spans="1:12" x14ac:dyDescent="0.25">
      <c r="A794" t="s">
        <v>66</v>
      </c>
      <c r="B794" t="s">
        <v>402</v>
      </c>
      <c r="C794">
        <f t="shared" si="36"/>
        <v>2024</v>
      </c>
      <c r="D794">
        <f t="shared" si="37"/>
        <v>6</v>
      </c>
      <c r="E794" t="str">
        <f t="shared" si="38"/>
        <v>2024-6</v>
      </c>
      <c r="K794" t="s">
        <v>107</v>
      </c>
      <c r="L794" t="s">
        <v>491</v>
      </c>
    </row>
    <row r="795" spans="1:12" x14ac:dyDescent="0.25">
      <c r="A795" t="s">
        <v>113</v>
      </c>
      <c r="B795" t="s">
        <v>402</v>
      </c>
      <c r="C795">
        <f t="shared" si="36"/>
        <v>2024</v>
      </c>
      <c r="D795">
        <f t="shared" si="37"/>
        <v>6</v>
      </c>
      <c r="E795" t="str">
        <f t="shared" si="38"/>
        <v>2024-6</v>
      </c>
      <c r="K795" t="s">
        <v>107</v>
      </c>
      <c r="L795" t="s">
        <v>494</v>
      </c>
    </row>
    <row r="796" spans="1:12" x14ac:dyDescent="0.25">
      <c r="A796" t="s">
        <v>131</v>
      </c>
      <c r="B796" t="s">
        <v>403</v>
      </c>
      <c r="C796">
        <f t="shared" si="36"/>
        <v>2024</v>
      </c>
      <c r="D796">
        <f t="shared" si="37"/>
        <v>6</v>
      </c>
      <c r="E796" t="str">
        <f t="shared" si="38"/>
        <v>2024-6</v>
      </c>
      <c r="K796" t="s">
        <v>107</v>
      </c>
      <c r="L796" t="s">
        <v>495</v>
      </c>
    </row>
    <row r="797" spans="1:12" x14ac:dyDescent="0.25">
      <c r="A797" t="s">
        <v>25</v>
      </c>
      <c r="B797" t="s">
        <v>403</v>
      </c>
      <c r="C797">
        <f t="shared" si="36"/>
        <v>2024</v>
      </c>
      <c r="D797">
        <f t="shared" si="37"/>
        <v>6</v>
      </c>
      <c r="E797" t="str">
        <f t="shared" si="38"/>
        <v>2024-6</v>
      </c>
      <c r="K797" t="s">
        <v>107</v>
      </c>
      <c r="L797" t="s">
        <v>496</v>
      </c>
    </row>
    <row r="798" spans="1:12" x14ac:dyDescent="0.25">
      <c r="A798" t="s">
        <v>47</v>
      </c>
      <c r="B798" t="s">
        <v>404</v>
      </c>
      <c r="C798">
        <f t="shared" si="36"/>
        <v>2024</v>
      </c>
      <c r="D798">
        <f t="shared" si="37"/>
        <v>6</v>
      </c>
      <c r="E798" t="str">
        <f t="shared" si="38"/>
        <v>2024-6</v>
      </c>
      <c r="K798" t="s">
        <v>107</v>
      </c>
      <c r="L798" t="s">
        <v>498</v>
      </c>
    </row>
    <row r="799" spans="1:12" x14ac:dyDescent="0.25">
      <c r="A799" t="s">
        <v>235</v>
      </c>
      <c r="B799" t="s">
        <v>404</v>
      </c>
      <c r="C799">
        <f t="shared" si="36"/>
        <v>2024</v>
      </c>
      <c r="D799">
        <f t="shared" si="37"/>
        <v>6</v>
      </c>
      <c r="E799" t="str">
        <f t="shared" si="38"/>
        <v>2024-6</v>
      </c>
      <c r="K799" t="s">
        <v>107</v>
      </c>
      <c r="L799" t="s">
        <v>499</v>
      </c>
    </row>
    <row r="800" spans="1:12" x14ac:dyDescent="0.25">
      <c r="A800" t="s">
        <v>108</v>
      </c>
      <c r="B800" t="s">
        <v>404</v>
      </c>
      <c r="C800">
        <f t="shared" si="36"/>
        <v>2024</v>
      </c>
      <c r="D800">
        <f t="shared" si="37"/>
        <v>6</v>
      </c>
      <c r="E800" t="str">
        <f t="shared" si="38"/>
        <v>2024-6</v>
      </c>
      <c r="K800" t="s">
        <v>107</v>
      </c>
      <c r="L800" t="s">
        <v>500</v>
      </c>
    </row>
    <row r="801" spans="1:12" x14ac:dyDescent="0.25">
      <c r="A801" t="s">
        <v>138</v>
      </c>
      <c r="B801" t="s">
        <v>404</v>
      </c>
      <c r="C801">
        <f t="shared" si="36"/>
        <v>2024</v>
      </c>
      <c r="D801">
        <f t="shared" si="37"/>
        <v>6</v>
      </c>
      <c r="E801" t="str">
        <f t="shared" si="38"/>
        <v>2024-6</v>
      </c>
      <c r="K801" t="s">
        <v>31</v>
      </c>
      <c r="L801" t="s">
        <v>489</v>
      </c>
    </row>
    <row r="802" spans="1:12" x14ac:dyDescent="0.25">
      <c r="A802" t="s">
        <v>195</v>
      </c>
      <c r="B802" t="s">
        <v>404</v>
      </c>
      <c r="C802">
        <f t="shared" si="36"/>
        <v>2024</v>
      </c>
      <c r="D802">
        <f t="shared" si="37"/>
        <v>6</v>
      </c>
      <c r="E802" t="str">
        <f t="shared" si="38"/>
        <v>2024-6</v>
      </c>
      <c r="K802" t="s">
        <v>31</v>
      </c>
      <c r="L802" t="s">
        <v>490</v>
      </c>
    </row>
    <row r="803" spans="1:12" x14ac:dyDescent="0.25">
      <c r="A803" t="s">
        <v>170</v>
      </c>
      <c r="B803" t="s">
        <v>404</v>
      </c>
      <c r="C803">
        <f t="shared" si="36"/>
        <v>2024</v>
      </c>
      <c r="D803">
        <f t="shared" si="37"/>
        <v>6</v>
      </c>
      <c r="E803" t="str">
        <f t="shared" si="38"/>
        <v>2024-6</v>
      </c>
      <c r="K803" t="s">
        <v>31</v>
      </c>
      <c r="L803" t="s">
        <v>495</v>
      </c>
    </row>
    <row r="804" spans="1:12" x14ac:dyDescent="0.25">
      <c r="A804" t="s">
        <v>6</v>
      </c>
      <c r="B804" t="s">
        <v>404</v>
      </c>
      <c r="C804">
        <f t="shared" si="36"/>
        <v>2024</v>
      </c>
      <c r="D804">
        <f t="shared" si="37"/>
        <v>6</v>
      </c>
      <c r="E804" t="str">
        <f t="shared" si="38"/>
        <v>2024-6</v>
      </c>
      <c r="K804" t="s">
        <v>31</v>
      </c>
      <c r="L804" t="s">
        <v>496</v>
      </c>
    </row>
    <row r="805" spans="1:12" x14ac:dyDescent="0.25">
      <c r="A805" t="s">
        <v>171</v>
      </c>
      <c r="B805" t="s">
        <v>405</v>
      </c>
      <c r="C805">
        <f t="shared" si="36"/>
        <v>2024</v>
      </c>
      <c r="D805">
        <f t="shared" si="37"/>
        <v>6</v>
      </c>
      <c r="E805" t="str">
        <f t="shared" si="38"/>
        <v>2024-6</v>
      </c>
      <c r="K805" t="s">
        <v>244</v>
      </c>
      <c r="L805" t="s">
        <v>492</v>
      </c>
    </row>
    <row r="806" spans="1:12" x14ac:dyDescent="0.25">
      <c r="A806" t="s">
        <v>193</v>
      </c>
      <c r="B806" t="s">
        <v>406</v>
      </c>
      <c r="C806">
        <f t="shared" si="36"/>
        <v>2024</v>
      </c>
      <c r="D806">
        <f t="shared" si="37"/>
        <v>6</v>
      </c>
      <c r="E806" t="str">
        <f t="shared" si="38"/>
        <v>2024-6</v>
      </c>
      <c r="K806" t="s">
        <v>244</v>
      </c>
      <c r="L806" t="s">
        <v>500</v>
      </c>
    </row>
    <row r="807" spans="1:12" x14ac:dyDescent="0.25">
      <c r="A807" t="s">
        <v>91</v>
      </c>
      <c r="B807" t="s">
        <v>406</v>
      </c>
      <c r="C807">
        <f t="shared" si="36"/>
        <v>2024</v>
      </c>
      <c r="D807">
        <f t="shared" si="37"/>
        <v>6</v>
      </c>
      <c r="E807" t="str">
        <f t="shared" si="38"/>
        <v>2024-6</v>
      </c>
      <c r="K807" t="s">
        <v>292</v>
      </c>
      <c r="L807" t="s">
        <v>494</v>
      </c>
    </row>
    <row r="808" spans="1:12" x14ac:dyDescent="0.25">
      <c r="A808" t="s">
        <v>112</v>
      </c>
      <c r="B808" t="s">
        <v>406</v>
      </c>
      <c r="C808">
        <f t="shared" si="36"/>
        <v>2024</v>
      </c>
      <c r="D808">
        <f t="shared" si="37"/>
        <v>6</v>
      </c>
      <c r="E808" t="str">
        <f t="shared" si="38"/>
        <v>2024-6</v>
      </c>
      <c r="K808" t="s">
        <v>292</v>
      </c>
      <c r="L808" t="s">
        <v>495</v>
      </c>
    </row>
    <row r="809" spans="1:12" x14ac:dyDescent="0.25">
      <c r="A809" t="s">
        <v>149</v>
      </c>
      <c r="B809" t="s">
        <v>407</v>
      </c>
      <c r="C809">
        <f t="shared" si="36"/>
        <v>2024</v>
      </c>
      <c r="D809">
        <f t="shared" si="37"/>
        <v>6</v>
      </c>
      <c r="E809" t="str">
        <f t="shared" si="38"/>
        <v>2024-6</v>
      </c>
      <c r="K809" t="s">
        <v>292</v>
      </c>
      <c r="L809" t="s">
        <v>496</v>
      </c>
    </row>
    <row r="810" spans="1:12" x14ac:dyDescent="0.25">
      <c r="A810" t="s">
        <v>248</v>
      </c>
      <c r="B810" t="s">
        <v>407</v>
      </c>
      <c r="C810">
        <f t="shared" si="36"/>
        <v>2024</v>
      </c>
      <c r="D810">
        <f t="shared" si="37"/>
        <v>6</v>
      </c>
      <c r="E810" t="str">
        <f t="shared" si="38"/>
        <v>2024-6</v>
      </c>
      <c r="K810" t="s">
        <v>292</v>
      </c>
      <c r="L810" t="s">
        <v>500</v>
      </c>
    </row>
    <row r="811" spans="1:12" x14ac:dyDescent="0.25">
      <c r="A811" t="s">
        <v>146</v>
      </c>
      <c r="B811" t="s">
        <v>407</v>
      </c>
      <c r="C811">
        <f t="shared" si="36"/>
        <v>2024</v>
      </c>
      <c r="D811">
        <f t="shared" si="37"/>
        <v>6</v>
      </c>
      <c r="E811" t="str">
        <f t="shared" si="38"/>
        <v>2024-6</v>
      </c>
    </row>
    <row r="812" spans="1:12" x14ac:dyDescent="0.25">
      <c r="A812" t="s">
        <v>107</v>
      </c>
      <c r="B812" t="s">
        <v>408</v>
      </c>
      <c r="C812">
        <f t="shared" si="36"/>
        <v>2024</v>
      </c>
      <c r="D812">
        <f t="shared" si="37"/>
        <v>6</v>
      </c>
      <c r="E812" t="str">
        <f t="shared" si="38"/>
        <v>2024-6</v>
      </c>
    </row>
    <row r="813" spans="1:12" x14ac:dyDescent="0.25">
      <c r="A813" t="s">
        <v>92</v>
      </c>
      <c r="B813" t="s">
        <v>408</v>
      </c>
      <c r="C813">
        <f t="shared" si="36"/>
        <v>2024</v>
      </c>
      <c r="D813">
        <f t="shared" si="37"/>
        <v>6</v>
      </c>
      <c r="E813" t="str">
        <f t="shared" si="38"/>
        <v>2024-6</v>
      </c>
    </row>
    <row r="814" spans="1:12" x14ac:dyDescent="0.25">
      <c r="A814" t="s">
        <v>181</v>
      </c>
      <c r="B814" t="s">
        <v>408</v>
      </c>
      <c r="C814">
        <f t="shared" si="36"/>
        <v>2024</v>
      </c>
      <c r="D814">
        <f t="shared" si="37"/>
        <v>6</v>
      </c>
      <c r="E814" t="str">
        <f t="shared" si="38"/>
        <v>2024-6</v>
      </c>
    </row>
    <row r="815" spans="1:12" x14ac:dyDescent="0.25">
      <c r="A815" t="s">
        <v>64</v>
      </c>
      <c r="B815" t="s">
        <v>409</v>
      </c>
      <c r="C815">
        <f t="shared" si="36"/>
        <v>2024</v>
      </c>
      <c r="D815">
        <f t="shared" si="37"/>
        <v>7</v>
      </c>
      <c r="E815" t="str">
        <f t="shared" si="38"/>
        <v>2024-7</v>
      </c>
    </row>
    <row r="816" spans="1:12" x14ac:dyDescent="0.25">
      <c r="A816" t="s">
        <v>216</v>
      </c>
      <c r="B816" t="s">
        <v>409</v>
      </c>
      <c r="C816">
        <f t="shared" si="36"/>
        <v>2024</v>
      </c>
      <c r="D816">
        <f t="shared" si="37"/>
        <v>7</v>
      </c>
      <c r="E816" t="str">
        <f t="shared" si="38"/>
        <v>2024-7</v>
      </c>
    </row>
    <row r="817" spans="1:5" x14ac:dyDescent="0.25">
      <c r="A817" t="s">
        <v>195</v>
      </c>
      <c r="B817" t="s">
        <v>409</v>
      </c>
      <c r="C817">
        <f t="shared" si="36"/>
        <v>2024</v>
      </c>
      <c r="D817">
        <f t="shared" si="37"/>
        <v>7</v>
      </c>
      <c r="E817" t="str">
        <f t="shared" si="38"/>
        <v>2024-7</v>
      </c>
    </row>
    <row r="818" spans="1:5" x14ac:dyDescent="0.25">
      <c r="A818" t="s">
        <v>102</v>
      </c>
      <c r="B818" t="s">
        <v>409</v>
      </c>
      <c r="C818">
        <f t="shared" si="36"/>
        <v>2024</v>
      </c>
      <c r="D818">
        <f t="shared" si="37"/>
        <v>7</v>
      </c>
      <c r="E818" t="str">
        <f t="shared" si="38"/>
        <v>2024-7</v>
      </c>
    </row>
    <row r="819" spans="1:5" x14ac:dyDescent="0.25">
      <c r="A819" t="s">
        <v>184</v>
      </c>
      <c r="B819" t="s">
        <v>409</v>
      </c>
      <c r="C819">
        <f t="shared" si="36"/>
        <v>2024</v>
      </c>
      <c r="D819">
        <f t="shared" si="37"/>
        <v>7</v>
      </c>
      <c r="E819" t="str">
        <f t="shared" si="38"/>
        <v>2024-7</v>
      </c>
    </row>
    <row r="820" spans="1:5" x14ac:dyDescent="0.25">
      <c r="A820" t="s">
        <v>55</v>
      </c>
      <c r="B820" t="s">
        <v>409</v>
      </c>
      <c r="C820">
        <f t="shared" si="36"/>
        <v>2024</v>
      </c>
      <c r="D820">
        <f t="shared" si="37"/>
        <v>7</v>
      </c>
      <c r="E820" t="str">
        <f t="shared" si="38"/>
        <v>2024-7</v>
      </c>
    </row>
    <row r="821" spans="1:5" x14ac:dyDescent="0.25">
      <c r="A821" t="s">
        <v>173</v>
      </c>
      <c r="B821" t="s">
        <v>409</v>
      </c>
      <c r="C821">
        <f t="shared" si="36"/>
        <v>2024</v>
      </c>
      <c r="D821">
        <f t="shared" si="37"/>
        <v>7</v>
      </c>
      <c r="E821" t="str">
        <f t="shared" si="38"/>
        <v>2024-7</v>
      </c>
    </row>
    <row r="822" spans="1:5" x14ac:dyDescent="0.25">
      <c r="A822" t="s">
        <v>102</v>
      </c>
      <c r="B822" t="s">
        <v>409</v>
      </c>
      <c r="C822">
        <f t="shared" si="36"/>
        <v>2024</v>
      </c>
      <c r="D822">
        <f t="shared" si="37"/>
        <v>7</v>
      </c>
      <c r="E822" t="str">
        <f t="shared" si="38"/>
        <v>2024-7</v>
      </c>
    </row>
    <row r="823" spans="1:5" x14ac:dyDescent="0.25">
      <c r="A823" t="s">
        <v>111</v>
      </c>
      <c r="B823" t="s">
        <v>410</v>
      </c>
      <c r="C823">
        <f t="shared" si="36"/>
        <v>2024</v>
      </c>
      <c r="D823">
        <f t="shared" si="37"/>
        <v>7</v>
      </c>
      <c r="E823" t="str">
        <f t="shared" si="38"/>
        <v>2024-7</v>
      </c>
    </row>
    <row r="824" spans="1:5" x14ac:dyDescent="0.25">
      <c r="A824" t="s">
        <v>256</v>
      </c>
      <c r="B824" t="s">
        <v>411</v>
      </c>
      <c r="C824">
        <f t="shared" si="36"/>
        <v>2024</v>
      </c>
      <c r="D824">
        <f t="shared" si="37"/>
        <v>7</v>
      </c>
      <c r="E824" t="str">
        <f t="shared" si="38"/>
        <v>2024-7</v>
      </c>
    </row>
    <row r="825" spans="1:5" x14ac:dyDescent="0.25">
      <c r="A825" t="s">
        <v>157</v>
      </c>
      <c r="B825" t="s">
        <v>411</v>
      </c>
      <c r="C825">
        <f t="shared" si="36"/>
        <v>2024</v>
      </c>
      <c r="D825">
        <f t="shared" si="37"/>
        <v>7</v>
      </c>
      <c r="E825" t="str">
        <f t="shared" si="38"/>
        <v>2024-7</v>
      </c>
    </row>
    <row r="826" spans="1:5" x14ac:dyDescent="0.25">
      <c r="A826" t="s">
        <v>148</v>
      </c>
      <c r="B826" t="s">
        <v>411</v>
      </c>
      <c r="C826">
        <f t="shared" si="36"/>
        <v>2024</v>
      </c>
      <c r="D826">
        <f t="shared" si="37"/>
        <v>7</v>
      </c>
      <c r="E826" t="str">
        <f t="shared" si="38"/>
        <v>2024-7</v>
      </c>
    </row>
    <row r="827" spans="1:5" x14ac:dyDescent="0.25">
      <c r="A827" t="s">
        <v>157</v>
      </c>
      <c r="B827" t="s">
        <v>411</v>
      </c>
      <c r="C827">
        <f t="shared" si="36"/>
        <v>2024</v>
      </c>
      <c r="D827">
        <f t="shared" si="37"/>
        <v>7</v>
      </c>
      <c r="E827" t="str">
        <f t="shared" si="38"/>
        <v>2024-7</v>
      </c>
    </row>
    <row r="828" spans="1:5" x14ac:dyDescent="0.25">
      <c r="A828" t="s">
        <v>229</v>
      </c>
      <c r="B828" t="s">
        <v>412</v>
      </c>
      <c r="C828">
        <f t="shared" si="36"/>
        <v>2024</v>
      </c>
      <c r="D828">
        <f t="shared" si="37"/>
        <v>7</v>
      </c>
      <c r="E828" t="str">
        <f t="shared" si="38"/>
        <v>2024-7</v>
      </c>
    </row>
    <row r="829" spans="1:5" x14ac:dyDescent="0.25">
      <c r="A829" t="s">
        <v>243</v>
      </c>
      <c r="B829" t="s">
        <v>412</v>
      </c>
      <c r="C829">
        <f t="shared" si="36"/>
        <v>2024</v>
      </c>
      <c r="D829">
        <f t="shared" si="37"/>
        <v>7</v>
      </c>
      <c r="E829" t="str">
        <f t="shared" si="38"/>
        <v>2024-7</v>
      </c>
    </row>
    <row r="830" spans="1:5" x14ac:dyDescent="0.25">
      <c r="A830" t="s">
        <v>129</v>
      </c>
      <c r="B830" t="s">
        <v>412</v>
      </c>
      <c r="C830">
        <f t="shared" si="36"/>
        <v>2024</v>
      </c>
      <c r="D830">
        <f t="shared" si="37"/>
        <v>7</v>
      </c>
      <c r="E830" t="str">
        <f t="shared" si="38"/>
        <v>2024-7</v>
      </c>
    </row>
    <row r="831" spans="1:5" x14ac:dyDescent="0.25">
      <c r="A831" t="s">
        <v>66</v>
      </c>
      <c r="B831" t="s">
        <v>413</v>
      </c>
      <c r="C831">
        <f t="shared" si="36"/>
        <v>2024</v>
      </c>
      <c r="D831">
        <f t="shared" si="37"/>
        <v>7</v>
      </c>
      <c r="E831" t="str">
        <f t="shared" si="38"/>
        <v>2024-7</v>
      </c>
    </row>
    <row r="832" spans="1:5" x14ac:dyDescent="0.25">
      <c r="A832" t="s">
        <v>195</v>
      </c>
      <c r="B832" t="s">
        <v>413</v>
      </c>
      <c r="C832">
        <f t="shared" si="36"/>
        <v>2024</v>
      </c>
      <c r="D832">
        <f t="shared" si="37"/>
        <v>7</v>
      </c>
      <c r="E832" t="str">
        <f t="shared" si="38"/>
        <v>2024-7</v>
      </c>
    </row>
    <row r="833" spans="1:5" x14ac:dyDescent="0.25">
      <c r="A833" t="s">
        <v>61</v>
      </c>
      <c r="B833" t="s">
        <v>413</v>
      </c>
      <c r="C833">
        <f t="shared" si="36"/>
        <v>2024</v>
      </c>
      <c r="D833">
        <f t="shared" si="37"/>
        <v>7</v>
      </c>
      <c r="E833" t="str">
        <f t="shared" si="38"/>
        <v>2024-7</v>
      </c>
    </row>
    <row r="834" spans="1:5" x14ac:dyDescent="0.25">
      <c r="A834" t="s">
        <v>335</v>
      </c>
      <c r="B834" t="s">
        <v>413</v>
      </c>
      <c r="C834">
        <f t="shared" si="36"/>
        <v>2024</v>
      </c>
      <c r="D834">
        <f t="shared" si="37"/>
        <v>7</v>
      </c>
      <c r="E834" t="str">
        <f t="shared" si="38"/>
        <v>2024-7</v>
      </c>
    </row>
    <row r="835" spans="1:5" x14ac:dyDescent="0.25">
      <c r="A835" t="s">
        <v>112</v>
      </c>
      <c r="B835" t="s">
        <v>413</v>
      </c>
      <c r="C835">
        <f t="shared" ref="C835:C898" si="39">YEAR(B835)</f>
        <v>2024</v>
      </c>
      <c r="D835">
        <f t="shared" ref="D835:D898" si="40">MONTH(B835)</f>
        <v>7</v>
      </c>
      <c r="E835" t="str">
        <f t="shared" ref="E835:E898" si="41">C835&amp;"-"&amp;D835</f>
        <v>2024-7</v>
      </c>
    </row>
    <row r="836" spans="1:5" x14ac:dyDescent="0.25">
      <c r="A836" t="s">
        <v>122</v>
      </c>
      <c r="B836" t="s">
        <v>413</v>
      </c>
      <c r="C836">
        <f t="shared" si="39"/>
        <v>2024</v>
      </c>
      <c r="D836">
        <f t="shared" si="40"/>
        <v>7</v>
      </c>
      <c r="E836" t="str">
        <f t="shared" si="41"/>
        <v>2024-7</v>
      </c>
    </row>
    <row r="837" spans="1:5" x14ac:dyDescent="0.25">
      <c r="A837" t="s">
        <v>64</v>
      </c>
      <c r="B837" t="s">
        <v>413</v>
      </c>
      <c r="C837">
        <f t="shared" si="39"/>
        <v>2024</v>
      </c>
      <c r="D837">
        <f t="shared" si="40"/>
        <v>7</v>
      </c>
      <c r="E837" t="str">
        <f t="shared" si="41"/>
        <v>2024-7</v>
      </c>
    </row>
    <row r="838" spans="1:5" x14ac:dyDescent="0.25">
      <c r="A838" t="s">
        <v>150</v>
      </c>
      <c r="B838" t="s">
        <v>413</v>
      </c>
      <c r="C838">
        <f t="shared" si="39"/>
        <v>2024</v>
      </c>
      <c r="D838">
        <f t="shared" si="40"/>
        <v>7</v>
      </c>
      <c r="E838" t="str">
        <f t="shared" si="41"/>
        <v>2024-7</v>
      </c>
    </row>
    <row r="839" spans="1:5" x14ac:dyDescent="0.25">
      <c r="A839" t="s">
        <v>43</v>
      </c>
      <c r="B839" t="s">
        <v>413</v>
      </c>
      <c r="C839">
        <f t="shared" si="39"/>
        <v>2024</v>
      </c>
      <c r="D839">
        <f t="shared" si="40"/>
        <v>7</v>
      </c>
      <c r="E839" t="str">
        <f t="shared" si="41"/>
        <v>2024-7</v>
      </c>
    </row>
    <row r="840" spans="1:5" x14ac:dyDescent="0.25">
      <c r="A840" t="s">
        <v>270</v>
      </c>
      <c r="B840" t="s">
        <v>413</v>
      </c>
      <c r="C840">
        <f t="shared" si="39"/>
        <v>2024</v>
      </c>
      <c r="D840">
        <f t="shared" si="40"/>
        <v>7</v>
      </c>
      <c r="E840" t="str">
        <f t="shared" si="41"/>
        <v>2024-7</v>
      </c>
    </row>
    <row r="841" spans="1:5" x14ac:dyDescent="0.25">
      <c r="A841" t="s">
        <v>118</v>
      </c>
      <c r="B841" t="s">
        <v>413</v>
      </c>
      <c r="C841">
        <f t="shared" si="39"/>
        <v>2024</v>
      </c>
      <c r="D841">
        <f t="shared" si="40"/>
        <v>7</v>
      </c>
      <c r="E841" t="str">
        <f t="shared" si="41"/>
        <v>2024-7</v>
      </c>
    </row>
    <row r="842" spans="1:5" x14ac:dyDescent="0.25">
      <c r="A842" t="s">
        <v>287</v>
      </c>
      <c r="B842" t="s">
        <v>413</v>
      </c>
      <c r="C842">
        <f t="shared" si="39"/>
        <v>2024</v>
      </c>
      <c r="D842">
        <f t="shared" si="40"/>
        <v>7</v>
      </c>
      <c r="E842" t="str">
        <f t="shared" si="41"/>
        <v>2024-7</v>
      </c>
    </row>
    <row r="843" spans="1:5" x14ac:dyDescent="0.25">
      <c r="A843" t="s">
        <v>67</v>
      </c>
      <c r="B843" t="s">
        <v>413</v>
      </c>
      <c r="C843">
        <f t="shared" si="39"/>
        <v>2024</v>
      </c>
      <c r="D843">
        <f t="shared" si="40"/>
        <v>7</v>
      </c>
      <c r="E843" t="str">
        <f t="shared" si="41"/>
        <v>2024-7</v>
      </c>
    </row>
    <row r="844" spans="1:5" x14ac:dyDescent="0.25">
      <c r="A844" t="s">
        <v>296</v>
      </c>
      <c r="B844" t="s">
        <v>413</v>
      </c>
      <c r="C844">
        <f t="shared" si="39"/>
        <v>2024</v>
      </c>
      <c r="D844">
        <f t="shared" si="40"/>
        <v>7</v>
      </c>
      <c r="E844" t="str">
        <f t="shared" si="41"/>
        <v>2024-7</v>
      </c>
    </row>
    <row r="845" spans="1:5" x14ac:dyDescent="0.25">
      <c r="A845" t="s">
        <v>281</v>
      </c>
      <c r="B845" t="s">
        <v>414</v>
      </c>
      <c r="C845">
        <f t="shared" si="39"/>
        <v>2024</v>
      </c>
      <c r="D845">
        <f t="shared" si="40"/>
        <v>7</v>
      </c>
      <c r="E845" t="str">
        <f t="shared" si="41"/>
        <v>2024-7</v>
      </c>
    </row>
    <row r="846" spans="1:5" x14ac:dyDescent="0.25">
      <c r="A846" t="s">
        <v>248</v>
      </c>
      <c r="B846" t="s">
        <v>414</v>
      </c>
      <c r="C846">
        <f t="shared" si="39"/>
        <v>2024</v>
      </c>
      <c r="D846">
        <f t="shared" si="40"/>
        <v>7</v>
      </c>
      <c r="E846" t="str">
        <f t="shared" si="41"/>
        <v>2024-7</v>
      </c>
    </row>
    <row r="847" spans="1:5" x14ac:dyDescent="0.25">
      <c r="A847" t="s">
        <v>75</v>
      </c>
      <c r="B847" t="s">
        <v>414</v>
      </c>
      <c r="C847">
        <f t="shared" si="39"/>
        <v>2024</v>
      </c>
      <c r="D847">
        <f t="shared" si="40"/>
        <v>7</v>
      </c>
      <c r="E847" t="str">
        <f t="shared" si="41"/>
        <v>2024-7</v>
      </c>
    </row>
    <row r="848" spans="1:5" x14ac:dyDescent="0.25">
      <c r="A848" t="s">
        <v>131</v>
      </c>
      <c r="B848" t="s">
        <v>414</v>
      </c>
      <c r="C848">
        <f t="shared" si="39"/>
        <v>2024</v>
      </c>
      <c r="D848">
        <f t="shared" si="40"/>
        <v>7</v>
      </c>
      <c r="E848" t="str">
        <f t="shared" si="41"/>
        <v>2024-7</v>
      </c>
    </row>
    <row r="849" spans="1:5" x14ac:dyDescent="0.25">
      <c r="A849" t="s">
        <v>84</v>
      </c>
      <c r="B849" t="s">
        <v>414</v>
      </c>
      <c r="C849">
        <f t="shared" si="39"/>
        <v>2024</v>
      </c>
      <c r="D849">
        <f t="shared" si="40"/>
        <v>7</v>
      </c>
      <c r="E849" t="str">
        <f t="shared" si="41"/>
        <v>2024-7</v>
      </c>
    </row>
    <row r="850" spans="1:5" x14ac:dyDescent="0.25">
      <c r="A850" t="s">
        <v>216</v>
      </c>
      <c r="B850" t="s">
        <v>415</v>
      </c>
      <c r="C850">
        <f t="shared" si="39"/>
        <v>2024</v>
      </c>
      <c r="D850">
        <f t="shared" si="40"/>
        <v>7</v>
      </c>
      <c r="E850" t="str">
        <f t="shared" si="41"/>
        <v>2024-7</v>
      </c>
    </row>
    <row r="851" spans="1:5" x14ac:dyDescent="0.25">
      <c r="A851" t="s">
        <v>122</v>
      </c>
      <c r="B851" t="s">
        <v>415</v>
      </c>
      <c r="C851">
        <f t="shared" si="39"/>
        <v>2024</v>
      </c>
      <c r="D851">
        <f t="shared" si="40"/>
        <v>7</v>
      </c>
      <c r="E851" t="str">
        <f t="shared" si="41"/>
        <v>2024-7</v>
      </c>
    </row>
    <row r="852" spans="1:5" x14ac:dyDescent="0.25">
      <c r="A852" t="s">
        <v>153</v>
      </c>
      <c r="B852" t="s">
        <v>415</v>
      </c>
      <c r="C852">
        <f t="shared" si="39"/>
        <v>2024</v>
      </c>
      <c r="D852">
        <f t="shared" si="40"/>
        <v>7</v>
      </c>
      <c r="E852" t="str">
        <f t="shared" si="41"/>
        <v>2024-7</v>
      </c>
    </row>
    <row r="853" spans="1:5" x14ac:dyDescent="0.25">
      <c r="A853" t="s">
        <v>86</v>
      </c>
      <c r="B853" t="s">
        <v>416</v>
      </c>
      <c r="C853">
        <f t="shared" si="39"/>
        <v>2024</v>
      </c>
      <c r="D853">
        <f t="shared" si="40"/>
        <v>7</v>
      </c>
      <c r="E853" t="str">
        <f t="shared" si="41"/>
        <v>2024-7</v>
      </c>
    </row>
    <row r="854" spans="1:5" x14ac:dyDescent="0.25">
      <c r="A854" t="s">
        <v>184</v>
      </c>
      <c r="B854" t="s">
        <v>416</v>
      </c>
      <c r="C854">
        <f t="shared" si="39"/>
        <v>2024</v>
      </c>
      <c r="D854">
        <f t="shared" si="40"/>
        <v>7</v>
      </c>
      <c r="E854" t="str">
        <f t="shared" si="41"/>
        <v>2024-7</v>
      </c>
    </row>
    <row r="855" spans="1:5" x14ac:dyDescent="0.25">
      <c r="A855" t="s">
        <v>116</v>
      </c>
      <c r="B855" t="s">
        <v>416</v>
      </c>
      <c r="C855">
        <f t="shared" si="39"/>
        <v>2024</v>
      </c>
      <c r="D855">
        <f t="shared" si="40"/>
        <v>7</v>
      </c>
      <c r="E855" t="str">
        <f t="shared" si="41"/>
        <v>2024-7</v>
      </c>
    </row>
    <row r="856" spans="1:5" x14ac:dyDescent="0.25">
      <c r="A856" t="s">
        <v>118</v>
      </c>
      <c r="B856" t="s">
        <v>416</v>
      </c>
      <c r="C856">
        <f t="shared" si="39"/>
        <v>2024</v>
      </c>
      <c r="D856">
        <f t="shared" si="40"/>
        <v>7</v>
      </c>
      <c r="E856" t="str">
        <f t="shared" si="41"/>
        <v>2024-7</v>
      </c>
    </row>
    <row r="857" spans="1:5" x14ac:dyDescent="0.25">
      <c r="A857" t="s">
        <v>184</v>
      </c>
      <c r="B857" t="s">
        <v>416</v>
      </c>
      <c r="C857">
        <f t="shared" si="39"/>
        <v>2024</v>
      </c>
      <c r="D857">
        <f t="shared" si="40"/>
        <v>7</v>
      </c>
      <c r="E857" t="str">
        <f t="shared" si="41"/>
        <v>2024-7</v>
      </c>
    </row>
    <row r="858" spans="1:5" x14ac:dyDescent="0.25">
      <c r="A858" t="s">
        <v>325</v>
      </c>
      <c r="B858" t="s">
        <v>416</v>
      </c>
      <c r="C858">
        <f t="shared" si="39"/>
        <v>2024</v>
      </c>
      <c r="D858">
        <f t="shared" si="40"/>
        <v>7</v>
      </c>
      <c r="E858" t="str">
        <f t="shared" si="41"/>
        <v>2024-7</v>
      </c>
    </row>
    <row r="859" spans="1:5" x14ac:dyDescent="0.25">
      <c r="A859" t="s">
        <v>74</v>
      </c>
      <c r="B859" t="s">
        <v>416</v>
      </c>
      <c r="C859">
        <f t="shared" si="39"/>
        <v>2024</v>
      </c>
      <c r="D859">
        <f t="shared" si="40"/>
        <v>7</v>
      </c>
      <c r="E859" t="str">
        <f t="shared" si="41"/>
        <v>2024-7</v>
      </c>
    </row>
    <row r="860" spans="1:5" x14ac:dyDescent="0.25">
      <c r="A860" t="s">
        <v>105</v>
      </c>
      <c r="B860" t="s">
        <v>416</v>
      </c>
      <c r="C860">
        <f t="shared" si="39"/>
        <v>2024</v>
      </c>
      <c r="D860">
        <f t="shared" si="40"/>
        <v>7</v>
      </c>
      <c r="E860" t="str">
        <f t="shared" si="41"/>
        <v>2024-7</v>
      </c>
    </row>
    <row r="861" spans="1:5" x14ac:dyDescent="0.25">
      <c r="A861" t="s">
        <v>40</v>
      </c>
      <c r="B861" t="s">
        <v>416</v>
      </c>
      <c r="C861">
        <f t="shared" si="39"/>
        <v>2024</v>
      </c>
      <c r="D861">
        <f t="shared" si="40"/>
        <v>7</v>
      </c>
      <c r="E861" t="str">
        <f t="shared" si="41"/>
        <v>2024-7</v>
      </c>
    </row>
    <row r="862" spans="1:5" x14ac:dyDescent="0.25">
      <c r="A862" t="s">
        <v>107</v>
      </c>
      <c r="B862" t="s">
        <v>416</v>
      </c>
      <c r="C862">
        <f t="shared" si="39"/>
        <v>2024</v>
      </c>
      <c r="D862">
        <f t="shared" si="40"/>
        <v>7</v>
      </c>
      <c r="E862" t="str">
        <f t="shared" si="41"/>
        <v>2024-7</v>
      </c>
    </row>
    <row r="863" spans="1:5" x14ac:dyDescent="0.25">
      <c r="A863" t="s">
        <v>417</v>
      </c>
      <c r="B863" t="s">
        <v>416</v>
      </c>
      <c r="C863">
        <f t="shared" si="39"/>
        <v>2024</v>
      </c>
      <c r="D863">
        <f t="shared" si="40"/>
        <v>7</v>
      </c>
      <c r="E863" t="str">
        <f t="shared" si="41"/>
        <v>2024-7</v>
      </c>
    </row>
    <row r="864" spans="1:5" x14ac:dyDescent="0.25">
      <c r="A864" t="s">
        <v>129</v>
      </c>
      <c r="B864" t="s">
        <v>418</v>
      </c>
      <c r="C864">
        <f t="shared" si="39"/>
        <v>2024</v>
      </c>
      <c r="D864">
        <f t="shared" si="40"/>
        <v>7</v>
      </c>
      <c r="E864" t="str">
        <f t="shared" si="41"/>
        <v>2024-7</v>
      </c>
    </row>
    <row r="865" spans="1:5" x14ac:dyDescent="0.25">
      <c r="A865" t="s">
        <v>235</v>
      </c>
      <c r="B865" t="s">
        <v>418</v>
      </c>
      <c r="C865">
        <f t="shared" si="39"/>
        <v>2024</v>
      </c>
      <c r="D865">
        <f t="shared" si="40"/>
        <v>7</v>
      </c>
      <c r="E865" t="str">
        <f t="shared" si="41"/>
        <v>2024-7</v>
      </c>
    </row>
    <row r="866" spans="1:5" x14ac:dyDescent="0.25">
      <c r="A866" t="s">
        <v>131</v>
      </c>
      <c r="B866" t="s">
        <v>418</v>
      </c>
      <c r="C866">
        <f t="shared" si="39"/>
        <v>2024</v>
      </c>
      <c r="D866">
        <f t="shared" si="40"/>
        <v>7</v>
      </c>
      <c r="E866" t="str">
        <f t="shared" si="41"/>
        <v>2024-7</v>
      </c>
    </row>
    <row r="867" spans="1:5" x14ac:dyDescent="0.25">
      <c r="A867" t="s">
        <v>73</v>
      </c>
      <c r="B867" t="s">
        <v>418</v>
      </c>
      <c r="C867">
        <f t="shared" si="39"/>
        <v>2024</v>
      </c>
      <c r="D867">
        <f t="shared" si="40"/>
        <v>7</v>
      </c>
      <c r="E867" t="str">
        <f t="shared" si="41"/>
        <v>2024-7</v>
      </c>
    </row>
    <row r="868" spans="1:5" x14ac:dyDescent="0.25">
      <c r="A868" t="s">
        <v>203</v>
      </c>
      <c r="B868" t="s">
        <v>418</v>
      </c>
      <c r="C868">
        <f t="shared" si="39"/>
        <v>2024</v>
      </c>
      <c r="D868">
        <f t="shared" si="40"/>
        <v>7</v>
      </c>
      <c r="E868" t="str">
        <f t="shared" si="41"/>
        <v>2024-7</v>
      </c>
    </row>
    <row r="869" spans="1:5" x14ac:dyDescent="0.25">
      <c r="A869" t="s">
        <v>126</v>
      </c>
      <c r="B869" t="s">
        <v>418</v>
      </c>
      <c r="C869">
        <f t="shared" si="39"/>
        <v>2024</v>
      </c>
      <c r="D869">
        <f t="shared" si="40"/>
        <v>7</v>
      </c>
      <c r="E869" t="str">
        <f t="shared" si="41"/>
        <v>2024-7</v>
      </c>
    </row>
    <row r="870" spans="1:5" x14ac:dyDescent="0.25">
      <c r="A870" t="s">
        <v>184</v>
      </c>
      <c r="B870" t="s">
        <v>418</v>
      </c>
      <c r="C870">
        <f t="shared" si="39"/>
        <v>2024</v>
      </c>
      <c r="D870">
        <f t="shared" si="40"/>
        <v>7</v>
      </c>
      <c r="E870" t="str">
        <f t="shared" si="41"/>
        <v>2024-7</v>
      </c>
    </row>
    <row r="871" spans="1:5" x14ac:dyDescent="0.25">
      <c r="A871" t="s">
        <v>181</v>
      </c>
      <c r="B871" t="s">
        <v>419</v>
      </c>
      <c r="C871">
        <f t="shared" si="39"/>
        <v>2024</v>
      </c>
      <c r="D871">
        <f t="shared" si="40"/>
        <v>7</v>
      </c>
      <c r="E871" t="str">
        <f t="shared" si="41"/>
        <v>2024-7</v>
      </c>
    </row>
    <row r="872" spans="1:5" x14ac:dyDescent="0.25">
      <c r="A872" t="s">
        <v>197</v>
      </c>
      <c r="B872" t="s">
        <v>420</v>
      </c>
      <c r="C872">
        <f t="shared" si="39"/>
        <v>2024</v>
      </c>
      <c r="D872">
        <f t="shared" si="40"/>
        <v>7</v>
      </c>
      <c r="E872" t="str">
        <f t="shared" si="41"/>
        <v>2024-7</v>
      </c>
    </row>
    <row r="873" spans="1:5" x14ac:dyDescent="0.25">
      <c r="A873" t="s">
        <v>316</v>
      </c>
      <c r="B873" t="s">
        <v>420</v>
      </c>
      <c r="C873">
        <f t="shared" si="39"/>
        <v>2024</v>
      </c>
      <c r="D873">
        <f t="shared" si="40"/>
        <v>7</v>
      </c>
      <c r="E873" t="str">
        <f t="shared" si="41"/>
        <v>2024-7</v>
      </c>
    </row>
    <row r="874" spans="1:5" x14ac:dyDescent="0.25">
      <c r="A874" t="s">
        <v>161</v>
      </c>
      <c r="B874" t="s">
        <v>421</v>
      </c>
      <c r="C874">
        <f t="shared" si="39"/>
        <v>2024</v>
      </c>
      <c r="D874">
        <f t="shared" si="40"/>
        <v>7</v>
      </c>
      <c r="E874" t="str">
        <f t="shared" si="41"/>
        <v>2024-7</v>
      </c>
    </row>
    <row r="875" spans="1:5" x14ac:dyDescent="0.25">
      <c r="A875" t="s">
        <v>57</v>
      </c>
      <c r="B875" t="s">
        <v>421</v>
      </c>
      <c r="C875">
        <f t="shared" si="39"/>
        <v>2024</v>
      </c>
      <c r="D875">
        <f t="shared" si="40"/>
        <v>7</v>
      </c>
      <c r="E875" t="str">
        <f t="shared" si="41"/>
        <v>2024-7</v>
      </c>
    </row>
    <row r="876" spans="1:5" x14ac:dyDescent="0.25">
      <c r="A876" t="s">
        <v>146</v>
      </c>
      <c r="B876" t="s">
        <v>421</v>
      </c>
      <c r="C876">
        <f t="shared" si="39"/>
        <v>2024</v>
      </c>
      <c r="D876">
        <f t="shared" si="40"/>
        <v>7</v>
      </c>
      <c r="E876" t="str">
        <f t="shared" si="41"/>
        <v>2024-7</v>
      </c>
    </row>
    <row r="877" spans="1:5" x14ac:dyDescent="0.25">
      <c r="A877" t="s">
        <v>172</v>
      </c>
      <c r="B877" t="s">
        <v>421</v>
      </c>
      <c r="C877">
        <f t="shared" si="39"/>
        <v>2024</v>
      </c>
      <c r="D877">
        <f t="shared" si="40"/>
        <v>7</v>
      </c>
      <c r="E877" t="str">
        <f t="shared" si="41"/>
        <v>2024-7</v>
      </c>
    </row>
    <row r="878" spans="1:5" x14ac:dyDescent="0.25">
      <c r="A878" t="s">
        <v>364</v>
      </c>
      <c r="B878" t="s">
        <v>422</v>
      </c>
      <c r="C878">
        <f t="shared" si="39"/>
        <v>2024</v>
      </c>
      <c r="D878">
        <f t="shared" si="40"/>
        <v>7</v>
      </c>
      <c r="E878" t="str">
        <f t="shared" si="41"/>
        <v>2024-7</v>
      </c>
    </row>
    <row r="879" spans="1:5" x14ac:dyDescent="0.25">
      <c r="A879" t="s">
        <v>184</v>
      </c>
      <c r="B879" t="s">
        <v>422</v>
      </c>
      <c r="C879">
        <f t="shared" si="39"/>
        <v>2024</v>
      </c>
      <c r="D879">
        <f t="shared" si="40"/>
        <v>7</v>
      </c>
      <c r="E879" t="str">
        <f t="shared" si="41"/>
        <v>2024-7</v>
      </c>
    </row>
    <row r="880" spans="1:5" x14ac:dyDescent="0.25">
      <c r="A880" t="s">
        <v>97</v>
      </c>
      <c r="B880" t="s">
        <v>422</v>
      </c>
      <c r="C880">
        <f t="shared" si="39"/>
        <v>2024</v>
      </c>
      <c r="D880">
        <f t="shared" si="40"/>
        <v>7</v>
      </c>
      <c r="E880" t="str">
        <f t="shared" si="41"/>
        <v>2024-7</v>
      </c>
    </row>
    <row r="881" spans="1:5" x14ac:dyDescent="0.25">
      <c r="A881" t="s">
        <v>195</v>
      </c>
      <c r="B881" t="s">
        <v>422</v>
      </c>
      <c r="C881">
        <f t="shared" si="39"/>
        <v>2024</v>
      </c>
      <c r="D881">
        <f t="shared" si="40"/>
        <v>7</v>
      </c>
      <c r="E881" t="str">
        <f t="shared" si="41"/>
        <v>2024-7</v>
      </c>
    </row>
    <row r="882" spans="1:5" x14ac:dyDescent="0.25">
      <c r="A882" t="s">
        <v>120</v>
      </c>
      <c r="B882" t="s">
        <v>422</v>
      </c>
      <c r="C882">
        <f t="shared" si="39"/>
        <v>2024</v>
      </c>
      <c r="D882">
        <f t="shared" si="40"/>
        <v>7</v>
      </c>
      <c r="E882" t="str">
        <f t="shared" si="41"/>
        <v>2024-7</v>
      </c>
    </row>
    <row r="883" spans="1:5" x14ac:dyDescent="0.25">
      <c r="A883" t="s">
        <v>151</v>
      </c>
      <c r="B883" t="s">
        <v>422</v>
      </c>
      <c r="C883">
        <f t="shared" si="39"/>
        <v>2024</v>
      </c>
      <c r="D883">
        <f t="shared" si="40"/>
        <v>7</v>
      </c>
      <c r="E883" t="str">
        <f t="shared" si="41"/>
        <v>2024-7</v>
      </c>
    </row>
    <row r="884" spans="1:5" x14ac:dyDescent="0.25">
      <c r="A884" t="s">
        <v>139</v>
      </c>
      <c r="B884" t="s">
        <v>422</v>
      </c>
      <c r="C884">
        <f t="shared" si="39"/>
        <v>2024</v>
      </c>
      <c r="D884">
        <f t="shared" si="40"/>
        <v>7</v>
      </c>
      <c r="E884" t="str">
        <f t="shared" si="41"/>
        <v>2024-7</v>
      </c>
    </row>
    <row r="885" spans="1:5" x14ac:dyDescent="0.25">
      <c r="A885" t="s">
        <v>207</v>
      </c>
      <c r="B885" t="s">
        <v>422</v>
      </c>
      <c r="C885">
        <f t="shared" si="39"/>
        <v>2024</v>
      </c>
      <c r="D885">
        <f t="shared" si="40"/>
        <v>7</v>
      </c>
      <c r="E885" t="str">
        <f t="shared" si="41"/>
        <v>2024-7</v>
      </c>
    </row>
    <row r="886" spans="1:5" x14ac:dyDescent="0.25">
      <c r="A886" t="s">
        <v>73</v>
      </c>
      <c r="B886" t="s">
        <v>423</v>
      </c>
      <c r="C886">
        <f t="shared" si="39"/>
        <v>2024</v>
      </c>
      <c r="D886">
        <f t="shared" si="40"/>
        <v>7</v>
      </c>
      <c r="E886" t="str">
        <f t="shared" si="41"/>
        <v>2024-7</v>
      </c>
    </row>
    <row r="887" spans="1:5" x14ac:dyDescent="0.25">
      <c r="A887" t="s">
        <v>170</v>
      </c>
      <c r="B887" t="s">
        <v>423</v>
      </c>
      <c r="C887">
        <f t="shared" si="39"/>
        <v>2024</v>
      </c>
      <c r="D887">
        <f t="shared" si="40"/>
        <v>7</v>
      </c>
      <c r="E887" t="str">
        <f t="shared" si="41"/>
        <v>2024-7</v>
      </c>
    </row>
    <row r="888" spans="1:5" x14ac:dyDescent="0.25">
      <c r="A888" t="s">
        <v>212</v>
      </c>
      <c r="B888" t="s">
        <v>423</v>
      </c>
      <c r="C888">
        <f t="shared" si="39"/>
        <v>2024</v>
      </c>
      <c r="D888">
        <f t="shared" si="40"/>
        <v>7</v>
      </c>
      <c r="E888" t="str">
        <f t="shared" si="41"/>
        <v>2024-7</v>
      </c>
    </row>
    <row r="889" spans="1:5" x14ac:dyDescent="0.25">
      <c r="A889" t="s">
        <v>359</v>
      </c>
      <c r="B889" t="s">
        <v>423</v>
      </c>
      <c r="C889">
        <f t="shared" si="39"/>
        <v>2024</v>
      </c>
      <c r="D889">
        <f t="shared" si="40"/>
        <v>7</v>
      </c>
      <c r="E889" t="str">
        <f t="shared" si="41"/>
        <v>2024-7</v>
      </c>
    </row>
    <row r="890" spans="1:5" x14ac:dyDescent="0.25">
      <c r="A890" t="s">
        <v>22</v>
      </c>
      <c r="B890" t="s">
        <v>424</v>
      </c>
      <c r="C890">
        <f t="shared" si="39"/>
        <v>2024</v>
      </c>
      <c r="D890">
        <f t="shared" si="40"/>
        <v>7</v>
      </c>
      <c r="E890" t="str">
        <f t="shared" si="41"/>
        <v>2024-7</v>
      </c>
    </row>
    <row r="891" spans="1:5" x14ac:dyDescent="0.25">
      <c r="A891" t="s">
        <v>181</v>
      </c>
      <c r="B891" t="s">
        <v>424</v>
      </c>
      <c r="C891">
        <f t="shared" si="39"/>
        <v>2024</v>
      </c>
      <c r="D891">
        <f t="shared" si="40"/>
        <v>7</v>
      </c>
      <c r="E891" t="str">
        <f t="shared" si="41"/>
        <v>2024-7</v>
      </c>
    </row>
    <row r="892" spans="1:5" x14ac:dyDescent="0.25">
      <c r="A892" t="s">
        <v>105</v>
      </c>
      <c r="B892" t="s">
        <v>424</v>
      </c>
      <c r="C892">
        <f t="shared" si="39"/>
        <v>2024</v>
      </c>
      <c r="D892">
        <f t="shared" si="40"/>
        <v>7</v>
      </c>
      <c r="E892" t="str">
        <f t="shared" si="41"/>
        <v>2024-7</v>
      </c>
    </row>
    <row r="893" spans="1:5" x14ac:dyDescent="0.25">
      <c r="A893" t="s">
        <v>275</v>
      </c>
      <c r="B893" t="s">
        <v>424</v>
      </c>
      <c r="C893">
        <f t="shared" si="39"/>
        <v>2024</v>
      </c>
      <c r="D893">
        <f t="shared" si="40"/>
        <v>7</v>
      </c>
      <c r="E893" t="str">
        <f t="shared" si="41"/>
        <v>2024-7</v>
      </c>
    </row>
    <row r="894" spans="1:5" x14ac:dyDescent="0.25">
      <c r="A894" t="s">
        <v>87</v>
      </c>
      <c r="B894" t="s">
        <v>424</v>
      </c>
      <c r="C894">
        <f t="shared" si="39"/>
        <v>2024</v>
      </c>
      <c r="D894">
        <f t="shared" si="40"/>
        <v>7</v>
      </c>
      <c r="E894" t="str">
        <f t="shared" si="41"/>
        <v>2024-7</v>
      </c>
    </row>
    <row r="895" spans="1:5" x14ac:dyDescent="0.25">
      <c r="A895" t="s">
        <v>141</v>
      </c>
      <c r="B895" t="s">
        <v>424</v>
      </c>
      <c r="C895">
        <f t="shared" si="39"/>
        <v>2024</v>
      </c>
      <c r="D895">
        <f t="shared" si="40"/>
        <v>7</v>
      </c>
      <c r="E895" t="str">
        <f t="shared" si="41"/>
        <v>2024-7</v>
      </c>
    </row>
    <row r="896" spans="1:5" x14ac:dyDescent="0.25">
      <c r="A896" t="s">
        <v>13</v>
      </c>
      <c r="B896" t="s">
        <v>424</v>
      </c>
      <c r="C896">
        <f t="shared" si="39"/>
        <v>2024</v>
      </c>
      <c r="D896">
        <f t="shared" si="40"/>
        <v>7</v>
      </c>
      <c r="E896" t="str">
        <f t="shared" si="41"/>
        <v>2024-7</v>
      </c>
    </row>
    <row r="897" spans="1:5" x14ac:dyDescent="0.25">
      <c r="A897" t="s">
        <v>66</v>
      </c>
      <c r="B897" t="s">
        <v>425</v>
      </c>
      <c r="C897">
        <f t="shared" si="39"/>
        <v>2024</v>
      </c>
      <c r="D897">
        <f t="shared" si="40"/>
        <v>7</v>
      </c>
      <c r="E897" t="str">
        <f t="shared" si="41"/>
        <v>2024-7</v>
      </c>
    </row>
    <row r="898" spans="1:5" x14ac:dyDescent="0.25">
      <c r="A898" t="s">
        <v>84</v>
      </c>
      <c r="B898" t="s">
        <v>426</v>
      </c>
      <c r="C898">
        <f t="shared" si="39"/>
        <v>2024</v>
      </c>
      <c r="D898">
        <f t="shared" si="40"/>
        <v>7</v>
      </c>
      <c r="E898" t="str">
        <f t="shared" si="41"/>
        <v>2024-7</v>
      </c>
    </row>
    <row r="899" spans="1:5" x14ac:dyDescent="0.25">
      <c r="A899" t="s">
        <v>256</v>
      </c>
      <c r="B899" t="s">
        <v>426</v>
      </c>
      <c r="C899">
        <f t="shared" ref="C899:C962" si="42">YEAR(B899)</f>
        <v>2024</v>
      </c>
      <c r="D899">
        <f t="shared" ref="D899:D962" si="43">MONTH(B899)</f>
        <v>7</v>
      </c>
      <c r="E899" t="str">
        <f t="shared" ref="E899:E962" si="44">C899&amp;"-"&amp;D899</f>
        <v>2024-7</v>
      </c>
    </row>
    <row r="900" spans="1:5" x14ac:dyDescent="0.25">
      <c r="A900" t="s">
        <v>107</v>
      </c>
      <c r="B900" t="s">
        <v>427</v>
      </c>
      <c r="C900">
        <f t="shared" si="42"/>
        <v>2024</v>
      </c>
      <c r="D900">
        <f t="shared" si="43"/>
        <v>7</v>
      </c>
      <c r="E900" t="str">
        <f t="shared" si="44"/>
        <v>2024-7</v>
      </c>
    </row>
    <row r="901" spans="1:5" x14ac:dyDescent="0.25">
      <c r="A901" t="s">
        <v>304</v>
      </c>
      <c r="B901" t="s">
        <v>427</v>
      </c>
      <c r="C901">
        <f t="shared" si="42"/>
        <v>2024</v>
      </c>
      <c r="D901">
        <f t="shared" si="43"/>
        <v>7</v>
      </c>
      <c r="E901" t="str">
        <f t="shared" si="44"/>
        <v>2024-7</v>
      </c>
    </row>
    <row r="902" spans="1:5" x14ac:dyDescent="0.25">
      <c r="A902" t="s">
        <v>38</v>
      </c>
      <c r="B902" t="s">
        <v>427</v>
      </c>
      <c r="C902">
        <f t="shared" si="42"/>
        <v>2024</v>
      </c>
      <c r="D902">
        <f t="shared" si="43"/>
        <v>7</v>
      </c>
      <c r="E902" t="str">
        <f t="shared" si="44"/>
        <v>2024-7</v>
      </c>
    </row>
    <row r="903" spans="1:5" x14ac:dyDescent="0.25">
      <c r="A903" t="s">
        <v>116</v>
      </c>
      <c r="B903" t="s">
        <v>427</v>
      </c>
      <c r="C903">
        <f t="shared" si="42"/>
        <v>2024</v>
      </c>
      <c r="D903">
        <f t="shared" si="43"/>
        <v>7</v>
      </c>
      <c r="E903" t="str">
        <f t="shared" si="44"/>
        <v>2024-7</v>
      </c>
    </row>
    <row r="904" spans="1:5" x14ac:dyDescent="0.25">
      <c r="A904" t="s">
        <v>428</v>
      </c>
      <c r="B904" t="s">
        <v>427</v>
      </c>
      <c r="C904">
        <f t="shared" si="42"/>
        <v>2024</v>
      </c>
      <c r="D904">
        <f t="shared" si="43"/>
        <v>7</v>
      </c>
      <c r="E904" t="str">
        <f t="shared" si="44"/>
        <v>2024-7</v>
      </c>
    </row>
    <row r="905" spans="1:5" x14ac:dyDescent="0.25">
      <c r="A905" t="s">
        <v>429</v>
      </c>
      <c r="B905" t="s">
        <v>427</v>
      </c>
      <c r="C905">
        <f t="shared" si="42"/>
        <v>2024</v>
      </c>
      <c r="D905">
        <f t="shared" si="43"/>
        <v>7</v>
      </c>
      <c r="E905" t="str">
        <f t="shared" si="44"/>
        <v>2024-7</v>
      </c>
    </row>
    <row r="906" spans="1:5" x14ac:dyDescent="0.25">
      <c r="A906" t="s">
        <v>281</v>
      </c>
      <c r="B906" t="s">
        <v>427</v>
      </c>
      <c r="C906">
        <f t="shared" si="42"/>
        <v>2024</v>
      </c>
      <c r="D906">
        <f t="shared" si="43"/>
        <v>7</v>
      </c>
      <c r="E906" t="str">
        <f t="shared" si="44"/>
        <v>2024-7</v>
      </c>
    </row>
    <row r="907" spans="1:5" x14ac:dyDescent="0.25">
      <c r="A907" t="s">
        <v>190</v>
      </c>
      <c r="B907" t="s">
        <v>427</v>
      </c>
      <c r="C907">
        <f t="shared" si="42"/>
        <v>2024</v>
      </c>
      <c r="D907">
        <f t="shared" si="43"/>
        <v>7</v>
      </c>
      <c r="E907" t="str">
        <f t="shared" si="44"/>
        <v>2024-7</v>
      </c>
    </row>
    <row r="908" spans="1:5" x14ac:dyDescent="0.25">
      <c r="A908" t="s">
        <v>131</v>
      </c>
      <c r="B908" t="s">
        <v>427</v>
      </c>
      <c r="C908">
        <f t="shared" si="42"/>
        <v>2024</v>
      </c>
      <c r="D908">
        <f t="shared" si="43"/>
        <v>7</v>
      </c>
      <c r="E908" t="str">
        <f t="shared" si="44"/>
        <v>2024-7</v>
      </c>
    </row>
    <row r="909" spans="1:5" x14ac:dyDescent="0.25">
      <c r="A909" t="s">
        <v>75</v>
      </c>
      <c r="B909" t="s">
        <v>427</v>
      </c>
      <c r="C909">
        <f t="shared" si="42"/>
        <v>2024</v>
      </c>
      <c r="D909">
        <f t="shared" si="43"/>
        <v>7</v>
      </c>
      <c r="E909" t="str">
        <f t="shared" si="44"/>
        <v>2024-7</v>
      </c>
    </row>
    <row r="910" spans="1:5" x14ac:dyDescent="0.25">
      <c r="A910" t="s">
        <v>146</v>
      </c>
      <c r="B910" t="s">
        <v>427</v>
      </c>
      <c r="C910">
        <f t="shared" si="42"/>
        <v>2024</v>
      </c>
      <c r="D910">
        <f t="shared" si="43"/>
        <v>7</v>
      </c>
      <c r="E910" t="str">
        <f t="shared" si="44"/>
        <v>2024-7</v>
      </c>
    </row>
    <row r="911" spans="1:5" x14ac:dyDescent="0.25">
      <c r="A911" t="s">
        <v>53</v>
      </c>
      <c r="B911" t="s">
        <v>427</v>
      </c>
      <c r="C911">
        <f t="shared" si="42"/>
        <v>2024</v>
      </c>
      <c r="D911">
        <f t="shared" si="43"/>
        <v>7</v>
      </c>
      <c r="E911" t="str">
        <f t="shared" si="44"/>
        <v>2024-7</v>
      </c>
    </row>
    <row r="912" spans="1:5" x14ac:dyDescent="0.25">
      <c r="A912" t="s">
        <v>184</v>
      </c>
      <c r="B912" t="s">
        <v>430</v>
      </c>
      <c r="C912">
        <f t="shared" si="42"/>
        <v>2024</v>
      </c>
      <c r="D912">
        <f t="shared" si="43"/>
        <v>7</v>
      </c>
      <c r="E912" t="str">
        <f t="shared" si="44"/>
        <v>2024-7</v>
      </c>
    </row>
    <row r="913" spans="1:5" x14ac:dyDescent="0.25">
      <c r="A913" t="s">
        <v>300</v>
      </c>
      <c r="B913" t="s">
        <v>430</v>
      </c>
      <c r="C913">
        <f t="shared" si="42"/>
        <v>2024</v>
      </c>
      <c r="D913">
        <f t="shared" si="43"/>
        <v>7</v>
      </c>
      <c r="E913" t="str">
        <f t="shared" si="44"/>
        <v>2024-7</v>
      </c>
    </row>
    <row r="914" spans="1:5" x14ac:dyDescent="0.25">
      <c r="A914" t="s">
        <v>296</v>
      </c>
      <c r="B914" t="s">
        <v>431</v>
      </c>
      <c r="C914">
        <f t="shared" si="42"/>
        <v>2024</v>
      </c>
      <c r="D914">
        <f t="shared" si="43"/>
        <v>7</v>
      </c>
      <c r="E914" t="str">
        <f t="shared" si="44"/>
        <v>2024-7</v>
      </c>
    </row>
    <row r="915" spans="1:5" x14ac:dyDescent="0.25">
      <c r="A915" t="s">
        <v>133</v>
      </c>
      <c r="B915" t="s">
        <v>431</v>
      </c>
      <c r="C915">
        <f t="shared" si="42"/>
        <v>2024</v>
      </c>
      <c r="D915">
        <f t="shared" si="43"/>
        <v>7</v>
      </c>
      <c r="E915" t="str">
        <f t="shared" si="44"/>
        <v>2024-7</v>
      </c>
    </row>
    <row r="916" spans="1:5" x14ac:dyDescent="0.25">
      <c r="A916" t="s">
        <v>175</v>
      </c>
      <c r="B916" t="s">
        <v>431</v>
      </c>
      <c r="C916">
        <f t="shared" si="42"/>
        <v>2024</v>
      </c>
      <c r="D916">
        <f t="shared" si="43"/>
        <v>7</v>
      </c>
      <c r="E916" t="str">
        <f t="shared" si="44"/>
        <v>2024-7</v>
      </c>
    </row>
    <row r="917" spans="1:5" x14ac:dyDescent="0.25">
      <c r="A917" t="s">
        <v>70</v>
      </c>
      <c r="B917" t="s">
        <v>431</v>
      </c>
      <c r="C917">
        <f t="shared" si="42"/>
        <v>2024</v>
      </c>
      <c r="D917">
        <f t="shared" si="43"/>
        <v>7</v>
      </c>
      <c r="E917" t="str">
        <f t="shared" si="44"/>
        <v>2024-7</v>
      </c>
    </row>
    <row r="918" spans="1:5" x14ac:dyDescent="0.25">
      <c r="A918" t="s">
        <v>238</v>
      </c>
      <c r="B918" t="s">
        <v>432</v>
      </c>
      <c r="C918">
        <f t="shared" si="42"/>
        <v>2024</v>
      </c>
      <c r="D918">
        <f t="shared" si="43"/>
        <v>8</v>
      </c>
      <c r="E918" t="str">
        <f t="shared" si="44"/>
        <v>2024-8</v>
      </c>
    </row>
    <row r="919" spans="1:5" x14ac:dyDescent="0.25">
      <c r="A919" t="s">
        <v>109</v>
      </c>
      <c r="B919" t="s">
        <v>432</v>
      </c>
      <c r="C919">
        <f t="shared" si="42"/>
        <v>2024</v>
      </c>
      <c r="D919">
        <f t="shared" si="43"/>
        <v>8</v>
      </c>
      <c r="E919" t="str">
        <f t="shared" si="44"/>
        <v>2024-8</v>
      </c>
    </row>
    <row r="920" spans="1:5" x14ac:dyDescent="0.25">
      <c r="A920" t="s">
        <v>232</v>
      </c>
      <c r="B920" t="s">
        <v>432</v>
      </c>
      <c r="C920">
        <f t="shared" si="42"/>
        <v>2024</v>
      </c>
      <c r="D920">
        <f t="shared" si="43"/>
        <v>8</v>
      </c>
      <c r="E920" t="str">
        <f t="shared" si="44"/>
        <v>2024-8</v>
      </c>
    </row>
    <row r="921" spans="1:5" x14ac:dyDescent="0.25">
      <c r="A921" t="s">
        <v>55</v>
      </c>
      <c r="B921" t="s">
        <v>433</v>
      </c>
      <c r="C921">
        <f t="shared" si="42"/>
        <v>2024</v>
      </c>
      <c r="D921">
        <f t="shared" si="43"/>
        <v>8</v>
      </c>
      <c r="E921" t="str">
        <f t="shared" si="44"/>
        <v>2024-8</v>
      </c>
    </row>
    <row r="922" spans="1:5" x14ac:dyDescent="0.25">
      <c r="A922" t="s">
        <v>281</v>
      </c>
      <c r="B922" t="s">
        <v>433</v>
      </c>
      <c r="C922">
        <f t="shared" si="42"/>
        <v>2024</v>
      </c>
      <c r="D922">
        <f t="shared" si="43"/>
        <v>8</v>
      </c>
      <c r="E922" t="str">
        <f t="shared" si="44"/>
        <v>2024-8</v>
      </c>
    </row>
    <row r="923" spans="1:5" x14ac:dyDescent="0.25">
      <c r="A923" t="s">
        <v>112</v>
      </c>
      <c r="B923" t="s">
        <v>434</v>
      </c>
      <c r="C923">
        <f t="shared" si="42"/>
        <v>2024</v>
      </c>
      <c r="D923">
        <f t="shared" si="43"/>
        <v>8</v>
      </c>
      <c r="E923" t="str">
        <f t="shared" si="44"/>
        <v>2024-8</v>
      </c>
    </row>
    <row r="924" spans="1:5" x14ac:dyDescent="0.25">
      <c r="A924" t="s">
        <v>6</v>
      </c>
      <c r="B924" t="s">
        <v>434</v>
      </c>
      <c r="C924">
        <f t="shared" si="42"/>
        <v>2024</v>
      </c>
      <c r="D924">
        <f t="shared" si="43"/>
        <v>8</v>
      </c>
      <c r="E924" t="str">
        <f t="shared" si="44"/>
        <v>2024-8</v>
      </c>
    </row>
    <row r="925" spans="1:5" x14ac:dyDescent="0.25">
      <c r="A925" t="s">
        <v>59</v>
      </c>
      <c r="B925" t="s">
        <v>434</v>
      </c>
      <c r="C925">
        <f t="shared" si="42"/>
        <v>2024</v>
      </c>
      <c r="D925">
        <f t="shared" si="43"/>
        <v>8</v>
      </c>
      <c r="E925" t="str">
        <f t="shared" si="44"/>
        <v>2024-8</v>
      </c>
    </row>
    <row r="926" spans="1:5" x14ac:dyDescent="0.25">
      <c r="A926" t="s">
        <v>191</v>
      </c>
      <c r="B926" t="s">
        <v>434</v>
      </c>
      <c r="C926">
        <f t="shared" si="42"/>
        <v>2024</v>
      </c>
      <c r="D926">
        <f t="shared" si="43"/>
        <v>8</v>
      </c>
      <c r="E926" t="str">
        <f t="shared" si="44"/>
        <v>2024-8</v>
      </c>
    </row>
    <row r="927" spans="1:5" x14ac:dyDescent="0.25">
      <c r="A927" t="s">
        <v>16</v>
      </c>
      <c r="B927" t="s">
        <v>434</v>
      </c>
      <c r="C927">
        <f t="shared" si="42"/>
        <v>2024</v>
      </c>
      <c r="D927">
        <f t="shared" si="43"/>
        <v>8</v>
      </c>
      <c r="E927" t="str">
        <f t="shared" si="44"/>
        <v>2024-8</v>
      </c>
    </row>
    <row r="928" spans="1:5" x14ac:dyDescent="0.25">
      <c r="A928" t="s">
        <v>292</v>
      </c>
      <c r="B928" t="s">
        <v>434</v>
      </c>
      <c r="C928">
        <f t="shared" si="42"/>
        <v>2024</v>
      </c>
      <c r="D928">
        <f t="shared" si="43"/>
        <v>8</v>
      </c>
      <c r="E928" t="str">
        <f t="shared" si="44"/>
        <v>2024-8</v>
      </c>
    </row>
    <row r="929" spans="1:5" x14ac:dyDescent="0.25">
      <c r="A929" t="s">
        <v>134</v>
      </c>
      <c r="B929" t="s">
        <v>435</v>
      </c>
      <c r="C929">
        <f t="shared" si="42"/>
        <v>2024</v>
      </c>
      <c r="D929">
        <f t="shared" si="43"/>
        <v>8</v>
      </c>
      <c r="E929" t="str">
        <f t="shared" si="44"/>
        <v>2024-8</v>
      </c>
    </row>
    <row r="930" spans="1:5" x14ac:dyDescent="0.25">
      <c r="A930" t="s">
        <v>51</v>
      </c>
      <c r="B930" t="s">
        <v>436</v>
      </c>
      <c r="C930">
        <f t="shared" si="42"/>
        <v>2024</v>
      </c>
      <c r="D930">
        <f t="shared" si="43"/>
        <v>8</v>
      </c>
      <c r="E930" t="str">
        <f t="shared" si="44"/>
        <v>2024-8</v>
      </c>
    </row>
    <row r="931" spans="1:5" x14ac:dyDescent="0.25">
      <c r="A931" t="s">
        <v>107</v>
      </c>
      <c r="B931" t="s">
        <v>436</v>
      </c>
      <c r="C931">
        <f t="shared" si="42"/>
        <v>2024</v>
      </c>
      <c r="D931">
        <f t="shared" si="43"/>
        <v>8</v>
      </c>
      <c r="E931" t="str">
        <f t="shared" si="44"/>
        <v>2024-8</v>
      </c>
    </row>
    <row r="932" spans="1:5" x14ac:dyDescent="0.25">
      <c r="A932" t="s">
        <v>256</v>
      </c>
      <c r="B932" t="s">
        <v>437</v>
      </c>
      <c r="C932">
        <f t="shared" si="42"/>
        <v>2024</v>
      </c>
      <c r="D932">
        <f t="shared" si="43"/>
        <v>8</v>
      </c>
      <c r="E932" t="str">
        <f t="shared" si="44"/>
        <v>2024-8</v>
      </c>
    </row>
    <row r="933" spans="1:5" x14ac:dyDescent="0.25">
      <c r="A933" t="s">
        <v>438</v>
      </c>
      <c r="B933" t="s">
        <v>437</v>
      </c>
      <c r="C933">
        <f t="shared" si="42"/>
        <v>2024</v>
      </c>
      <c r="D933">
        <f t="shared" si="43"/>
        <v>8</v>
      </c>
      <c r="E933" t="str">
        <f t="shared" si="44"/>
        <v>2024-8</v>
      </c>
    </row>
    <row r="934" spans="1:5" x14ac:dyDescent="0.25">
      <c r="A934" t="s">
        <v>293</v>
      </c>
      <c r="B934" t="s">
        <v>437</v>
      </c>
      <c r="C934">
        <f t="shared" si="42"/>
        <v>2024</v>
      </c>
      <c r="D934">
        <f t="shared" si="43"/>
        <v>8</v>
      </c>
      <c r="E934" t="str">
        <f t="shared" si="44"/>
        <v>2024-8</v>
      </c>
    </row>
    <row r="935" spans="1:5" x14ac:dyDescent="0.25">
      <c r="A935" t="s">
        <v>195</v>
      </c>
      <c r="B935" t="s">
        <v>437</v>
      </c>
      <c r="C935">
        <f t="shared" si="42"/>
        <v>2024</v>
      </c>
      <c r="D935">
        <f t="shared" si="43"/>
        <v>8</v>
      </c>
      <c r="E935" t="str">
        <f t="shared" si="44"/>
        <v>2024-8</v>
      </c>
    </row>
    <row r="936" spans="1:5" x14ac:dyDescent="0.25">
      <c r="A936" t="s">
        <v>118</v>
      </c>
      <c r="B936" t="s">
        <v>437</v>
      </c>
      <c r="C936">
        <f t="shared" si="42"/>
        <v>2024</v>
      </c>
      <c r="D936">
        <f t="shared" si="43"/>
        <v>8</v>
      </c>
      <c r="E936" t="str">
        <f t="shared" si="44"/>
        <v>2024-8</v>
      </c>
    </row>
    <row r="937" spans="1:5" x14ac:dyDescent="0.25">
      <c r="A937" t="s">
        <v>148</v>
      </c>
      <c r="B937" t="s">
        <v>437</v>
      </c>
      <c r="C937">
        <f t="shared" si="42"/>
        <v>2024</v>
      </c>
      <c r="D937">
        <f t="shared" si="43"/>
        <v>8</v>
      </c>
      <c r="E937" t="str">
        <f t="shared" si="44"/>
        <v>2024-8</v>
      </c>
    </row>
    <row r="938" spans="1:5" x14ac:dyDescent="0.25">
      <c r="A938" t="s">
        <v>428</v>
      </c>
      <c r="B938" t="s">
        <v>437</v>
      </c>
      <c r="C938">
        <f t="shared" si="42"/>
        <v>2024</v>
      </c>
      <c r="D938">
        <f t="shared" si="43"/>
        <v>8</v>
      </c>
      <c r="E938" t="str">
        <f t="shared" si="44"/>
        <v>2024-8</v>
      </c>
    </row>
    <row r="939" spans="1:5" x14ac:dyDescent="0.25">
      <c r="A939" t="s">
        <v>175</v>
      </c>
      <c r="B939" t="s">
        <v>437</v>
      </c>
      <c r="C939">
        <f t="shared" si="42"/>
        <v>2024</v>
      </c>
      <c r="D939">
        <f t="shared" si="43"/>
        <v>8</v>
      </c>
      <c r="E939" t="str">
        <f t="shared" si="44"/>
        <v>2024-8</v>
      </c>
    </row>
    <row r="940" spans="1:5" x14ac:dyDescent="0.25">
      <c r="A940" t="s">
        <v>47</v>
      </c>
      <c r="B940" t="s">
        <v>437</v>
      </c>
      <c r="C940">
        <f t="shared" si="42"/>
        <v>2024</v>
      </c>
      <c r="D940">
        <f t="shared" si="43"/>
        <v>8</v>
      </c>
      <c r="E940" t="str">
        <f t="shared" si="44"/>
        <v>2024-8</v>
      </c>
    </row>
    <row r="941" spans="1:5" x14ac:dyDescent="0.25">
      <c r="A941" t="s">
        <v>149</v>
      </c>
      <c r="B941" t="s">
        <v>437</v>
      </c>
      <c r="C941">
        <f t="shared" si="42"/>
        <v>2024</v>
      </c>
      <c r="D941">
        <f t="shared" si="43"/>
        <v>8</v>
      </c>
      <c r="E941" t="str">
        <f t="shared" si="44"/>
        <v>2024-8</v>
      </c>
    </row>
    <row r="942" spans="1:5" x14ac:dyDescent="0.25">
      <c r="A942" t="s">
        <v>268</v>
      </c>
      <c r="B942" t="s">
        <v>437</v>
      </c>
      <c r="C942">
        <f t="shared" si="42"/>
        <v>2024</v>
      </c>
      <c r="D942">
        <f t="shared" si="43"/>
        <v>8</v>
      </c>
      <c r="E942" t="str">
        <f t="shared" si="44"/>
        <v>2024-8</v>
      </c>
    </row>
    <row r="943" spans="1:5" x14ac:dyDescent="0.25">
      <c r="A943" t="s">
        <v>281</v>
      </c>
      <c r="B943" t="s">
        <v>439</v>
      </c>
      <c r="C943">
        <f t="shared" si="42"/>
        <v>2024</v>
      </c>
      <c r="D943">
        <f t="shared" si="43"/>
        <v>8</v>
      </c>
      <c r="E943" t="str">
        <f t="shared" si="44"/>
        <v>2024-8</v>
      </c>
    </row>
    <row r="944" spans="1:5" x14ac:dyDescent="0.25">
      <c r="A944" t="s">
        <v>243</v>
      </c>
      <c r="B944" t="s">
        <v>439</v>
      </c>
      <c r="C944">
        <f t="shared" si="42"/>
        <v>2024</v>
      </c>
      <c r="D944">
        <f t="shared" si="43"/>
        <v>8</v>
      </c>
      <c r="E944" t="str">
        <f t="shared" si="44"/>
        <v>2024-8</v>
      </c>
    </row>
    <row r="945" spans="1:5" x14ac:dyDescent="0.25">
      <c r="A945" t="s">
        <v>89</v>
      </c>
      <c r="B945" t="s">
        <v>439</v>
      </c>
      <c r="C945">
        <f t="shared" si="42"/>
        <v>2024</v>
      </c>
      <c r="D945">
        <f t="shared" si="43"/>
        <v>8</v>
      </c>
      <c r="E945" t="str">
        <f t="shared" si="44"/>
        <v>2024-8</v>
      </c>
    </row>
    <row r="946" spans="1:5" x14ac:dyDescent="0.25">
      <c r="A946" t="s">
        <v>235</v>
      </c>
      <c r="B946" t="s">
        <v>439</v>
      </c>
      <c r="C946">
        <f t="shared" si="42"/>
        <v>2024</v>
      </c>
      <c r="D946">
        <f t="shared" si="43"/>
        <v>8</v>
      </c>
      <c r="E946" t="str">
        <f t="shared" si="44"/>
        <v>2024-8</v>
      </c>
    </row>
    <row r="947" spans="1:5" x14ac:dyDescent="0.25">
      <c r="A947" t="s">
        <v>158</v>
      </c>
      <c r="B947" t="s">
        <v>439</v>
      </c>
      <c r="C947">
        <f t="shared" si="42"/>
        <v>2024</v>
      </c>
      <c r="D947">
        <f t="shared" si="43"/>
        <v>8</v>
      </c>
      <c r="E947" t="str">
        <f t="shared" si="44"/>
        <v>2024-8</v>
      </c>
    </row>
    <row r="948" spans="1:5" x14ac:dyDescent="0.25">
      <c r="A948" t="s">
        <v>330</v>
      </c>
      <c r="B948" t="s">
        <v>439</v>
      </c>
      <c r="C948">
        <f t="shared" si="42"/>
        <v>2024</v>
      </c>
      <c r="D948">
        <f t="shared" si="43"/>
        <v>8</v>
      </c>
      <c r="E948" t="str">
        <f t="shared" si="44"/>
        <v>2024-8</v>
      </c>
    </row>
    <row r="949" spans="1:5" x14ac:dyDescent="0.25">
      <c r="A949" t="s">
        <v>171</v>
      </c>
      <c r="B949" t="s">
        <v>440</v>
      </c>
      <c r="C949">
        <f t="shared" si="42"/>
        <v>2024</v>
      </c>
      <c r="D949">
        <f t="shared" si="43"/>
        <v>8</v>
      </c>
      <c r="E949" t="str">
        <f t="shared" si="44"/>
        <v>2024-8</v>
      </c>
    </row>
    <row r="950" spans="1:5" x14ac:dyDescent="0.25">
      <c r="A950" t="s">
        <v>85</v>
      </c>
      <c r="B950" t="s">
        <v>440</v>
      </c>
      <c r="C950">
        <f t="shared" si="42"/>
        <v>2024</v>
      </c>
      <c r="D950">
        <f t="shared" si="43"/>
        <v>8</v>
      </c>
      <c r="E950" t="str">
        <f t="shared" si="44"/>
        <v>2024-8</v>
      </c>
    </row>
    <row r="951" spans="1:5" x14ac:dyDescent="0.25">
      <c r="A951" t="s">
        <v>271</v>
      </c>
      <c r="B951" t="s">
        <v>441</v>
      </c>
      <c r="C951">
        <f t="shared" si="42"/>
        <v>2024</v>
      </c>
      <c r="D951">
        <f t="shared" si="43"/>
        <v>8</v>
      </c>
      <c r="E951" t="str">
        <f t="shared" si="44"/>
        <v>2024-8</v>
      </c>
    </row>
    <row r="952" spans="1:5" x14ac:dyDescent="0.25">
      <c r="A952" t="s">
        <v>330</v>
      </c>
      <c r="B952" t="s">
        <v>442</v>
      </c>
      <c r="C952">
        <f t="shared" si="42"/>
        <v>2024</v>
      </c>
      <c r="D952">
        <f t="shared" si="43"/>
        <v>8</v>
      </c>
      <c r="E952" t="str">
        <f t="shared" si="44"/>
        <v>2024-8</v>
      </c>
    </row>
    <row r="953" spans="1:5" x14ac:dyDescent="0.25">
      <c r="A953" t="s">
        <v>316</v>
      </c>
      <c r="B953" t="s">
        <v>442</v>
      </c>
      <c r="C953">
        <f t="shared" si="42"/>
        <v>2024</v>
      </c>
      <c r="D953">
        <f t="shared" si="43"/>
        <v>8</v>
      </c>
      <c r="E953" t="str">
        <f t="shared" si="44"/>
        <v>2024-8</v>
      </c>
    </row>
    <row r="954" spans="1:5" x14ac:dyDescent="0.25">
      <c r="A954" t="s">
        <v>335</v>
      </c>
      <c r="B954" t="s">
        <v>442</v>
      </c>
      <c r="C954">
        <f t="shared" si="42"/>
        <v>2024</v>
      </c>
      <c r="D954">
        <f t="shared" si="43"/>
        <v>8</v>
      </c>
      <c r="E954" t="str">
        <f t="shared" si="44"/>
        <v>2024-8</v>
      </c>
    </row>
    <row r="955" spans="1:5" x14ac:dyDescent="0.25">
      <c r="A955" t="s">
        <v>202</v>
      </c>
      <c r="B955" t="s">
        <v>442</v>
      </c>
      <c r="C955">
        <f t="shared" si="42"/>
        <v>2024</v>
      </c>
      <c r="D955">
        <f t="shared" si="43"/>
        <v>8</v>
      </c>
      <c r="E955" t="str">
        <f t="shared" si="44"/>
        <v>2024-8</v>
      </c>
    </row>
    <row r="956" spans="1:5" x14ac:dyDescent="0.25">
      <c r="A956" t="s">
        <v>53</v>
      </c>
      <c r="B956" t="s">
        <v>443</v>
      </c>
      <c r="C956">
        <f t="shared" si="42"/>
        <v>2024</v>
      </c>
      <c r="D956">
        <f t="shared" si="43"/>
        <v>8</v>
      </c>
      <c r="E956" t="str">
        <f t="shared" si="44"/>
        <v>2024-8</v>
      </c>
    </row>
    <row r="957" spans="1:5" x14ac:dyDescent="0.25">
      <c r="A957" t="s">
        <v>9</v>
      </c>
      <c r="B957" t="s">
        <v>443</v>
      </c>
      <c r="C957">
        <f t="shared" si="42"/>
        <v>2024</v>
      </c>
      <c r="D957">
        <f t="shared" si="43"/>
        <v>8</v>
      </c>
      <c r="E957" t="str">
        <f t="shared" si="44"/>
        <v>2024-8</v>
      </c>
    </row>
    <row r="958" spans="1:5" x14ac:dyDescent="0.25">
      <c r="A958" t="s">
        <v>302</v>
      </c>
      <c r="B958" t="s">
        <v>443</v>
      </c>
      <c r="C958">
        <f t="shared" si="42"/>
        <v>2024</v>
      </c>
      <c r="D958">
        <f t="shared" si="43"/>
        <v>8</v>
      </c>
      <c r="E958" t="str">
        <f t="shared" si="44"/>
        <v>2024-8</v>
      </c>
    </row>
    <row r="959" spans="1:5" x14ac:dyDescent="0.25">
      <c r="A959" t="s">
        <v>287</v>
      </c>
      <c r="B959" t="s">
        <v>443</v>
      </c>
      <c r="C959">
        <f t="shared" si="42"/>
        <v>2024</v>
      </c>
      <c r="D959">
        <f t="shared" si="43"/>
        <v>8</v>
      </c>
      <c r="E959" t="str">
        <f t="shared" si="44"/>
        <v>2024-8</v>
      </c>
    </row>
    <row r="960" spans="1:5" x14ac:dyDescent="0.25">
      <c r="A960" t="s">
        <v>77</v>
      </c>
      <c r="B960" t="s">
        <v>443</v>
      </c>
      <c r="C960">
        <f t="shared" si="42"/>
        <v>2024</v>
      </c>
      <c r="D960">
        <f t="shared" si="43"/>
        <v>8</v>
      </c>
      <c r="E960" t="str">
        <f t="shared" si="44"/>
        <v>2024-8</v>
      </c>
    </row>
    <row r="961" spans="1:5" x14ac:dyDescent="0.25">
      <c r="A961" t="s">
        <v>98</v>
      </c>
      <c r="B961" t="s">
        <v>443</v>
      </c>
      <c r="C961">
        <f t="shared" si="42"/>
        <v>2024</v>
      </c>
      <c r="D961">
        <f t="shared" si="43"/>
        <v>8</v>
      </c>
      <c r="E961" t="str">
        <f t="shared" si="44"/>
        <v>2024-8</v>
      </c>
    </row>
    <row r="962" spans="1:5" x14ac:dyDescent="0.25">
      <c r="A962" t="s">
        <v>82</v>
      </c>
      <c r="B962" t="s">
        <v>443</v>
      </c>
      <c r="C962">
        <f t="shared" si="42"/>
        <v>2024</v>
      </c>
      <c r="D962">
        <f t="shared" si="43"/>
        <v>8</v>
      </c>
      <c r="E962" t="str">
        <f t="shared" si="44"/>
        <v>2024-8</v>
      </c>
    </row>
    <row r="963" spans="1:5" x14ac:dyDescent="0.25">
      <c r="A963" t="s">
        <v>153</v>
      </c>
      <c r="B963" t="s">
        <v>443</v>
      </c>
      <c r="C963">
        <f t="shared" ref="C963:C1001" si="45">YEAR(B963)</f>
        <v>2024</v>
      </c>
      <c r="D963">
        <f t="shared" ref="D963:D1001" si="46">MONTH(B963)</f>
        <v>8</v>
      </c>
      <c r="E963" t="str">
        <f t="shared" ref="E963:E1001" si="47">C963&amp;"-"&amp;D963</f>
        <v>2024-8</v>
      </c>
    </row>
    <row r="964" spans="1:5" x14ac:dyDescent="0.25">
      <c r="A964" t="s">
        <v>195</v>
      </c>
      <c r="B964" t="s">
        <v>443</v>
      </c>
      <c r="C964">
        <f t="shared" si="45"/>
        <v>2024</v>
      </c>
      <c r="D964">
        <f t="shared" si="46"/>
        <v>8</v>
      </c>
      <c r="E964" t="str">
        <f t="shared" si="47"/>
        <v>2024-8</v>
      </c>
    </row>
    <row r="965" spans="1:5" x14ac:dyDescent="0.25">
      <c r="A965" t="s">
        <v>252</v>
      </c>
      <c r="B965" t="s">
        <v>444</v>
      </c>
      <c r="C965">
        <f t="shared" si="45"/>
        <v>2024</v>
      </c>
      <c r="D965">
        <f t="shared" si="46"/>
        <v>8</v>
      </c>
      <c r="E965" t="str">
        <f t="shared" si="47"/>
        <v>2024-8</v>
      </c>
    </row>
    <row r="966" spans="1:5" x14ac:dyDescent="0.25">
      <c r="A966" t="s">
        <v>144</v>
      </c>
      <c r="B966" t="s">
        <v>444</v>
      </c>
      <c r="C966">
        <f t="shared" si="45"/>
        <v>2024</v>
      </c>
      <c r="D966">
        <f t="shared" si="46"/>
        <v>8</v>
      </c>
      <c r="E966" t="str">
        <f t="shared" si="47"/>
        <v>2024-8</v>
      </c>
    </row>
    <row r="967" spans="1:5" x14ac:dyDescent="0.25">
      <c r="A967" t="s">
        <v>187</v>
      </c>
      <c r="B967" t="s">
        <v>445</v>
      </c>
      <c r="C967">
        <f t="shared" si="45"/>
        <v>2024</v>
      </c>
      <c r="D967">
        <f t="shared" si="46"/>
        <v>8</v>
      </c>
      <c r="E967" t="str">
        <f t="shared" si="47"/>
        <v>2024-8</v>
      </c>
    </row>
    <row r="968" spans="1:5" x14ac:dyDescent="0.25">
      <c r="A968" t="s">
        <v>66</v>
      </c>
      <c r="B968" t="s">
        <v>445</v>
      </c>
      <c r="C968">
        <f t="shared" si="45"/>
        <v>2024</v>
      </c>
      <c r="D968">
        <f t="shared" si="46"/>
        <v>8</v>
      </c>
      <c r="E968" t="str">
        <f t="shared" si="47"/>
        <v>2024-8</v>
      </c>
    </row>
    <row r="969" spans="1:5" x14ac:dyDescent="0.25">
      <c r="A969" t="s">
        <v>270</v>
      </c>
      <c r="B969" t="s">
        <v>445</v>
      </c>
      <c r="C969">
        <f t="shared" si="45"/>
        <v>2024</v>
      </c>
      <c r="D969">
        <f t="shared" si="46"/>
        <v>8</v>
      </c>
      <c r="E969" t="str">
        <f t="shared" si="47"/>
        <v>2024-8</v>
      </c>
    </row>
    <row r="970" spans="1:5" x14ac:dyDescent="0.25">
      <c r="A970" t="s">
        <v>79</v>
      </c>
      <c r="B970" t="s">
        <v>445</v>
      </c>
      <c r="C970">
        <f t="shared" si="45"/>
        <v>2024</v>
      </c>
      <c r="D970">
        <f t="shared" si="46"/>
        <v>8</v>
      </c>
      <c r="E970" t="str">
        <f t="shared" si="47"/>
        <v>2024-8</v>
      </c>
    </row>
    <row r="971" spans="1:5" x14ac:dyDescent="0.25">
      <c r="A971" t="s">
        <v>287</v>
      </c>
      <c r="B971" t="s">
        <v>445</v>
      </c>
      <c r="C971">
        <f t="shared" si="45"/>
        <v>2024</v>
      </c>
      <c r="D971">
        <f t="shared" si="46"/>
        <v>8</v>
      </c>
      <c r="E971" t="str">
        <f t="shared" si="47"/>
        <v>2024-8</v>
      </c>
    </row>
    <row r="972" spans="1:5" x14ac:dyDescent="0.25">
      <c r="A972" t="s">
        <v>240</v>
      </c>
      <c r="B972" t="s">
        <v>445</v>
      </c>
      <c r="C972">
        <f t="shared" si="45"/>
        <v>2024</v>
      </c>
      <c r="D972">
        <f t="shared" si="46"/>
        <v>8</v>
      </c>
      <c r="E972" t="str">
        <f t="shared" si="47"/>
        <v>2024-8</v>
      </c>
    </row>
    <row r="973" spans="1:5" x14ac:dyDescent="0.25">
      <c r="A973" t="s">
        <v>316</v>
      </c>
      <c r="B973" t="s">
        <v>446</v>
      </c>
      <c r="C973">
        <f t="shared" si="45"/>
        <v>2024</v>
      </c>
      <c r="D973">
        <f t="shared" si="46"/>
        <v>8</v>
      </c>
      <c r="E973" t="str">
        <f t="shared" si="47"/>
        <v>2024-8</v>
      </c>
    </row>
    <row r="974" spans="1:5" x14ac:dyDescent="0.25">
      <c r="A974" t="s">
        <v>87</v>
      </c>
      <c r="B974" t="s">
        <v>447</v>
      </c>
      <c r="C974">
        <f t="shared" si="45"/>
        <v>2024</v>
      </c>
      <c r="D974">
        <f t="shared" si="46"/>
        <v>8</v>
      </c>
      <c r="E974" t="str">
        <f t="shared" si="47"/>
        <v>2024-8</v>
      </c>
    </row>
    <row r="975" spans="1:5" x14ac:dyDescent="0.25">
      <c r="A975" t="s">
        <v>136</v>
      </c>
      <c r="B975" t="s">
        <v>447</v>
      </c>
      <c r="C975">
        <f t="shared" si="45"/>
        <v>2024</v>
      </c>
      <c r="D975">
        <f t="shared" si="46"/>
        <v>8</v>
      </c>
      <c r="E975" t="str">
        <f t="shared" si="47"/>
        <v>2024-8</v>
      </c>
    </row>
    <row r="976" spans="1:5" x14ac:dyDescent="0.25">
      <c r="A976" t="s">
        <v>151</v>
      </c>
      <c r="B976" t="s">
        <v>448</v>
      </c>
      <c r="C976">
        <f t="shared" si="45"/>
        <v>2024</v>
      </c>
      <c r="D976">
        <f t="shared" si="46"/>
        <v>8</v>
      </c>
      <c r="E976" t="str">
        <f t="shared" si="47"/>
        <v>2024-8</v>
      </c>
    </row>
    <row r="977" spans="1:5" x14ac:dyDescent="0.25">
      <c r="A977" t="s">
        <v>115</v>
      </c>
      <c r="B977" t="s">
        <v>448</v>
      </c>
      <c r="C977">
        <f t="shared" si="45"/>
        <v>2024</v>
      </c>
      <c r="D977">
        <f t="shared" si="46"/>
        <v>8</v>
      </c>
      <c r="E977" t="str">
        <f t="shared" si="47"/>
        <v>2024-8</v>
      </c>
    </row>
    <row r="978" spans="1:5" x14ac:dyDescent="0.25">
      <c r="A978" t="s">
        <v>449</v>
      </c>
      <c r="B978" t="s">
        <v>448</v>
      </c>
      <c r="C978">
        <f t="shared" si="45"/>
        <v>2024</v>
      </c>
      <c r="D978">
        <f t="shared" si="46"/>
        <v>8</v>
      </c>
      <c r="E978" t="str">
        <f t="shared" si="47"/>
        <v>2024-8</v>
      </c>
    </row>
    <row r="979" spans="1:5" x14ac:dyDescent="0.25">
      <c r="A979" t="s">
        <v>281</v>
      </c>
      <c r="B979" t="s">
        <v>448</v>
      </c>
      <c r="C979">
        <f t="shared" si="45"/>
        <v>2024</v>
      </c>
      <c r="D979">
        <f t="shared" si="46"/>
        <v>8</v>
      </c>
      <c r="E979" t="str">
        <f t="shared" si="47"/>
        <v>2024-8</v>
      </c>
    </row>
    <row r="980" spans="1:5" x14ac:dyDescent="0.25">
      <c r="A980" t="s">
        <v>59</v>
      </c>
      <c r="B980" t="s">
        <v>448</v>
      </c>
      <c r="C980">
        <f t="shared" si="45"/>
        <v>2024</v>
      </c>
      <c r="D980">
        <f t="shared" si="46"/>
        <v>8</v>
      </c>
      <c r="E980" t="str">
        <f t="shared" si="47"/>
        <v>2024-8</v>
      </c>
    </row>
    <row r="981" spans="1:5" x14ac:dyDescent="0.25">
      <c r="A981" t="s">
        <v>38</v>
      </c>
      <c r="B981" t="s">
        <v>448</v>
      </c>
      <c r="C981">
        <f t="shared" si="45"/>
        <v>2024</v>
      </c>
      <c r="D981">
        <f t="shared" si="46"/>
        <v>8</v>
      </c>
      <c r="E981" t="str">
        <f t="shared" si="47"/>
        <v>2024-8</v>
      </c>
    </row>
    <row r="982" spans="1:5" x14ac:dyDescent="0.25">
      <c r="A982" t="s">
        <v>93</v>
      </c>
      <c r="B982" t="s">
        <v>448</v>
      </c>
      <c r="C982">
        <f t="shared" si="45"/>
        <v>2024</v>
      </c>
      <c r="D982">
        <f t="shared" si="46"/>
        <v>8</v>
      </c>
      <c r="E982" t="str">
        <f t="shared" si="47"/>
        <v>2024-8</v>
      </c>
    </row>
    <row r="983" spans="1:5" x14ac:dyDescent="0.25">
      <c r="A983" t="s">
        <v>272</v>
      </c>
      <c r="B983" t="s">
        <v>448</v>
      </c>
      <c r="C983">
        <f t="shared" si="45"/>
        <v>2024</v>
      </c>
      <c r="D983">
        <f t="shared" si="46"/>
        <v>8</v>
      </c>
      <c r="E983" t="str">
        <f t="shared" si="47"/>
        <v>2024-8</v>
      </c>
    </row>
    <row r="984" spans="1:5" x14ac:dyDescent="0.25">
      <c r="A984" t="s">
        <v>248</v>
      </c>
      <c r="B984" t="s">
        <v>448</v>
      </c>
      <c r="C984">
        <f t="shared" si="45"/>
        <v>2024</v>
      </c>
      <c r="D984">
        <f t="shared" si="46"/>
        <v>8</v>
      </c>
      <c r="E984" t="str">
        <f t="shared" si="47"/>
        <v>2024-8</v>
      </c>
    </row>
    <row r="985" spans="1:5" x14ac:dyDescent="0.25">
      <c r="A985" t="s">
        <v>116</v>
      </c>
      <c r="B985" t="s">
        <v>450</v>
      </c>
      <c r="C985">
        <f t="shared" si="45"/>
        <v>2024</v>
      </c>
      <c r="D985">
        <f t="shared" si="46"/>
        <v>8</v>
      </c>
      <c r="E985" t="str">
        <f t="shared" si="47"/>
        <v>2024-8</v>
      </c>
    </row>
    <row r="986" spans="1:5" x14ac:dyDescent="0.25">
      <c r="A986" t="s">
        <v>95</v>
      </c>
      <c r="B986" t="s">
        <v>450</v>
      </c>
      <c r="C986">
        <f t="shared" si="45"/>
        <v>2024</v>
      </c>
      <c r="D986">
        <f t="shared" si="46"/>
        <v>8</v>
      </c>
      <c r="E986" t="str">
        <f t="shared" si="47"/>
        <v>2024-8</v>
      </c>
    </row>
    <row r="987" spans="1:5" x14ac:dyDescent="0.25">
      <c r="A987" t="s">
        <v>304</v>
      </c>
      <c r="B987" t="s">
        <v>450</v>
      </c>
      <c r="C987">
        <f t="shared" si="45"/>
        <v>2024</v>
      </c>
      <c r="D987">
        <f t="shared" si="46"/>
        <v>8</v>
      </c>
      <c r="E987" t="str">
        <f t="shared" si="47"/>
        <v>2024-8</v>
      </c>
    </row>
    <row r="988" spans="1:5" x14ac:dyDescent="0.25">
      <c r="A988" t="s">
        <v>105</v>
      </c>
      <c r="B988" t="s">
        <v>450</v>
      </c>
      <c r="C988">
        <f t="shared" si="45"/>
        <v>2024</v>
      </c>
      <c r="D988">
        <f t="shared" si="46"/>
        <v>8</v>
      </c>
      <c r="E988" t="str">
        <f t="shared" si="47"/>
        <v>2024-8</v>
      </c>
    </row>
    <row r="989" spans="1:5" x14ac:dyDescent="0.25">
      <c r="A989" t="s">
        <v>129</v>
      </c>
      <c r="B989" t="s">
        <v>451</v>
      </c>
      <c r="C989">
        <f t="shared" si="45"/>
        <v>2024</v>
      </c>
      <c r="D989">
        <f t="shared" si="46"/>
        <v>8</v>
      </c>
      <c r="E989" t="str">
        <f t="shared" si="47"/>
        <v>2024-8</v>
      </c>
    </row>
    <row r="990" spans="1:5" x14ac:dyDescent="0.25">
      <c r="A990" t="s">
        <v>281</v>
      </c>
      <c r="B990" t="s">
        <v>452</v>
      </c>
      <c r="C990">
        <f t="shared" si="45"/>
        <v>2024</v>
      </c>
      <c r="D990">
        <f t="shared" si="46"/>
        <v>8</v>
      </c>
      <c r="E990" t="str">
        <f t="shared" si="47"/>
        <v>2024-8</v>
      </c>
    </row>
    <row r="991" spans="1:5" x14ac:dyDescent="0.25">
      <c r="A991" t="s">
        <v>232</v>
      </c>
      <c r="B991" t="s">
        <v>452</v>
      </c>
      <c r="C991">
        <f t="shared" si="45"/>
        <v>2024</v>
      </c>
      <c r="D991">
        <f t="shared" si="46"/>
        <v>8</v>
      </c>
      <c r="E991" t="str">
        <f t="shared" si="47"/>
        <v>2024-8</v>
      </c>
    </row>
    <row r="992" spans="1:5" x14ac:dyDescent="0.25">
      <c r="A992" t="s">
        <v>229</v>
      </c>
      <c r="B992" t="s">
        <v>452</v>
      </c>
      <c r="C992">
        <f t="shared" si="45"/>
        <v>2024</v>
      </c>
      <c r="D992">
        <f t="shared" si="46"/>
        <v>8</v>
      </c>
      <c r="E992" t="str">
        <f t="shared" si="47"/>
        <v>2024-8</v>
      </c>
    </row>
    <row r="993" spans="1:5" x14ac:dyDescent="0.25">
      <c r="A993" t="s">
        <v>62</v>
      </c>
      <c r="B993" t="s">
        <v>452</v>
      </c>
      <c r="C993">
        <f t="shared" si="45"/>
        <v>2024</v>
      </c>
      <c r="D993">
        <f t="shared" si="46"/>
        <v>8</v>
      </c>
      <c r="E993" t="str">
        <f t="shared" si="47"/>
        <v>2024-8</v>
      </c>
    </row>
    <row r="994" spans="1:5" x14ac:dyDescent="0.25">
      <c r="A994" t="s">
        <v>244</v>
      </c>
      <c r="B994" t="s">
        <v>452</v>
      </c>
      <c r="C994">
        <f t="shared" si="45"/>
        <v>2024</v>
      </c>
      <c r="D994">
        <f t="shared" si="46"/>
        <v>8</v>
      </c>
      <c r="E994" t="str">
        <f t="shared" si="47"/>
        <v>2024-8</v>
      </c>
    </row>
    <row r="995" spans="1:5" x14ac:dyDescent="0.25">
      <c r="A995" t="s">
        <v>281</v>
      </c>
      <c r="B995" t="s">
        <v>452</v>
      </c>
      <c r="C995">
        <f t="shared" si="45"/>
        <v>2024</v>
      </c>
      <c r="D995">
        <f t="shared" si="46"/>
        <v>8</v>
      </c>
      <c r="E995" t="str">
        <f t="shared" si="47"/>
        <v>2024-8</v>
      </c>
    </row>
    <row r="996" spans="1:5" x14ac:dyDescent="0.25">
      <c r="A996" t="s">
        <v>20</v>
      </c>
      <c r="B996" t="s">
        <v>453</v>
      </c>
      <c r="C996">
        <f t="shared" si="45"/>
        <v>2024</v>
      </c>
      <c r="D996">
        <f t="shared" si="46"/>
        <v>8</v>
      </c>
      <c r="E996" t="str">
        <f t="shared" si="47"/>
        <v>2024-8</v>
      </c>
    </row>
    <row r="997" spans="1:5" x14ac:dyDescent="0.25">
      <c r="A997" t="s">
        <v>244</v>
      </c>
      <c r="B997" t="s">
        <v>453</v>
      </c>
      <c r="C997">
        <f t="shared" si="45"/>
        <v>2024</v>
      </c>
      <c r="D997">
        <f t="shared" si="46"/>
        <v>8</v>
      </c>
      <c r="E997" t="str">
        <f t="shared" si="47"/>
        <v>2024-8</v>
      </c>
    </row>
    <row r="998" spans="1:5" x14ac:dyDescent="0.25">
      <c r="A998" t="s">
        <v>63</v>
      </c>
      <c r="B998" t="s">
        <v>453</v>
      </c>
      <c r="C998">
        <f t="shared" si="45"/>
        <v>2024</v>
      </c>
      <c r="D998">
        <f t="shared" si="46"/>
        <v>8</v>
      </c>
      <c r="E998" t="str">
        <f t="shared" si="47"/>
        <v>2024-8</v>
      </c>
    </row>
    <row r="999" spans="1:5" x14ac:dyDescent="0.25">
      <c r="A999" t="s">
        <v>195</v>
      </c>
      <c r="B999" t="s">
        <v>454</v>
      </c>
      <c r="C999">
        <f t="shared" si="45"/>
        <v>2024</v>
      </c>
      <c r="D999">
        <f t="shared" si="46"/>
        <v>9</v>
      </c>
      <c r="E999" t="str">
        <f t="shared" si="47"/>
        <v>2024-9</v>
      </c>
    </row>
    <row r="1000" spans="1:5" x14ac:dyDescent="0.25">
      <c r="A1000" t="s">
        <v>185</v>
      </c>
      <c r="B1000" t="s">
        <v>454</v>
      </c>
      <c r="C1000">
        <f t="shared" si="45"/>
        <v>2024</v>
      </c>
      <c r="D1000">
        <f t="shared" si="46"/>
        <v>9</v>
      </c>
      <c r="E1000" t="str">
        <f t="shared" si="47"/>
        <v>2024-9</v>
      </c>
    </row>
    <row r="1001" spans="1:5" x14ac:dyDescent="0.25">
      <c r="A1001" t="s">
        <v>264</v>
      </c>
      <c r="B1001" t="s">
        <v>454</v>
      </c>
      <c r="C1001">
        <f t="shared" si="45"/>
        <v>2024</v>
      </c>
      <c r="D1001">
        <f t="shared" si="46"/>
        <v>9</v>
      </c>
      <c r="E1001" t="str">
        <f t="shared" si="47"/>
        <v>2024-9</v>
      </c>
    </row>
  </sheetData>
  <sortState xmlns:xlrd2="http://schemas.microsoft.com/office/spreadsheetml/2017/richdata2" ref="N2:O1002">
    <sortCondition descending="1" ref="O1:O100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A522-DB3C-46AB-A5B3-BBA2F26E61ED}">
  <dimension ref="A1:N13"/>
  <sheetViews>
    <sheetView topLeftCell="B1" zoomScale="85" zoomScaleNormal="85" workbookViewId="0">
      <selection activeCell="P19" sqref="P19"/>
    </sheetView>
  </sheetViews>
  <sheetFormatPr defaultRowHeight="15" x14ac:dyDescent="0.25"/>
  <cols>
    <col min="1" max="1" width="30.5703125" bestFit="1" customWidth="1"/>
    <col min="15" max="15" width="17.140625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>
        <f>COUNTIFS('задача 3. данные'!$A:$A,'задача 3.1'!$A2,'задача 3. данные'!$H:$H,'задача 3.1'!B$1)</f>
        <v>8</v>
      </c>
      <c r="C2">
        <f>COUNTIFS('задача 3. данные'!$A:$A,'задача 3.1'!$A2,'задача 3. данные'!$H:$H,'задача 3.1'!C$1)</f>
        <v>5</v>
      </c>
      <c r="D2">
        <f>COUNTIFS('задача 3. данные'!$A:$A,'задача 3.1'!$A2,'задача 3. данные'!$H:$H,'задача 3.1'!D$1)</f>
        <v>9</v>
      </c>
      <c r="E2">
        <f>COUNTIFS('задача 3. данные'!$A:$A,'задача 3.1'!$A2,'задача 3. данные'!$H:$H,'задача 3.1'!E$1)</f>
        <v>3</v>
      </c>
      <c r="F2">
        <f>COUNTIFS('задача 3. данные'!$A:$A,'задача 3.1'!$A2,'задача 3. данные'!$H:$H,'задача 3.1'!F$1)</f>
        <v>9</v>
      </c>
      <c r="G2">
        <f>COUNTIFS('задача 3. данные'!$A:$A,'задача 3.1'!$A2,'задача 3. данные'!$H:$H,'задача 3.1'!G$1)</f>
        <v>4</v>
      </c>
      <c r="H2">
        <f>COUNTIFS('задача 3. данные'!$A:$A,'задача 3.1'!$A2,'задача 3. данные'!$H:$H,'задача 3.1'!H$1)</f>
        <v>9</v>
      </c>
      <c r="I2">
        <f>COUNTIFS('задача 3. данные'!$A:$A,'задача 3.1'!$A2,'задача 3. данные'!$H:$H,'задача 3.1'!I$1)</f>
        <v>5</v>
      </c>
      <c r="J2">
        <f>COUNTIFS('задача 3. данные'!$A:$A,'задача 3.1'!$A2,'задача 3. данные'!$H:$H,'задача 3.1'!J$1)</f>
        <v>6</v>
      </c>
      <c r="K2">
        <f>COUNTIFS('задача 3. данные'!$A:$A,'задача 3.1'!$A2,'задача 3. данные'!$H:$H,'задача 3.1'!K$1)</f>
        <v>4</v>
      </c>
      <c r="L2">
        <f>COUNTIFS('задача 3. данные'!$A:$A,'задача 3.1'!$A2,'задача 3. данные'!$H:$H,'задача 3.1'!L$1)</f>
        <v>7</v>
      </c>
      <c r="M2">
        <f>COUNTIFS('задача 3. данные'!$A:$A,'задача 3.1'!$A2,'задача 3. данные'!$H:$H,'задача 3.1'!M$1)</f>
        <v>4</v>
      </c>
      <c r="N2">
        <f>COUNTIFS('задача 3. данные'!$A:$A,'задача 3.1'!$A2,'задача 3. данные'!$H:$H,'задача 3.1'!N$1)</f>
        <v>0</v>
      </c>
    </row>
    <row r="3" spans="1:14" x14ac:dyDescent="0.25">
      <c r="A3" s="7" t="s">
        <v>15</v>
      </c>
      <c r="B3">
        <f>COUNTIFS('задача 3. данные'!$A:$A,'задача 3.1'!$A3,'задача 3. данные'!$H:$H,'задача 3.1'!B$1)</f>
        <v>3</v>
      </c>
      <c r="C3">
        <f>COUNTIFS('задача 3. данные'!$A:$A,'задача 3.1'!$A3,'задача 3. данные'!$H:$H,'задача 3.1'!C$1)</f>
        <v>6</v>
      </c>
      <c r="D3">
        <f>COUNTIFS('задача 3. данные'!$A:$A,'задача 3.1'!$A3,'задача 3. данные'!$H:$H,'задача 3.1'!D$1)</f>
        <v>6</v>
      </c>
      <c r="E3">
        <f>COUNTIFS('задача 3. данные'!$A:$A,'задача 3.1'!$A3,'задача 3. данные'!$H:$H,'задача 3.1'!E$1)</f>
        <v>6</v>
      </c>
      <c r="F3">
        <f>COUNTIFS('задача 3. данные'!$A:$A,'задача 3.1'!$A3,'задача 3. данные'!$H:$H,'задача 3.1'!F$1)</f>
        <v>7</v>
      </c>
      <c r="G3">
        <f>COUNTIFS('задача 3. данные'!$A:$A,'задача 3.1'!$A3,'задача 3. данные'!$H:$H,'задача 3.1'!G$1)</f>
        <v>8</v>
      </c>
      <c r="H3">
        <f>COUNTIFS('задача 3. данные'!$A:$A,'задача 3.1'!$A3,'задача 3. данные'!$H:$H,'задача 3.1'!H$1)</f>
        <v>7</v>
      </c>
      <c r="I3">
        <f>COUNTIFS('задача 3. данные'!$A:$A,'задача 3.1'!$A3,'задача 3. данные'!$H:$H,'задача 3.1'!I$1)</f>
        <v>5</v>
      </c>
      <c r="J3">
        <f>COUNTIFS('задача 3. данные'!$A:$A,'задача 3.1'!$A3,'задача 3. данные'!$H:$H,'задача 3.1'!J$1)</f>
        <v>5</v>
      </c>
      <c r="K3">
        <f>COUNTIFS('задача 3. данные'!$A:$A,'задача 3.1'!$A3,'задача 3. данные'!$H:$H,'задача 3.1'!K$1)</f>
        <v>3</v>
      </c>
      <c r="L3">
        <f>COUNTIFS('задача 3. данные'!$A:$A,'задача 3.1'!$A3,'задача 3. данные'!$H:$H,'задача 3.1'!L$1)</f>
        <v>10</v>
      </c>
      <c r="M3">
        <f>COUNTIFS('задача 3. данные'!$A:$A,'задача 3.1'!$A3,'задача 3. данные'!$H:$H,'задача 3.1'!M$1)</f>
        <v>7</v>
      </c>
      <c r="N3">
        <f>COUNTIFS('задача 3. данные'!$A:$A,'задача 3.1'!$A3,'задача 3. данные'!$H:$H,'задача 3.1'!N$1)</f>
        <v>0</v>
      </c>
    </row>
    <row r="4" spans="1:14" x14ac:dyDescent="0.25">
      <c r="A4" s="7" t="s">
        <v>48</v>
      </c>
      <c r="B4">
        <f>COUNTIFS('задача 3. данные'!$A:$A,'задача 3.1'!$A4,'задача 3. данные'!$H:$H,'задача 3.1'!B$1)</f>
        <v>5</v>
      </c>
      <c r="C4">
        <f>COUNTIFS('задача 3. данные'!$A:$A,'задача 3.1'!$A4,'задача 3. данные'!$H:$H,'задача 3.1'!C$1)</f>
        <v>3</v>
      </c>
      <c r="D4">
        <f>COUNTIFS('задача 3. данные'!$A:$A,'задача 3.1'!$A4,'задача 3. данные'!$H:$H,'задача 3.1'!D$1)</f>
        <v>5</v>
      </c>
      <c r="E4">
        <f>COUNTIFS('задача 3. данные'!$A:$A,'задача 3.1'!$A4,'задача 3. данные'!$H:$H,'задача 3.1'!E$1)</f>
        <v>9</v>
      </c>
      <c r="F4">
        <f>COUNTIFS('задача 3. данные'!$A:$A,'задача 3.1'!$A4,'задача 3. данные'!$H:$H,'задача 3.1'!F$1)</f>
        <v>3</v>
      </c>
      <c r="G4">
        <f>COUNTIFS('задача 3. данные'!$A:$A,'задача 3.1'!$A4,'задача 3. данные'!$H:$H,'задача 3.1'!G$1)</f>
        <v>5</v>
      </c>
      <c r="H4">
        <f>COUNTIFS('задача 3. данные'!$A:$A,'задача 3.1'!$A4,'задача 3. данные'!$H:$H,'задача 3.1'!H$1)</f>
        <v>10</v>
      </c>
      <c r="I4">
        <f>COUNTIFS('задача 3. данные'!$A:$A,'задача 3.1'!$A4,'задача 3. данные'!$H:$H,'задача 3.1'!I$1)</f>
        <v>15</v>
      </c>
      <c r="J4">
        <f>COUNTIFS('задача 3. данные'!$A:$A,'задача 3.1'!$A4,'задача 3. данные'!$H:$H,'задача 3.1'!J$1)</f>
        <v>6</v>
      </c>
      <c r="K4">
        <f>COUNTIFS('задача 3. данные'!$A:$A,'задача 3.1'!$A4,'задача 3. данные'!$H:$H,'задача 3.1'!K$1)</f>
        <v>2</v>
      </c>
      <c r="L4">
        <f>COUNTIFS('задача 3. данные'!$A:$A,'задача 3.1'!$A4,'задача 3. данные'!$H:$H,'задача 3.1'!L$1)</f>
        <v>8</v>
      </c>
      <c r="M4">
        <f>COUNTIFS('задача 3. данные'!$A:$A,'задача 3.1'!$A4,'задача 3. данные'!$H:$H,'задача 3.1'!M$1)</f>
        <v>9</v>
      </c>
      <c r="N4">
        <f>COUNTIFS('задача 3. данные'!$A:$A,'задача 3.1'!$A4,'задача 3. данные'!$H:$H,'задача 3.1'!N$1)</f>
        <v>2</v>
      </c>
    </row>
    <row r="5" spans="1:14" x14ac:dyDescent="0.25">
      <c r="A5" s="7" t="s">
        <v>23</v>
      </c>
      <c r="B5">
        <f>COUNTIFS('задача 3. данные'!$A:$A,'задача 3.1'!$A5,'задача 3. данные'!$H:$H,'задача 3.1'!B$1)</f>
        <v>7</v>
      </c>
      <c r="C5">
        <f>COUNTIFS('задача 3. данные'!$A:$A,'задача 3.1'!$A5,'задача 3. данные'!$H:$H,'задача 3.1'!C$1)</f>
        <v>5</v>
      </c>
      <c r="D5">
        <f>COUNTIFS('задача 3. данные'!$A:$A,'задача 3.1'!$A5,'задача 3. данные'!$H:$H,'задача 3.1'!D$1)</f>
        <v>13</v>
      </c>
      <c r="E5">
        <f>COUNTIFS('задача 3. данные'!$A:$A,'задача 3.1'!$A5,'задача 3. данные'!$H:$H,'задача 3.1'!E$1)</f>
        <v>12</v>
      </c>
      <c r="F5">
        <f>COUNTIFS('задача 3. данные'!$A:$A,'задача 3.1'!$A5,'задача 3. данные'!$H:$H,'задача 3.1'!F$1)</f>
        <v>9</v>
      </c>
      <c r="G5">
        <f>COUNTIFS('задача 3. данные'!$A:$A,'задача 3.1'!$A5,'задача 3. данные'!$H:$H,'задача 3.1'!G$1)</f>
        <v>4</v>
      </c>
      <c r="H5">
        <f>COUNTIFS('задача 3. данные'!$A:$A,'задача 3.1'!$A5,'задача 3. данные'!$H:$H,'задача 3.1'!H$1)</f>
        <v>6</v>
      </c>
      <c r="I5">
        <f>COUNTIFS('задача 3. данные'!$A:$A,'задача 3.1'!$A5,'задача 3. данные'!$H:$H,'задача 3.1'!I$1)</f>
        <v>6</v>
      </c>
      <c r="J5">
        <f>COUNTIFS('задача 3. данные'!$A:$A,'задача 3.1'!$A5,'задача 3. данные'!$H:$H,'задача 3.1'!J$1)</f>
        <v>7</v>
      </c>
      <c r="K5">
        <f>COUNTIFS('задача 3. данные'!$A:$A,'задача 3.1'!$A5,'задача 3. данные'!$H:$H,'задача 3.1'!K$1)</f>
        <v>5</v>
      </c>
      <c r="L5">
        <f>COUNTIFS('задача 3. данные'!$A:$A,'задача 3.1'!$A5,'задача 3. данные'!$H:$H,'задача 3.1'!L$1)</f>
        <v>9</v>
      </c>
      <c r="M5">
        <f>COUNTIFS('задача 3. данные'!$A:$A,'задача 3.1'!$A5,'задача 3. данные'!$H:$H,'задача 3.1'!M$1)</f>
        <v>8</v>
      </c>
      <c r="N5">
        <f>COUNTIFS('задача 3. данные'!$A:$A,'задача 3.1'!$A5,'задача 3. данные'!$H:$H,'задача 3.1'!N$1)</f>
        <v>0</v>
      </c>
    </row>
    <row r="6" spans="1:14" x14ac:dyDescent="0.25">
      <c r="A6" s="7" t="s">
        <v>10</v>
      </c>
      <c r="B6">
        <f>COUNTIFS('задача 3. данные'!$A:$A,'задача 3.1'!$A6,'задача 3. данные'!$H:$H,'задача 3.1'!B$1)</f>
        <v>10</v>
      </c>
      <c r="C6">
        <f>COUNTIFS('задача 3. данные'!$A:$A,'задача 3.1'!$A6,'задача 3. данные'!$H:$H,'задача 3.1'!C$1)</f>
        <v>7</v>
      </c>
      <c r="D6">
        <f>COUNTIFS('задача 3. данные'!$A:$A,'задача 3.1'!$A6,'задача 3. данные'!$H:$H,'задача 3.1'!D$1)</f>
        <v>6</v>
      </c>
      <c r="E6">
        <f>COUNTIFS('задача 3. данные'!$A:$A,'задача 3.1'!$A6,'задача 3. данные'!$H:$H,'задача 3.1'!E$1)</f>
        <v>4</v>
      </c>
      <c r="F6">
        <f>COUNTIFS('задача 3. данные'!$A:$A,'задача 3.1'!$A6,'задача 3. данные'!$H:$H,'задача 3.1'!F$1)</f>
        <v>7</v>
      </c>
      <c r="G6">
        <f>COUNTIFS('задача 3. данные'!$A:$A,'задача 3.1'!$A6,'задача 3. данные'!$H:$H,'задача 3.1'!G$1)</f>
        <v>3</v>
      </c>
      <c r="H6">
        <f>COUNTIFS('задача 3. данные'!$A:$A,'задача 3.1'!$A6,'задача 3. данные'!$H:$H,'задача 3.1'!H$1)</f>
        <v>6</v>
      </c>
      <c r="I6">
        <f>COUNTIFS('задача 3. данные'!$A:$A,'задача 3.1'!$A6,'задача 3. данные'!$H:$H,'задача 3.1'!I$1)</f>
        <v>8</v>
      </c>
      <c r="J6">
        <f>COUNTIFS('задача 3. данные'!$A:$A,'задача 3.1'!$A6,'задача 3. данные'!$H:$H,'задача 3.1'!J$1)</f>
        <v>8</v>
      </c>
      <c r="K6">
        <f>COUNTIFS('задача 3. данные'!$A:$A,'задача 3.1'!$A6,'задача 3. данные'!$H:$H,'задача 3.1'!K$1)</f>
        <v>7</v>
      </c>
      <c r="L6">
        <f>COUNTIFS('задача 3. данные'!$A:$A,'задача 3.1'!$A6,'задача 3. данные'!$H:$H,'задача 3.1'!L$1)</f>
        <v>8</v>
      </c>
      <c r="M6">
        <f>COUNTIFS('задача 3. данные'!$A:$A,'задача 3.1'!$A6,'задача 3. данные'!$H:$H,'задача 3.1'!M$1)</f>
        <v>8</v>
      </c>
      <c r="N6">
        <f>COUNTIFS('задача 3. данные'!$A:$A,'задача 3.1'!$A6,'задача 3. данные'!$H:$H,'задача 3.1'!N$1)</f>
        <v>0</v>
      </c>
    </row>
    <row r="7" spans="1:14" x14ac:dyDescent="0.25">
      <c r="A7" s="7" t="s">
        <v>17</v>
      </c>
      <c r="B7">
        <f>COUNTIFS('задача 3. данные'!$A:$A,'задача 3.1'!$A7,'задача 3. данные'!$H:$H,'задача 3.1'!B$1)</f>
        <v>7</v>
      </c>
      <c r="C7">
        <f>COUNTIFS('задача 3. данные'!$A:$A,'задача 3.1'!$A7,'задача 3. данные'!$H:$H,'задача 3.1'!C$1)</f>
        <v>5</v>
      </c>
      <c r="D7">
        <f>COUNTIFS('задача 3. данные'!$A:$A,'задача 3.1'!$A7,'задача 3. данные'!$H:$H,'задача 3.1'!D$1)</f>
        <v>6</v>
      </c>
      <c r="E7">
        <f>COUNTIFS('задача 3. данные'!$A:$A,'задача 3.1'!$A7,'задача 3. данные'!$H:$H,'задача 3.1'!E$1)</f>
        <v>10</v>
      </c>
      <c r="F7">
        <f>COUNTIFS('задача 3. данные'!$A:$A,'задача 3.1'!$A7,'задача 3. данные'!$H:$H,'задача 3.1'!F$1)</f>
        <v>12</v>
      </c>
      <c r="G7">
        <f>COUNTIFS('задача 3. данные'!$A:$A,'задача 3.1'!$A7,'задача 3. данные'!$H:$H,'задача 3.1'!G$1)</f>
        <v>11</v>
      </c>
      <c r="H7">
        <f>COUNTIFS('задача 3. данные'!$A:$A,'задача 3.1'!$A7,'задача 3. данные'!$H:$H,'задача 3.1'!H$1)</f>
        <v>9</v>
      </c>
      <c r="I7">
        <f>COUNTIFS('задача 3. данные'!$A:$A,'задача 3.1'!$A7,'задача 3. данные'!$H:$H,'задача 3.1'!I$1)</f>
        <v>4</v>
      </c>
      <c r="J7">
        <f>COUNTIFS('задача 3. данные'!$A:$A,'задача 3.1'!$A7,'задача 3. данные'!$H:$H,'задача 3.1'!J$1)</f>
        <v>7</v>
      </c>
      <c r="K7">
        <f>COUNTIFS('задача 3. данные'!$A:$A,'задача 3.1'!$A7,'задача 3. данные'!$H:$H,'задача 3.1'!K$1)</f>
        <v>6</v>
      </c>
      <c r="L7">
        <f>COUNTIFS('задача 3. данные'!$A:$A,'задача 3.1'!$A7,'задача 3. данные'!$H:$H,'задача 3.1'!L$1)</f>
        <v>9</v>
      </c>
      <c r="M7">
        <f>COUNTIFS('задача 3. данные'!$A:$A,'задача 3.1'!$A7,'задача 3. данные'!$H:$H,'задача 3.1'!M$1)</f>
        <v>11</v>
      </c>
      <c r="N7">
        <f>COUNTIFS('задача 3. данные'!$A:$A,'задача 3.1'!$A7,'задача 3. данные'!$H:$H,'задача 3.1'!N$1)</f>
        <v>0</v>
      </c>
    </row>
    <row r="8" spans="1:14" x14ac:dyDescent="0.25">
      <c r="A8" s="7" t="s">
        <v>36</v>
      </c>
      <c r="B8">
        <f>COUNTIFS('задача 3. данные'!$A:$A,'задача 3.1'!$A8,'задача 3. данные'!$H:$H,'задача 3.1'!B$1)</f>
        <v>5</v>
      </c>
      <c r="C8">
        <f>COUNTIFS('задача 3. данные'!$A:$A,'задача 3.1'!$A8,'задача 3. данные'!$H:$H,'задача 3.1'!C$1)</f>
        <v>10</v>
      </c>
      <c r="D8">
        <f>COUNTIFS('задача 3. данные'!$A:$A,'задача 3.1'!$A8,'задача 3. данные'!$H:$H,'задача 3.1'!D$1)</f>
        <v>9</v>
      </c>
      <c r="E8">
        <f>COUNTIFS('задача 3. данные'!$A:$A,'задача 3.1'!$A8,'задача 3. данные'!$H:$H,'задача 3.1'!E$1)</f>
        <v>7</v>
      </c>
      <c r="F8">
        <f>COUNTIFS('задача 3. данные'!$A:$A,'задача 3.1'!$A8,'задача 3. данные'!$H:$H,'задача 3.1'!F$1)</f>
        <v>7</v>
      </c>
      <c r="G8">
        <f>COUNTIFS('задача 3. данные'!$A:$A,'задача 3.1'!$A8,'задача 3. данные'!$H:$H,'задача 3.1'!G$1)</f>
        <v>9</v>
      </c>
      <c r="H8">
        <f>COUNTIFS('задача 3. данные'!$A:$A,'задача 3.1'!$A8,'задача 3. данные'!$H:$H,'задача 3.1'!H$1)</f>
        <v>7</v>
      </c>
      <c r="I8">
        <f>COUNTIFS('задача 3. данные'!$A:$A,'задача 3.1'!$A8,'задача 3. данные'!$H:$H,'задача 3.1'!I$1)</f>
        <v>6</v>
      </c>
      <c r="J8">
        <f>COUNTIFS('задача 3. данные'!$A:$A,'задача 3.1'!$A8,'задача 3. данные'!$H:$H,'задача 3.1'!J$1)</f>
        <v>6</v>
      </c>
      <c r="K8">
        <f>COUNTIFS('задача 3. данные'!$A:$A,'задача 3.1'!$A8,'задача 3. данные'!$H:$H,'задача 3.1'!K$1)</f>
        <v>6</v>
      </c>
      <c r="L8">
        <f>COUNTIFS('задача 3. данные'!$A:$A,'задача 3.1'!$A8,'задача 3. данные'!$H:$H,'задача 3.1'!L$1)</f>
        <v>8</v>
      </c>
      <c r="M8">
        <f>COUNTIFS('задача 3. данные'!$A:$A,'задача 3.1'!$A8,'задача 3. данные'!$H:$H,'задача 3.1'!M$1)</f>
        <v>3</v>
      </c>
      <c r="N8">
        <f>COUNTIFS('задача 3. данные'!$A:$A,'задача 3.1'!$A8,'задача 3. данные'!$H:$H,'задача 3.1'!N$1)</f>
        <v>0</v>
      </c>
    </row>
    <row r="9" spans="1:14" x14ac:dyDescent="0.25">
      <c r="A9" s="7" t="s">
        <v>46</v>
      </c>
      <c r="B9">
        <f>COUNTIFS('задача 3. данные'!$A:$A,'задача 3.1'!$A9,'задача 3. данные'!$H:$H,'задача 3.1'!B$1)</f>
        <v>2</v>
      </c>
      <c r="C9">
        <f>COUNTIFS('задача 3. данные'!$A:$A,'задача 3.1'!$A9,'задача 3. данные'!$H:$H,'задача 3.1'!C$1)</f>
        <v>13</v>
      </c>
      <c r="D9">
        <f>COUNTIFS('задача 3. данные'!$A:$A,'задача 3.1'!$A9,'задача 3. данные'!$H:$H,'задача 3.1'!D$1)</f>
        <v>11</v>
      </c>
      <c r="E9">
        <f>COUNTIFS('задача 3. данные'!$A:$A,'задача 3.1'!$A9,'задача 3. данные'!$H:$H,'задача 3.1'!E$1)</f>
        <v>5</v>
      </c>
      <c r="F9">
        <f>COUNTIFS('задача 3. данные'!$A:$A,'задача 3.1'!$A9,'задача 3. данные'!$H:$H,'задача 3.1'!F$1)</f>
        <v>11</v>
      </c>
      <c r="G9">
        <f>COUNTIFS('задача 3. данные'!$A:$A,'задача 3.1'!$A9,'задача 3. данные'!$H:$H,'задача 3.1'!G$1)</f>
        <v>5</v>
      </c>
      <c r="H9">
        <f>COUNTIFS('задача 3. данные'!$A:$A,'задача 3.1'!$A9,'задача 3. данные'!$H:$H,'задача 3.1'!H$1)</f>
        <v>9</v>
      </c>
      <c r="I9">
        <f>COUNTIFS('задача 3. данные'!$A:$A,'задача 3.1'!$A9,'задача 3. данные'!$H:$H,'задача 3.1'!I$1)</f>
        <v>13</v>
      </c>
      <c r="J9">
        <f>COUNTIFS('задача 3. данные'!$A:$A,'задача 3.1'!$A9,'задача 3. данные'!$H:$H,'задача 3.1'!J$1)</f>
        <v>7</v>
      </c>
      <c r="K9">
        <f>COUNTIFS('задача 3. данные'!$A:$A,'задача 3.1'!$A9,'задача 3. данные'!$H:$H,'задача 3.1'!K$1)</f>
        <v>8</v>
      </c>
      <c r="L9">
        <f>COUNTIFS('задача 3. данные'!$A:$A,'задача 3.1'!$A9,'задача 3. данные'!$H:$H,'задача 3.1'!L$1)</f>
        <v>11</v>
      </c>
      <c r="M9">
        <f>COUNTIFS('задача 3. данные'!$A:$A,'задача 3.1'!$A9,'задача 3. данные'!$H:$H,'задача 3.1'!M$1)</f>
        <v>8</v>
      </c>
      <c r="N9">
        <f>COUNTIFS('задача 3. данные'!$A:$A,'задача 3.1'!$A9,'задача 3. данные'!$H:$H,'задача 3.1'!N$1)</f>
        <v>0</v>
      </c>
    </row>
    <row r="10" spans="1:14" x14ac:dyDescent="0.25">
      <c r="A10" s="7" t="s">
        <v>12</v>
      </c>
      <c r="B10">
        <f>COUNTIFS('задача 3. данные'!$A:$A,'задача 3.1'!$A10,'задача 3. данные'!$H:$H,'задача 3.1'!B$1)</f>
        <v>8</v>
      </c>
      <c r="C10">
        <f>COUNTIFS('задача 3. данные'!$A:$A,'задача 3.1'!$A10,'задача 3. данные'!$H:$H,'задача 3.1'!C$1)</f>
        <v>6</v>
      </c>
      <c r="D10">
        <f>COUNTIFS('задача 3. данные'!$A:$A,'задача 3.1'!$A10,'задача 3. данные'!$H:$H,'задача 3.1'!D$1)</f>
        <v>3</v>
      </c>
      <c r="E10">
        <f>COUNTIFS('задача 3. данные'!$A:$A,'задача 3.1'!$A10,'задача 3. данные'!$H:$H,'задача 3.1'!E$1)</f>
        <v>4</v>
      </c>
      <c r="F10">
        <f>COUNTIFS('задача 3. данные'!$A:$A,'задача 3.1'!$A10,'задача 3. данные'!$H:$H,'задача 3.1'!F$1)</f>
        <v>5</v>
      </c>
      <c r="G10">
        <f>COUNTIFS('задача 3. данные'!$A:$A,'задача 3.1'!$A10,'задача 3. данные'!$H:$H,'задача 3.1'!G$1)</f>
        <v>7</v>
      </c>
      <c r="H10">
        <f>COUNTIFS('задача 3. данные'!$A:$A,'задача 3.1'!$A10,'задача 3. данные'!$H:$H,'задача 3.1'!H$1)</f>
        <v>5</v>
      </c>
      <c r="I10">
        <f>COUNTIFS('задача 3. данные'!$A:$A,'задача 3.1'!$A10,'задача 3. данные'!$H:$H,'задача 3.1'!I$1)</f>
        <v>9</v>
      </c>
      <c r="J10">
        <f>COUNTIFS('задача 3. данные'!$A:$A,'задача 3.1'!$A10,'задача 3. данные'!$H:$H,'задача 3.1'!J$1)</f>
        <v>7</v>
      </c>
      <c r="K10">
        <f>COUNTIFS('задача 3. данные'!$A:$A,'задача 3.1'!$A10,'задача 3. данные'!$H:$H,'задача 3.1'!K$1)</f>
        <v>6</v>
      </c>
      <c r="L10">
        <f>COUNTIFS('задача 3. данные'!$A:$A,'задача 3.1'!$A10,'задача 3. данные'!$H:$H,'задача 3.1'!L$1)</f>
        <v>9</v>
      </c>
      <c r="M10">
        <f>COUNTIFS('задача 3. данные'!$A:$A,'задача 3.1'!$A10,'задача 3. данные'!$H:$H,'задача 3.1'!M$1)</f>
        <v>6</v>
      </c>
      <c r="N10">
        <f>COUNTIFS('задача 3. данные'!$A:$A,'задача 3.1'!$A10,'задача 3. данные'!$H:$H,'задача 3.1'!N$1)</f>
        <v>0</v>
      </c>
    </row>
    <row r="11" spans="1:14" x14ac:dyDescent="0.25">
      <c r="A11" s="7" t="s">
        <v>5</v>
      </c>
      <c r="B11">
        <f>COUNTIFS('задача 3. данные'!$A:$A,'задача 3.1'!$A11,'задача 3. данные'!$H:$H,'задача 3.1'!B$1)</f>
        <v>9</v>
      </c>
      <c r="C11">
        <f>COUNTIFS('задача 3. данные'!$A:$A,'задача 3.1'!$A11,'задача 3. данные'!$H:$H,'задача 3.1'!C$1)</f>
        <v>7</v>
      </c>
      <c r="D11">
        <f>COUNTIFS('задача 3. данные'!$A:$A,'задача 3.1'!$A11,'задача 3. данные'!$H:$H,'задача 3.1'!D$1)</f>
        <v>2</v>
      </c>
      <c r="E11">
        <f>COUNTIFS('задача 3. данные'!$A:$A,'задача 3.1'!$A11,'задача 3. данные'!$H:$H,'задача 3.1'!E$1)</f>
        <v>9</v>
      </c>
      <c r="F11">
        <f>COUNTIFS('задача 3. данные'!$A:$A,'задача 3.1'!$A11,'задача 3. данные'!$H:$H,'задача 3.1'!F$1)</f>
        <v>7</v>
      </c>
      <c r="G11">
        <f>COUNTIFS('задача 3. данные'!$A:$A,'задача 3.1'!$A11,'задача 3. данные'!$H:$H,'задача 3.1'!G$1)</f>
        <v>6</v>
      </c>
      <c r="H11">
        <f>COUNTIFS('задача 3. данные'!$A:$A,'задача 3.1'!$A11,'задача 3. данные'!$H:$H,'задача 3.1'!H$1)</f>
        <v>7</v>
      </c>
      <c r="I11">
        <f>COUNTIFS('задача 3. данные'!$A:$A,'задача 3.1'!$A11,'задача 3. данные'!$H:$H,'задача 3.1'!I$1)</f>
        <v>6</v>
      </c>
      <c r="J11">
        <f>COUNTIFS('задача 3. данные'!$A:$A,'задача 3.1'!$A11,'задача 3. данные'!$H:$H,'задача 3.1'!J$1)</f>
        <v>6</v>
      </c>
      <c r="K11">
        <f>COUNTIFS('задача 3. данные'!$A:$A,'задача 3.1'!$A11,'задача 3. данные'!$H:$H,'задача 3.1'!K$1)</f>
        <v>8</v>
      </c>
      <c r="L11">
        <f>COUNTIFS('задача 3. данные'!$A:$A,'задача 3.1'!$A11,'задача 3. данные'!$H:$H,'задача 3.1'!L$1)</f>
        <v>7</v>
      </c>
      <c r="M11">
        <f>COUNTIFS('задача 3. данные'!$A:$A,'задача 3.1'!$A11,'задача 3. данные'!$H:$H,'задача 3.1'!M$1)</f>
        <v>6</v>
      </c>
      <c r="N11">
        <f>COUNTIFS('задача 3. данные'!$A:$A,'задача 3.1'!$A11,'задача 3. данные'!$H:$H,'задача 3.1'!N$1)</f>
        <v>1</v>
      </c>
    </row>
    <row r="12" spans="1:14" x14ac:dyDescent="0.25">
      <c r="A12" s="7" t="s">
        <v>27</v>
      </c>
      <c r="B12">
        <f>COUNTIFS('задача 3. данные'!$A:$A,'задача 3.1'!$A12,'задача 3. данные'!$H:$H,'задача 3.1'!B$1)</f>
        <v>11</v>
      </c>
      <c r="C12">
        <f>COUNTIFS('задача 3. данные'!$A:$A,'задача 3.1'!$A12,'задача 3. данные'!$H:$H,'задача 3.1'!C$1)</f>
        <v>7</v>
      </c>
      <c r="D12">
        <f>COUNTIFS('задача 3. данные'!$A:$A,'задача 3.1'!$A12,'задача 3. данные'!$H:$H,'задача 3.1'!D$1)</f>
        <v>2</v>
      </c>
      <c r="E12">
        <f>COUNTIFS('задача 3. данные'!$A:$A,'задача 3.1'!$A12,'задача 3. данные'!$H:$H,'задача 3.1'!E$1)</f>
        <v>7</v>
      </c>
      <c r="F12">
        <f>COUNTIFS('задача 3. данные'!$A:$A,'задача 3.1'!$A12,'задача 3. данные'!$H:$H,'задача 3.1'!F$1)</f>
        <v>10</v>
      </c>
      <c r="G12">
        <f>COUNTIFS('задача 3. данные'!$A:$A,'задача 3.1'!$A12,'задача 3. данные'!$H:$H,'задача 3.1'!G$1)</f>
        <v>7</v>
      </c>
      <c r="H12">
        <f>COUNTIFS('задача 3. данные'!$A:$A,'задача 3.1'!$A12,'задача 3. данные'!$H:$H,'задача 3.1'!H$1)</f>
        <v>8</v>
      </c>
      <c r="I12">
        <f>COUNTIFS('задача 3. данные'!$A:$A,'задача 3.1'!$A12,'задача 3. данные'!$H:$H,'задача 3.1'!I$1)</f>
        <v>5</v>
      </c>
      <c r="J12">
        <f>COUNTIFS('задача 3. данные'!$A:$A,'задача 3.1'!$A12,'задача 3. данные'!$H:$H,'задача 3.1'!J$1)</f>
        <v>3</v>
      </c>
      <c r="K12">
        <f>COUNTIFS('задача 3. данные'!$A:$A,'задача 3.1'!$A12,'задача 3. данные'!$H:$H,'задача 3.1'!K$1)</f>
        <v>7</v>
      </c>
      <c r="L12">
        <f>COUNTIFS('задача 3. данные'!$A:$A,'задача 3.1'!$A12,'задача 3. данные'!$H:$H,'задача 3.1'!L$1)</f>
        <v>10</v>
      </c>
      <c r="M12">
        <f>COUNTIFS('задача 3. данные'!$A:$A,'задача 3.1'!$A12,'задача 3. данные'!$H:$H,'задача 3.1'!M$1)</f>
        <v>6</v>
      </c>
      <c r="N12">
        <f>COUNTIFS('задача 3. данные'!$A:$A,'задача 3.1'!$A12,'задача 3. данные'!$H:$H,'задача 3.1'!N$1)</f>
        <v>0</v>
      </c>
    </row>
    <row r="13" spans="1:14" x14ac:dyDescent="0.25">
      <c r="A13" s="7" t="s">
        <v>52</v>
      </c>
      <c r="B13">
        <f>COUNTIFS('задача 3. данные'!$A:$A,'задача 3.1'!$A13,'задача 3. данные'!$H:$H,'задача 3.1'!B$1)</f>
        <v>5</v>
      </c>
      <c r="C13">
        <f>COUNTIFS('задача 3. данные'!$A:$A,'задача 3.1'!$A13,'задача 3. данные'!$H:$H,'задача 3.1'!C$1)</f>
        <v>7</v>
      </c>
      <c r="D13">
        <f>COUNTIFS('задача 3. данные'!$A:$A,'задача 3.1'!$A13,'задача 3. данные'!$H:$H,'задача 3.1'!D$1)</f>
        <v>4</v>
      </c>
      <c r="E13">
        <f>COUNTIFS('задача 3. данные'!$A:$A,'задача 3.1'!$A13,'задача 3. данные'!$H:$H,'задача 3.1'!E$1)</f>
        <v>5</v>
      </c>
      <c r="F13">
        <f>COUNTIFS('задача 3. данные'!$A:$A,'задача 3.1'!$A13,'задача 3. данные'!$H:$H,'задача 3.1'!F$1)</f>
        <v>7</v>
      </c>
      <c r="G13">
        <f>COUNTIFS('задача 3. данные'!$A:$A,'задача 3.1'!$A13,'задача 3. данные'!$H:$H,'задача 3.1'!G$1)</f>
        <v>12</v>
      </c>
      <c r="H13">
        <f>COUNTIFS('задача 3. данные'!$A:$A,'задача 3.1'!$A13,'задача 3. данные'!$H:$H,'задача 3.1'!H$1)</f>
        <v>8</v>
      </c>
      <c r="I13">
        <f>COUNTIFS('задача 3. данные'!$A:$A,'задача 3.1'!$A13,'задача 3. данные'!$H:$H,'задача 3.1'!I$1)</f>
        <v>1</v>
      </c>
      <c r="J13">
        <f>COUNTIFS('задача 3. данные'!$A:$A,'задача 3.1'!$A13,'задача 3. данные'!$H:$H,'задача 3.1'!J$1)</f>
        <v>8</v>
      </c>
      <c r="K13">
        <f>COUNTIFS('задача 3. данные'!$A:$A,'задача 3.1'!$A13,'задача 3. данные'!$H:$H,'задача 3.1'!K$1)</f>
        <v>8</v>
      </c>
      <c r="L13">
        <f>COUNTIFS('задача 3. данные'!$A:$A,'задача 3.1'!$A13,'задача 3. данные'!$H:$H,'задача 3.1'!L$1)</f>
        <v>7</v>
      </c>
      <c r="M13">
        <f>COUNTIFS('задача 3. данные'!$A:$A,'задача 3.1'!$A13,'задача 3. данные'!$H:$H,'задача 3.1'!M$1)</f>
        <v>5</v>
      </c>
      <c r="N13">
        <f>COUNTIFS('задача 3. данные'!$A:$A,'задача 3.1'!$A13,'задача 3. данные'!$H:$H,'задача 3.1'!N$1)</f>
        <v>0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19EA3C4-B487-4DAF-8127-F450E8108A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 3.1'!B2:N2</xm:f>
              <xm:sqref>O2</xm:sqref>
            </x14:sparkline>
            <x14:sparkline>
              <xm:f>'задача 3.1'!B3:N3</xm:f>
              <xm:sqref>O3</xm:sqref>
            </x14:sparkline>
            <x14:sparkline>
              <xm:f>'задача 3.1'!B4:N4</xm:f>
              <xm:sqref>O4</xm:sqref>
            </x14:sparkline>
            <x14:sparkline>
              <xm:f>'задача 3.1'!B5:N5</xm:f>
              <xm:sqref>O5</xm:sqref>
            </x14:sparkline>
            <x14:sparkline>
              <xm:f>'задача 3.1'!B6:N6</xm:f>
              <xm:sqref>O6</xm:sqref>
            </x14:sparkline>
            <x14:sparkline>
              <xm:f>'задача 3.1'!B7:N7</xm:f>
              <xm:sqref>O7</xm:sqref>
            </x14:sparkline>
            <x14:sparkline>
              <xm:f>'задача 3.1'!B8:N8</xm:f>
              <xm:sqref>O8</xm:sqref>
            </x14:sparkline>
            <x14:sparkline>
              <xm:f>'задача 3.1'!B9:N9</xm:f>
              <xm:sqref>O9</xm:sqref>
            </x14:sparkline>
            <x14:sparkline>
              <xm:f>'задача 3.1'!B10:N10</xm:f>
              <xm:sqref>O10</xm:sqref>
            </x14:sparkline>
            <x14:sparkline>
              <xm:f>'задача 3.1'!B11:N11</xm:f>
              <xm:sqref>O11</xm:sqref>
            </x14:sparkline>
            <x14:sparkline>
              <xm:f>'задача 3.1'!B12:N12</xm:f>
              <xm:sqref>O12</xm:sqref>
            </x14:sparkline>
            <x14:sparkline>
              <xm:f>'задача 3.1'!B13:N13</xm:f>
              <xm:sqref>O13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8B39-8153-4E9A-B4AE-57F5F4D2EFC7}">
  <dimension ref="A1:H1001"/>
  <sheetViews>
    <sheetView workbookViewId="0">
      <selection sqref="A1:H1"/>
    </sheetView>
  </sheetViews>
  <sheetFormatPr defaultRowHeight="15" x14ac:dyDescent="0.2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7" max="7" width="6.710937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515</v>
      </c>
      <c r="G1" s="25" t="s">
        <v>516</v>
      </c>
      <c r="H1" s="25" t="s">
        <v>517</v>
      </c>
    </row>
    <row r="2" spans="1:8" x14ac:dyDescent="0.25">
      <c r="A2" t="s">
        <v>5</v>
      </c>
      <c r="B2" t="s">
        <v>6</v>
      </c>
      <c r="C2" t="s">
        <v>7</v>
      </c>
      <c r="D2">
        <v>63205</v>
      </c>
      <c r="E2">
        <v>8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25">
      <c r="A3" t="s">
        <v>8</v>
      </c>
      <c r="B3" t="s">
        <v>9</v>
      </c>
      <c r="C3" t="s">
        <v>7</v>
      </c>
      <c r="D3">
        <v>38636</v>
      </c>
      <c r="E3">
        <v>8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25">
      <c r="A4" t="s">
        <v>10</v>
      </c>
      <c r="B4" t="s">
        <v>11</v>
      </c>
      <c r="C4" t="s">
        <v>7</v>
      </c>
      <c r="D4">
        <v>67204</v>
      </c>
      <c r="E4">
        <v>6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25">
      <c r="A5" t="s">
        <v>12</v>
      </c>
      <c r="B5" t="s">
        <v>13</v>
      </c>
      <c r="C5" t="s">
        <v>14</v>
      </c>
      <c r="D5">
        <v>84220</v>
      </c>
      <c r="E5">
        <v>9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25">
      <c r="A6" t="s">
        <v>15</v>
      </c>
      <c r="B6" t="s">
        <v>16</v>
      </c>
      <c r="C6" t="s">
        <v>14</v>
      </c>
      <c r="D6">
        <v>78490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25">
      <c r="A7" t="s">
        <v>17</v>
      </c>
      <c r="B7" t="s">
        <v>18</v>
      </c>
      <c r="C7" t="s">
        <v>14</v>
      </c>
      <c r="D7">
        <v>58851</v>
      </c>
      <c r="E7">
        <v>5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25">
      <c r="A8" t="s">
        <v>8</v>
      </c>
      <c r="B8" t="s">
        <v>19</v>
      </c>
      <c r="C8" t="s">
        <v>14</v>
      </c>
      <c r="D8">
        <v>52764</v>
      </c>
      <c r="E8">
        <v>8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25">
      <c r="A9" t="s">
        <v>10</v>
      </c>
      <c r="B9" t="s">
        <v>20</v>
      </c>
      <c r="C9" t="s">
        <v>21</v>
      </c>
      <c r="D9">
        <v>91862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25">
      <c r="A10" t="s">
        <v>10</v>
      </c>
      <c r="B10" t="s">
        <v>22</v>
      </c>
      <c r="C10" t="s">
        <v>21</v>
      </c>
      <c r="D10">
        <v>40540</v>
      </c>
      <c r="E10">
        <v>7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25">
      <c r="A11" t="s">
        <v>23</v>
      </c>
      <c r="B11" t="s">
        <v>24</v>
      </c>
      <c r="C11" t="s">
        <v>21</v>
      </c>
      <c r="D11">
        <v>67289</v>
      </c>
      <c r="E11">
        <v>5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25">
      <c r="A12" t="s">
        <v>12</v>
      </c>
      <c r="B12" t="s">
        <v>25</v>
      </c>
      <c r="C12" t="s">
        <v>26</v>
      </c>
      <c r="D12">
        <v>19382</v>
      </c>
      <c r="E12">
        <v>2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25">
      <c r="A13" t="s">
        <v>27</v>
      </c>
      <c r="B13" t="s">
        <v>28</v>
      </c>
      <c r="C13" t="s">
        <v>26</v>
      </c>
      <c r="D13">
        <v>38637</v>
      </c>
      <c r="E13">
        <v>5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25">
      <c r="A14" t="s">
        <v>8</v>
      </c>
      <c r="B14" t="s">
        <v>29</v>
      </c>
      <c r="C14" t="s">
        <v>30</v>
      </c>
      <c r="D14">
        <v>52905</v>
      </c>
      <c r="E14">
        <v>9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25">
      <c r="A15" t="s">
        <v>17</v>
      </c>
      <c r="B15" t="s">
        <v>31</v>
      </c>
      <c r="C15" t="s">
        <v>30</v>
      </c>
      <c r="D15">
        <v>23409</v>
      </c>
      <c r="E15">
        <v>6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25">
      <c r="A16" t="s">
        <v>8</v>
      </c>
      <c r="B16" t="s">
        <v>32</v>
      </c>
      <c r="C16" t="s">
        <v>33</v>
      </c>
      <c r="D16">
        <v>52448</v>
      </c>
      <c r="E16">
        <v>9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25">
      <c r="A17" t="s">
        <v>5</v>
      </c>
      <c r="B17" t="s">
        <v>34</v>
      </c>
      <c r="C17" t="s">
        <v>33</v>
      </c>
      <c r="D17">
        <v>79078</v>
      </c>
      <c r="E17">
        <v>6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25">
      <c r="A18" t="s">
        <v>12</v>
      </c>
      <c r="B18" t="s">
        <v>35</v>
      </c>
      <c r="C18" t="s">
        <v>33</v>
      </c>
      <c r="D18">
        <v>16941</v>
      </c>
      <c r="E18">
        <v>8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25">
      <c r="A19" t="s">
        <v>36</v>
      </c>
      <c r="B19" t="s">
        <v>37</v>
      </c>
      <c r="C19" t="s">
        <v>33</v>
      </c>
      <c r="D19">
        <v>84095</v>
      </c>
      <c r="E19">
        <v>4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25">
      <c r="A20" t="s">
        <v>23</v>
      </c>
      <c r="B20" t="s">
        <v>38</v>
      </c>
      <c r="C20" t="s">
        <v>33</v>
      </c>
      <c r="D20">
        <v>43802</v>
      </c>
      <c r="E20">
        <v>7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25">
      <c r="A21" t="s">
        <v>12</v>
      </c>
      <c r="B21" t="s">
        <v>39</v>
      </c>
      <c r="C21" t="s">
        <v>33</v>
      </c>
      <c r="D21">
        <v>23303</v>
      </c>
      <c r="E21">
        <v>8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25">
      <c r="A22" t="s">
        <v>10</v>
      </c>
      <c r="B22" t="s">
        <v>40</v>
      </c>
      <c r="C22" t="s">
        <v>33</v>
      </c>
      <c r="D22">
        <v>42027</v>
      </c>
      <c r="E22">
        <v>7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25">
      <c r="A23" t="s">
        <v>5</v>
      </c>
      <c r="B23" t="s">
        <v>41</v>
      </c>
      <c r="C23" t="s">
        <v>42</v>
      </c>
      <c r="D23">
        <v>82569</v>
      </c>
      <c r="E23">
        <v>1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25">
      <c r="A24" t="s">
        <v>27</v>
      </c>
      <c r="B24" t="s">
        <v>43</v>
      </c>
      <c r="C24" t="s">
        <v>42</v>
      </c>
      <c r="D24">
        <v>37978</v>
      </c>
      <c r="E24">
        <v>2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25">
      <c r="A25" t="s">
        <v>5</v>
      </c>
      <c r="B25" t="s">
        <v>44</v>
      </c>
      <c r="C25" t="s">
        <v>42</v>
      </c>
      <c r="D25">
        <v>89979</v>
      </c>
      <c r="E25">
        <v>4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25">
      <c r="A26" t="s">
        <v>12</v>
      </c>
      <c r="B26" t="s">
        <v>45</v>
      </c>
      <c r="C26" t="s">
        <v>42</v>
      </c>
      <c r="D26">
        <v>60962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25">
      <c r="A27" t="s">
        <v>46</v>
      </c>
      <c r="B27" t="s">
        <v>47</v>
      </c>
      <c r="C27" t="s">
        <v>42</v>
      </c>
      <c r="D27">
        <v>62286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25">
      <c r="A28" t="s">
        <v>48</v>
      </c>
      <c r="B28" t="s">
        <v>41</v>
      </c>
      <c r="C28" t="s">
        <v>49</v>
      </c>
      <c r="D28">
        <v>10701</v>
      </c>
      <c r="E28">
        <v>3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25">
      <c r="A29" t="s">
        <v>5</v>
      </c>
      <c r="B29" t="s">
        <v>44</v>
      </c>
      <c r="C29" t="s">
        <v>50</v>
      </c>
      <c r="D29">
        <v>47177</v>
      </c>
      <c r="E29">
        <v>7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25">
      <c r="A30" t="s">
        <v>5</v>
      </c>
      <c r="B30" t="s">
        <v>51</v>
      </c>
      <c r="C30" t="s">
        <v>50</v>
      </c>
      <c r="D30">
        <v>32827</v>
      </c>
      <c r="E30">
        <v>4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25">
      <c r="A31" t="s">
        <v>52</v>
      </c>
      <c r="B31" t="s">
        <v>53</v>
      </c>
      <c r="C31" t="s">
        <v>54</v>
      </c>
      <c r="D31">
        <v>61315</v>
      </c>
      <c r="E31">
        <v>9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25">
      <c r="A32" t="s">
        <v>27</v>
      </c>
      <c r="B32" t="s">
        <v>55</v>
      </c>
      <c r="C32" t="s">
        <v>54</v>
      </c>
      <c r="D32">
        <v>32196</v>
      </c>
      <c r="E32">
        <v>9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25">
      <c r="A33" t="s">
        <v>10</v>
      </c>
      <c r="B33" t="s">
        <v>56</v>
      </c>
      <c r="C33" t="s">
        <v>54</v>
      </c>
      <c r="D33">
        <v>76715</v>
      </c>
      <c r="E33">
        <v>7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25">
      <c r="A34" t="s">
        <v>27</v>
      </c>
      <c r="B34" t="s">
        <v>57</v>
      </c>
      <c r="C34" t="s">
        <v>58</v>
      </c>
      <c r="D34">
        <v>69020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25">
      <c r="A35" t="s">
        <v>27</v>
      </c>
      <c r="B35" t="s">
        <v>59</v>
      </c>
      <c r="C35" t="s">
        <v>58</v>
      </c>
      <c r="D35">
        <v>98697</v>
      </c>
      <c r="E35">
        <v>9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25">
      <c r="A36" t="s">
        <v>10</v>
      </c>
      <c r="B36" t="s">
        <v>60</v>
      </c>
      <c r="C36" t="s">
        <v>58</v>
      </c>
      <c r="D36">
        <v>36351</v>
      </c>
      <c r="E36">
        <v>10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25">
      <c r="A37" t="s">
        <v>10</v>
      </c>
      <c r="B37" t="s">
        <v>61</v>
      </c>
      <c r="C37" t="s">
        <v>58</v>
      </c>
      <c r="D37">
        <v>36834</v>
      </c>
      <c r="E37">
        <v>5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25">
      <c r="A38" t="s">
        <v>52</v>
      </c>
      <c r="B38" t="s">
        <v>62</v>
      </c>
      <c r="C38" t="s">
        <v>58</v>
      </c>
      <c r="D38">
        <v>43342</v>
      </c>
      <c r="E38">
        <v>4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25">
      <c r="A39" t="s">
        <v>52</v>
      </c>
      <c r="B39" t="s">
        <v>63</v>
      </c>
      <c r="C39" t="s">
        <v>58</v>
      </c>
      <c r="D39">
        <v>84547</v>
      </c>
      <c r="E39">
        <v>9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25">
      <c r="A40" t="s">
        <v>5</v>
      </c>
      <c r="B40" t="s">
        <v>64</v>
      </c>
      <c r="C40" t="s">
        <v>65</v>
      </c>
      <c r="D40">
        <v>82641</v>
      </c>
      <c r="E40">
        <v>6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25">
      <c r="A41" t="s">
        <v>46</v>
      </c>
      <c r="B41" t="s">
        <v>66</v>
      </c>
      <c r="C41" t="s">
        <v>65</v>
      </c>
      <c r="D41">
        <v>90684</v>
      </c>
      <c r="E41">
        <v>2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25">
      <c r="A42" t="s">
        <v>12</v>
      </c>
      <c r="B42" t="s">
        <v>67</v>
      </c>
      <c r="C42" t="s">
        <v>65</v>
      </c>
      <c r="D42">
        <v>60861</v>
      </c>
      <c r="E42">
        <v>4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25">
      <c r="A43" t="s">
        <v>12</v>
      </c>
      <c r="B43" t="s">
        <v>68</v>
      </c>
      <c r="C43" t="s">
        <v>65</v>
      </c>
      <c r="D43">
        <v>76422</v>
      </c>
      <c r="E43">
        <v>2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25">
      <c r="A44" t="s">
        <v>12</v>
      </c>
      <c r="B44" t="s">
        <v>37</v>
      </c>
      <c r="C44" t="s">
        <v>65</v>
      </c>
      <c r="D44">
        <v>26817</v>
      </c>
      <c r="E44">
        <v>3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25">
      <c r="A45" t="s">
        <v>17</v>
      </c>
      <c r="B45" t="s">
        <v>69</v>
      </c>
      <c r="C45" t="s">
        <v>65</v>
      </c>
      <c r="D45">
        <v>83397</v>
      </c>
      <c r="E45">
        <v>6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25">
      <c r="A46" t="s">
        <v>23</v>
      </c>
      <c r="B46" t="s">
        <v>70</v>
      </c>
      <c r="C46" t="s">
        <v>65</v>
      </c>
      <c r="D46">
        <v>69848</v>
      </c>
      <c r="E46">
        <v>9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25">
      <c r="A47" t="s">
        <v>8</v>
      </c>
      <c r="B47" t="s">
        <v>71</v>
      </c>
      <c r="C47" t="s">
        <v>72</v>
      </c>
      <c r="D47">
        <v>14730</v>
      </c>
      <c r="E47">
        <v>8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25">
      <c r="A48" t="s">
        <v>36</v>
      </c>
      <c r="B48" t="s">
        <v>73</v>
      </c>
      <c r="C48" t="s">
        <v>72</v>
      </c>
      <c r="D48">
        <v>36496</v>
      </c>
      <c r="E48">
        <v>5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25">
      <c r="A49" t="s">
        <v>17</v>
      </c>
      <c r="B49" t="s">
        <v>74</v>
      </c>
      <c r="C49" t="s">
        <v>72</v>
      </c>
      <c r="D49">
        <v>30666</v>
      </c>
      <c r="E49">
        <v>1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25">
      <c r="A50" t="s">
        <v>15</v>
      </c>
      <c r="B50" t="s">
        <v>75</v>
      </c>
      <c r="C50" t="s">
        <v>76</v>
      </c>
      <c r="D50">
        <v>98561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25">
      <c r="A51" t="s">
        <v>52</v>
      </c>
      <c r="B51" t="s">
        <v>77</v>
      </c>
      <c r="C51" t="s">
        <v>78</v>
      </c>
      <c r="D51">
        <v>25858</v>
      </c>
      <c r="E51">
        <v>5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25">
      <c r="A52" t="s">
        <v>10</v>
      </c>
      <c r="B52" t="s">
        <v>79</v>
      </c>
      <c r="C52" t="s">
        <v>78</v>
      </c>
      <c r="D52">
        <v>10970</v>
      </c>
      <c r="E52">
        <v>6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25">
      <c r="A53" t="s">
        <v>27</v>
      </c>
      <c r="B53" t="s">
        <v>80</v>
      </c>
      <c r="C53" t="s">
        <v>78</v>
      </c>
      <c r="D53">
        <v>10108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25">
      <c r="A54" t="s">
        <v>27</v>
      </c>
      <c r="B54" t="s">
        <v>81</v>
      </c>
      <c r="C54" t="s">
        <v>78</v>
      </c>
      <c r="D54">
        <v>78373</v>
      </c>
      <c r="E54">
        <v>2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25">
      <c r="A55" t="s">
        <v>15</v>
      </c>
      <c r="B55" t="s">
        <v>82</v>
      </c>
      <c r="C55" t="s">
        <v>83</v>
      </c>
      <c r="D55">
        <v>23707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25">
      <c r="A56" t="s">
        <v>17</v>
      </c>
      <c r="B56" t="s">
        <v>84</v>
      </c>
      <c r="C56" t="s">
        <v>83</v>
      </c>
      <c r="D56">
        <v>96323</v>
      </c>
      <c r="E56">
        <v>9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25">
      <c r="A57" t="s">
        <v>27</v>
      </c>
      <c r="B57" t="s">
        <v>66</v>
      </c>
      <c r="C57" t="s">
        <v>83</v>
      </c>
      <c r="D57">
        <v>77629</v>
      </c>
      <c r="E57">
        <v>1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25">
      <c r="A58" t="s">
        <v>27</v>
      </c>
      <c r="B58" t="s">
        <v>85</v>
      </c>
      <c r="C58" t="s">
        <v>83</v>
      </c>
      <c r="D58">
        <v>65388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25">
      <c r="A59" t="s">
        <v>17</v>
      </c>
      <c r="B59" t="s">
        <v>86</v>
      </c>
      <c r="C59" t="s">
        <v>83</v>
      </c>
      <c r="D59">
        <v>57105</v>
      </c>
      <c r="E59">
        <v>4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25">
      <c r="A60" t="s">
        <v>27</v>
      </c>
      <c r="B60" t="s">
        <v>87</v>
      </c>
      <c r="C60" t="s">
        <v>88</v>
      </c>
      <c r="D60">
        <v>24088</v>
      </c>
      <c r="E60">
        <v>4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25">
      <c r="A61" t="s">
        <v>36</v>
      </c>
      <c r="B61" t="s">
        <v>89</v>
      </c>
      <c r="C61" t="s">
        <v>88</v>
      </c>
      <c r="D61">
        <v>72239</v>
      </c>
      <c r="E61">
        <v>8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25">
      <c r="A62" t="s">
        <v>8</v>
      </c>
      <c r="B62" t="s">
        <v>90</v>
      </c>
      <c r="C62" t="s">
        <v>88</v>
      </c>
      <c r="D62">
        <v>43742</v>
      </c>
      <c r="E62">
        <v>4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25">
      <c r="A63" t="s">
        <v>23</v>
      </c>
      <c r="B63" t="s">
        <v>69</v>
      </c>
      <c r="C63" t="s">
        <v>88</v>
      </c>
      <c r="D63">
        <v>94703</v>
      </c>
      <c r="E63">
        <v>2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25">
      <c r="A64" t="s">
        <v>23</v>
      </c>
      <c r="B64" t="s">
        <v>71</v>
      </c>
      <c r="C64" t="s">
        <v>88</v>
      </c>
      <c r="D64">
        <v>35238</v>
      </c>
      <c r="E64">
        <v>8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25">
      <c r="A65" t="s">
        <v>36</v>
      </c>
      <c r="B65" t="s">
        <v>91</v>
      </c>
      <c r="C65" t="s">
        <v>88</v>
      </c>
      <c r="D65">
        <v>90685</v>
      </c>
      <c r="E65">
        <v>7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25">
      <c r="A66" t="s">
        <v>5</v>
      </c>
      <c r="B66" t="s">
        <v>79</v>
      </c>
      <c r="C66" t="s">
        <v>88</v>
      </c>
      <c r="D66">
        <v>81697</v>
      </c>
      <c r="E66">
        <v>4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25">
      <c r="A67" t="s">
        <v>36</v>
      </c>
      <c r="B67" t="s">
        <v>73</v>
      </c>
      <c r="C67" t="s">
        <v>88</v>
      </c>
      <c r="D67">
        <v>72994</v>
      </c>
      <c r="E67">
        <v>3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25">
      <c r="A68" t="s">
        <v>23</v>
      </c>
      <c r="B68" t="s">
        <v>92</v>
      </c>
      <c r="C68" t="s">
        <v>88</v>
      </c>
      <c r="D68">
        <v>67117</v>
      </c>
      <c r="E68">
        <v>8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25">
      <c r="A69" t="s">
        <v>5</v>
      </c>
      <c r="B69" t="s">
        <v>93</v>
      </c>
      <c r="C69" t="s">
        <v>88</v>
      </c>
      <c r="D69">
        <v>80948</v>
      </c>
      <c r="E69">
        <v>8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25">
      <c r="A70" t="s">
        <v>52</v>
      </c>
      <c r="B70" t="s">
        <v>29</v>
      </c>
      <c r="C70" t="s">
        <v>94</v>
      </c>
      <c r="D70">
        <v>99920</v>
      </c>
      <c r="E70">
        <v>7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25">
      <c r="A71" t="s">
        <v>48</v>
      </c>
      <c r="B71" t="s">
        <v>87</v>
      </c>
      <c r="C71" t="s">
        <v>94</v>
      </c>
      <c r="D71">
        <v>17263</v>
      </c>
      <c r="E71">
        <v>4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25">
      <c r="A72" t="s">
        <v>23</v>
      </c>
      <c r="B72" t="s">
        <v>95</v>
      </c>
      <c r="C72" t="s">
        <v>96</v>
      </c>
      <c r="D72">
        <v>56956</v>
      </c>
      <c r="E72">
        <v>2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25">
      <c r="A73" t="s">
        <v>48</v>
      </c>
      <c r="B73" t="s">
        <v>97</v>
      </c>
      <c r="C73" t="s">
        <v>96</v>
      </c>
      <c r="D73">
        <v>11068</v>
      </c>
      <c r="E73">
        <v>3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25">
      <c r="A74" t="s">
        <v>48</v>
      </c>
      <c r="B74" t="s">
        <v>98</v>
      </c>
      <c r="C74" t="s">
        <v>96</v>
      </c>
      <c r="D74">
        <v>45323</v>
      </c>
      <c r="E74">
        <v>2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25">
      <c r="A75" t="s">
        <v>8</v>
      </c>
      <c r="B75" t="s">
        <v>99</v>
      </c>
      <c r="C75" t="s">
        <v>100</v>
      </c>
      <c r="D75">
        <v>12034</v>
      </c>
      <c r="E75">
        <v>7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25">
      <c r="A76" t="s">
        <v>8</v>
      </c>
      <c r="B76" t="s">
        <v>101</v>
      </c>
      <c r="C76" t="s">
        <v>100</v>
      </c>
      <c r="D76">
        <v>72855</v>
      </c>
      <c r="E76">
        <v>8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25">
      <c r="A77" t="s">
        <v>10</v>
      </c>
      <c r="B77" t="s">
        <v>102</v>
      </c>
      <c r="C77" t="s">
        <v>100</v>
      </c>
      <c r="D77">
        <v>54280</v>
      </c>
      <c r="E77">
        <v>3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25">
      <c r="A78" t="s">
        <v>27</v>
      </c>
      <c r="B78" t="s">
        <v>103</v>
      </c>
      <c r="C78" t="s">
        <v>104</v>
      </c>
      <c r="D78">
        <v>73995</v>
      </c>
      <c r="E78">
        <v>6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25">
      <c r="A79" t="s">
        <v>10</v>
      </c>
      <c r="B79" t="s">
        <v>13</v>
      </c>
      <c r="C79" t="s">
        <v>104</v>
      </c>
      <c r="D79">
        <v>27607</v>
      </c>
      <c r="E79">
        <v>6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25">
      <c r="A80" t="s">
        <v>48</v>
      </c>
      <c r="B80" t="s">
        <v>105</v>
      </c>
      <c r="C80" t="s">
        <v>104</v>
      </c>
      <c r="D80">
        <v>84637</v>
      </c>
      <c r="E80">
        <v>7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25">
      <c r="A81" t="s">
        <v>17</v>
      </c>
      <c r="B81" t="s">
        <v>20</v>
      </c>
      <c r="C81" t="s">
        <v>104</v>
      </c>
      <c r="D81">
        <v>45714</v>
      </c>
      <c r="E81">
        <v>7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25">
      <c r="A82" t="s">
        <v>5</v>
      </c>
      <c r="B82" t="s">
        <v>73</v>
      </c>
      <c r="C82" t="s">
        <v>106</v>
      </c>
      <c r="D82">
        <v>68164</v>
      </c>
      <c r="E82">
        <v>8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x14ac:dyDescent="0.25">
      <c r="A83" t="s">
        <v>5</v>
      </c>
      <c r="B83" t="s">
        <v>107</v>
      </c>
      <c r="C83" t="s">
        <v>106</v>
      </c>
      <c r="D83">
        <v>92799</v>
      </c>
      <c r="E83">
        <v>7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25">
      <c r="A84" t="s">
        <v>23</v>
      </c>
      <c r="B84" t="s">
        <v>108</v>
      </c>
      <c r="C84" t="s">
        <v>106</v>
      </c>
      <c r="D84">
        <v>35854</v>
      </c>
      <c r="E84">
        <v>7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x14ac:dyDescent="0.25">
      <c r="A85" t="s">
        <v>36</v>
      </c>
      <c r="B85" t="s">
        <v>109</v>
      </c>
      <c r="C85" t="s">
        <v>106</v>
      </c>
      <c r="D85">
        <v>29927</v>
      </c>
      <c r="E85">
        <v>7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x14ac:dyDescent="0.25">
      <c r="A86" t="s">
        <v>27</v>
      </c>
      <c r="B86" t="s">
        <v>81</v>
      </c>
      <c r="C86" t="s">
        <v>110</v>
      </c>
      <c r="D86">
        <v>11766</v>
      </c>
      <c r="E86">
        <v>6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x14ac:dyDescent="0.25">
      <c r="A87" t="s">
        <v>36</v>
      </c>
      <c r="B87" t="s">
        <v>111</v>
      </c>
      <c r="C87" t="s">
        <v>110</v>
      </c>
      <c r="D87">
        <v>29293</v>
      </c>
      <c r="E87">
        <v>5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x14ac:dyDescent="0.25">
      <c r="A88" t="s">
        <v>52</v>
      </c>
      <c r="B88" t="s">
        <v>95</v>
      </c>
      <c r="C88" t="s">
        <v>110</v>
      </c>
      <c r="D88">
        <v>70758</v>
      </c>
      <c r="E88">
        <v>8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x14ac:dyDescent="0.25">
      <c r="A89" t="s">
        <v>46</v>
      </c>
      <c r="B89" t="s">
        <v>112</v>
      </c>
      <c r="C89" t="s">
        <v>110</v>
      </c>
      <c r="D89">
        <v>29860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25">
      <c r="A90" t="s">
        <v>52</v>
      </c>
      <c r="B90" t="s">
        <v>113</v>
      </c>
      <c r="C90" t="s">
        <v>110</v>
      </c>
      <c r="D90">
        <v>70024</v>
      </c>
      <c r="E90">
        <v>9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25">
      <c r="A91" t="s">
        <v>48</v>
      </c>
      <c r="B91" t="s">
        <v>71</v>
      </c>
      <c r="C91" t="s">
        <v>110</v>
      </c>
      <c r="D91">
        <v>38212</v>
      </c>
      <c r="E91">
        <v>3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25">
      <c r="A92" t="s">
        <v>23</v>
      </c>
      <c r="B92" t="s">
        <v>75</v>
      </c>
      <c r="C92" t="s">
        <v>114</v>
      </c>
      <c r="D92">
        <v>11426</v>
      </c>
      <c r="E92">
        <v>8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25">
      <c r="A93" t="s">
        <v>36</v>
      </c>
      <c r="B93" t="s">
        <v>115</v>
      </c>
      <c r="C93" t="s">
        <v>114</v>
      </c>
      <c r="D93">
        <v>22645</v>
      </c>
      <c r="E93">
        <v>7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25">
      <c r="A94" t="s">
        <v>23</v>
      </c>
      <c r="B94" t="s">
        <v>57</v>
      </c>
      <c r="C94" t="s">
        <v>114</v>
      </c>
      <c r="D94">
        <v>79517</v>
      </c>
      <c r="E94">
        <v>3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25">
      <c r="A95" t="s">
        <v>5</v>
      </c>
      <c r="B95" t="s">
        <v>116</v>
      </c>
      <c r="C95" t="s">
        <v>117</v>
      </c>
      <c r="D95">
        <v>13957</v>
      </c>
      <c r="E95">
        <v>8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25">
      <c r="A96" t="s">
        <v>10</v>
      </c>
      <c r="B96" t="s">
        <v>68</v>
      </c>
      <c r="C96" t="s">
        <v>117</v>
      </c>
      <c r="D96">
        <v>11020</v>
      </c>
      <c r="E96">
        <v>9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25">
      <c r="A97" t="s">
        <v>27</v>
      </c>
      <c r="B97" t="s">
        <v>118</v>
      </c>
      <c r="C97" t="s">
        <v>119</v>
      </c>
      <c r="D97">
        <v>41501</v>
      </c>
      <c r="E97">
        <v>5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25">
      <c r="A98" t="s">
        <v>8</v>
      </c>
      <c r="B98" t="s">
        <v>120</v>
      </c>
      <c r="C98" t="s">
        <v>119</v>
      </c>
      <c r="D98">
        <v>46399</v>
      </c>
      <c r="E98">
        <v>2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25">
      <c r="A99" t="s">
        <v>46</v>
      </c>
      <c r="B99" t="s">
        <v>101</v>
      </c>
      <c r="C99" t="s">
        <v>119</v>
      </c>
      <c r="D99">
        <v>29999</v>
      </c>
      <c r="E99">
        <v>9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25">
      <c r="A100" t="s">
        <v>10</v>
      </c>
      <c r="B100" t="s">
        <v>75</v>
      </c>
      <c r="C100" t="s">
        <v>119</v>
      </c>
      <c r="D100">
        <v>40083</v>
      </c>
      <c r="E100">
        <v>3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25">
      <c r="A101" t="s">
        <v>12</v>
      </c>
      <c r="B101" t="s">
        <v>121</v>
      </c>
      <c r="C101" t="s">
        <v>119</v>
      </c>
      <c r="D101">
        <v>78801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25">
      <c r="A102" t="s">
        <v>10</v>
      </c>
      <c r="B102" t="s">
        <v>122</v>
      </c>
      <c r="C102" t="s">
        <v>119</v>
      </c>
      <c r="D102">
        <v>35739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25">
      <c r="A103" t="s">
        <v>12</v>
      </c>
      <c r="B103" t="s">
        <v>123</v>
      </c>
      <c r="C103" t="s">
        <v>119</v>
      </c>
      <c r="D103">
        <v>62351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25">
      <c r="A104" t="s">
        <v>5</v>
      </c>
      <c r="B104" t="s">
        <v>68</v>
      </c>
      <c r="C104" t="s">
        <v>124</v>
      </c>
      <c r="D104">
        <v>28587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25">
      <c r="A105" t="s">
        <v>10</v>
      </c>
      <c r="B105" t="s">
        <v>87</v>
      </c>
      <c r="C105" t="s">
        <v>124</v>
      </c>
      <c r="D105">
        <v>78379</v>
      </c>
      <c r="E105">
        <v>9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25">
      <c r="A106" t="s">
        <v>36</v>
      </c>
      <c r="B106" t="s">
        <v>125</v>
      </c>
      <c r="C106" t="s">
        <v>124</v>
      </c>
      <c r="D106">
        <v>44961</v>
      </c>
      <c r="E106">
        <v>7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25">
      <c r="A107" t="s">
        <v>46</v>
      </c>
      <c r="B107" t="s">
        <v>126</v>
      </c>
      <c r="C107" t="s">
        <v>124</v>
      </c>
      <c r="D107">
        <v>17526</v>
      </c>
      <c r="E107">
        <v>8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25">
      <c r="A108" t="s">
        <v>46</v>
      </c>
      <c r="B108" t="s">
        <v>127</v>
      </c>
      <c r="C108" t="s">
        <v>124</v>
      </c>
      <c r="D108">
        <v>20654</v>
      </c>
      <c r="E108">
        <v>1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25">
      <c r="A109" t="s">
        <v>46</v>
      </c>
      <c r="B109" t="s">
        <v>24</v>
      </c>
      <c r="C109" t="s">
        <v>124</v>
      </c>
      <c r="D109">
        <v>38316</v>
      </c>
      <c r="E109">
        <v>7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25">
      <c r="A110" t="s">
        <v>46</v>
      </c>
      <c r="B110" t="s">
        <v>126</v>
      </c>
      <c r="C110" t="s">
        <v>128</v>
      </c>
      <c r="D110">
        <v>46029</v>
      </c>
      <c r="E110">
        <v>4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25">
      <c r="A111" t="s">
        <v>23</v>
      </c>
      <c r="B111" t="s">
        <v>129</v>
      </c>
      <c r="C111" t="s">
        <v>128</v>
      </c>
      <c r="D111">
        <v>22575</v>
      </c>
      <c r="E111">
        <v>8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25">
      <c r="A112" t="s">
        <v>15</v>
      </c>
      <c r="B112" t="s">
        <v>127</v>
      </c>
      <c r="C112" t="s">
        <v>128</v>
      </c>
      <c r="D112">
        <v>33450</v>
      </c>
      <c r="E112">
        <v>8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25">
      <c r="A113" t="s">
        <v>10</v>
      </c>
      <c r="B113" t="s">
        <v>18</v>
      </c>
      <c r="C113" t="s">
        <v>128</v>
      </c>
      <c r="D113">
        <v>59098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25">
      <c r="A114" t="s">
        <v>17</v>
      </c>
      <c r="B114" t="s">
        <v>28</v>
      </c>
      <c r="C114" t="s">
        <v>128</v>
      </c>
      <c r="D114">
        <v>67581</v>
      </c>
      <c r="E114">
        <v>5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25">
      <c r="A115" t="s">
        <v>10</v>
      </c>
      <c r="B115" t="s">
        <v>130</v>
      </c>
      <c r="C115" t="s">
        <v>128</v>
      </c>
      <c r="D115">
        <v>63966</v>
      </c>
      <c r="E115">
        <v>4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25">
      <c r="A116" t="s">
        <v>8</v>
      </c>
      <c r="B116" t="s">
        <v>31</v>
      </c>
      <c r="C116" t="s">
        <v>128</v>
      </c>
      <c r="D116">
        <v>35730</v>
      </c>
      <c r="E116">
        <v>7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25">
      <c r="A117" t="s">
        <v>5</v>
      </c>
      <c r="B117" t="s">
        <v>131</v>
      </c>
      <c r="C117" t="s">
        <v>132</v>
      </c>
      <c r="D117">
        <v>54863</v>
      </c>
      <c r="E117">
        <v>4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25">
      <c r="A118" t="s">
        <v>15</v>
      </c>
      <c r="B118" t="s">
        <v>85</v>
      </c>
      <c r="C118" t="s">
        <v>132</v>
      </c>
      <c r="D118">
        <v>45142</v>
      </c>
      <c r="E118">
        <v>7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25">
      <c r="A119" t="s">
        <v>46</v>
      </c>
      <c r="B119" t="s">
        <v>93</v>
      </c>
      <c r="C119" t="s">
        <v>132</v>
      </c>
      <c r="D119">
        <v>87633</v>
      </c>
      <c r="E119">
        <v>3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25">
      <c r="A120" t="s">
        <v>15</v>
      </c>
      <c r="B120" t="s">
        <v>133</v>
      </c>
      <c r="C120" t="s">
        <v>132</v>
      </c>
      <c r="D120">
        <v>92822</v>
      </c>
      <c r="E120">
        <v>7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25">
      <c r="A121" t="s">
        <v>46</v>
      </c>
      <c r="B121" t="s">
        <v>134</v>
      </c>
      <c r="C121" t="s">
        <v>135</v>
      </c>
      <c r="D121">
        <v>97572</v>
      </c>
      <c r="E121">
        <v>10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25">
      <c r="A122" t="s">
        <v>10</v>
      </c>
      <c r="B122" t="s">
        <v>125</v>
      </c>
      <c r="C122" t="s">
        <v>135</v>
      </c>
      <c r="D122">
        <v>34837</v>
      </c>
      <c r="E122">
        <v>3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25">
      <c r="A123" t="s">
        <v>15</v>
      </c>
      <c r="B123" t="s">
        <v>16</v>
      </c>
      <c r="C123" t="s">
        <v>135</v>
      </c>
      <c r="D123">
        <v>25347</v>
      </c>
      <c r="E123">
        <v>5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25">
      <c r="A124" t="s">
        <v>36</v>
      </c>
      <c r="B124" t="s">
        <v>136</v>
      </c>
      <c r="C124" t="s">
        <v>135</v>
      </c>
      <c r="D124">
        <v>55481</v>
      </c>
      <c r="E124">
        <v>5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25">
      <c r="A125" t="s">
        <v>46</v>
      </c>
      <c r="B125" t="s">
        <v>18</v>
      </c>
      <c r="C125" t="s">
        <v>137</v>
      </c>
      <c r="D125">
        <v>35522</v>
      </c>
      <c r="E125">
        <v>6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25">
      <c r="A126" t="s">
        <v>27</v>
      </c>
      <c r="B126" t="s">
        <v>138</v>
      </c>
      <c r="C126" t="s">
        <v>137</v>
      </c>
      <c r="D126">
        <v>58757</v>
      </c>
      <c r="E126">
        <v>5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25">
      <c r="A127" t="s">
        <v>36</v>
      </c>
      <c r="B127" t="s">
        <v>139</v>
      </c>
      <c r="C127" t="s">
        <v>137</v>
      </c>
      <c r="D127">
        <v>93684</v>
      </c>
      <c r="E127">
        <v>2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25">
      <c r="A128" t="s">
        <v>15</v>
      </c>
      <c r="B128" t="s">
        <v>70</v>
      </c>
      <c r="C128" t="s">
        <v>137</v>
      </c>
      <c r="D128">
        <v>66946</v>
      </c>
      <c r="E128">
        <v>7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25">
      <c r="A129" t="s">
        <v>5</v>
      </c>
      <c r="B129" t="s">
        <v>108</v>
      </c>
      <c r="C129" t="s">
        <v>137</v>
      </c>
      <c r="D129">
        <v>88089</v>
      </c>
      <c r="E129">
        <v>10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25">
      <c r="A130" t="s">
        <v>8</v>
      </c>
      <c r="B130" t="s">
        <v>95</v>
      </c>
      <c r="C130" t="s">
        <v>137</v>
      </c>
      <c r="D130">
        <v>29633</v>
      </c>
      <c r="E130">
        <v>6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25">
      <c r="A131" t="s">
        <v>8</v>
      </c>
      <c r="B131" t="s">
        <v>140</v>
      </c>
      <c r="C131" t="s">
        <v>137</v>
      </c>
      <c r="D131">
        <v>99121</v>
      </c>
      <c r="E131">
        <v>8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25">
      <c r="A132" t="s">
        <v>52</v>
      </c>
      <c r="B132" t="s">
        <v>66</v>
      </c>
      <c r="C132" t="s">
        <v>137</v>
      </c>
      <c r="D132">
        <v>90209</v>
      </c>
      <c r="E132">
        <v>7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25">
      <c r="A133" t="s">
        <v>27</v>
      </c>
      <c r="B133" t="s">
        <v>141</v>
      </c>
      <c r="C133" t="s">
        <v>137</v>
      </c>
      <c r="D133">
        <v>48612</v>
      </c>
      <c r="E133">
        <v>2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25">
      <c r="A134" t="s">
        <v>46</v>
      </c>
      <c r="B134" t="s">
        <v>89</v>
      </c>
      <c r="C134" t="s">
        <v>142</v>
      </c>
      <c r="D134">
        <v>51592</v>
      </c>
      <c r="E134">
        <v>9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25">
      <c r="A135" t="s">
        <v>17</v>
      </c>
      <c r="B135" t="s">
        <v>84</v>
      </c>
      <c r="C135" t="s">
        <v>142</v>
      </c>
      <c r="D135">
        <v>52534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25">
      <c r="A136" t="s">
        <v>46</v>
      </c>
      <c r="B136" t="s">
        <v>70</v>
      </c>
      <c r="C136" t="s">
        <v>143</v>
      </c>
      <c r="D136">
        <v>38227</v>
      </c>
      <c r="E136">
        <v>7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25">
      <c r="A137" t="s">
        <v>15</v>
      </c>
      <c r="B137" t="s">
        <v>144</v>
      </c>
      <c r="C137" t="s">
        <v>145</v>
      </c>
      <c r="D137">
        <v>65472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25">
      <c r="A138" t="s">
        <v>17</v>
      </c>
      <c r="B138" t="s">
        <v>146</v>
      </c>
      <c r="C138" t="s">
        <v>145</v>
      </c>
      <c r="D138">
        <v>68407</v>
      </c>
      <c r="E138">
        <v>6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25">
      <c r="A139" t="s">
        <v>17</v>
      </c>
      <c r="B139" t="s">
        <v>131</v>
      </c>
      <c r="C139" t="s">
        <v>145</v>
      </c>
      <c r="D139">
        <v>92634</v>
      </c>
      <c r="E139">
        <v>5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25">
      <c r="A140" t="s">
        <v>52</v>
      </c>
      <c r="B140" t="s">
        <v>113</v>
      </c>
      <c r="C140" t="s">
        <v>147</v>
      </c>
      <c r="D140">
        <v>13853</v>
      </c>
      <c r="E140">
        <v>6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25">
      <c r="A141" t="s">
        <v>27</v>
      </c>
      <c r="B141" t="s">
        <v>95</v>
      </c>
      <c r="C141" t="s">
        <v>147</v>
      </c>
      <c r="D141">
        <v>10449</v>
      </c>
      <c r="E141">
        <v>8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25">
      <c r="A142" t="s">
        <v>12</v>
      </c>
      <c r="B142" t="s">
        <v>148</v>
      </c>
      <c r="C142" t="s">
        <v>147</v>
      </c>
      <c r="D142">
        <v>47010</v>
      </c>
      <c r="E142">
        <v>9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25">
      <c r="A143" t="s">
        <v>48</v>
      </c>
      <c r="B143" t="s">
        <v>149</v>
      </c>
      <c r="C143" t="s">
        <v>147</v>
      </c>
      <c r="D143">
        <v>74702</v>
      </c>
      <c r="E143">
        <v>8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25">
      <c r="A144" t="s">
        <v>48</v>
      </c>
      <c r="B144" t="s">
        <v>150</v>
      </c>
      <c r="C144" t="s">
        <v>147</v>
      </c>
      <c r="D144">
        <v>20097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25">
      <c r="A145" t="s">
        <v>27</v>
      </c>
      <c r="B145" t="s">
        <v>151</v>
      </c>
      <c r="C145" t="s">
        <v>147</v>
      </c>
      <c r="D145">
        <v>13941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25">
      <c r="A146" t="s">
        <v>12</v>
      </c>
      <c r="B146" t="s">
        <v>86</v>
      </c>
      <c r="C146" t="s">
        <v>147</v>
      </c>
      <c r="D146">
        <v>77550</v>
      </c>
      <c r="E146">
        <v>4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25">
      <c r="A147" t="s">
        <v>8</v>
      </c>
      <c r="B147" t="s">
        <v>47</v>
      </c>
      <c r="C147" t="s">
        <v>152</v>
      </c>
      <c r="D147">
        <v>37613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25">
      <c r="A148" t="s">
        <v>36</v>
      </c>
      <c r="B148" t="s">
        <v>11</v>
      </c>
      <c r="C148" t="s">
        <v>152</v>
      </c>
      <c r="D148">
        <v>12984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25">
      <c r="A149" t="s">
        <v>36</v>
      </c>
      <c r="B149" t="s">
        <v>153</v>
      </c>
      <c r="C149" t="s">
        <v>152</v>
      </c>
      <c r="D149">
        <v>78076</v>
      </c>
      <c r="E149">
        <v>6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25">
      <c r="A150" t="s">
        <v>17</v>
      </c>
      <c r="B150" t="s">
        <v>141</v>
      </c>
      <c r="C150" t="s">
        <v>154</v>
      </c>
      <c r="D150">
        <v>88634</v>
      </c>
      <c r="E150">
        <v>6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25">
      <c r="A151" t="s">
        <v>52</v>
      </c>
      <c r="B151" t="s">
        <v>133</v>
      </c>
      <c r="C151" t="s">
        <v>154</v>
      </c>
      <c r="D151">
        <v>61436</v>
      </c>
      <c r="E151">
        <v>7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25">
      <c r="A152" t="s">
        <v>36</v>
      </c>
      <c r="B152" t="s">
        <v>64</v>
      </c>
      <c r="C152" t="s">
        <v>155</v>
      </c>
      <c r="D152">
        <v>37774</v>
      </c>
      <c r="E152">
        <v>6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25">
      <c r="A153" t="s">
        <v>46</v>
      </c>
      <c r="B153" t="s">
        <v>156</v>
      </c>
      <c r="C153" t="s">
        <v>155</v>
      </c>
      <c r="D153">
        <v>52429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25">
      <c r="A154" t="s">
        <v>52</v>
      </c>
      <c r="B154" t="s">
        <v>45</v>
      </c>
      <c r="C154" t="s">
        <v>155</v>
      </c>
      <c r="D154">
        <v>50968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25">
      <c r="A155" t="s">
        <v>12</v>
      </c>
      <c r="B155" t="s">
        <v>29</v>
      </c>
      <c r="C155" t="s">
        <v>155</v>
      </c>
      <c r="D155">
        <v>64697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25">
      <c r="A156" t="s">
        <v>12</v>
      </c>
      <c r="B156" t="s">
        <v>109</v>
      </c>
      <c r="C156" t="s">
        <v>155</v>
      </c>
      <c r="D156">
        <v>11377</v>
      </c>
      <c r="E156">
        <v>8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25">
      <c r="A157" t="s">
        <v>46</v>
      </c>
      <c r="B157" t="s">
        <v>157</v>
      </c>
      <c r="C157" t="s">
        <v>155</v>
      </c>
      <c r="D157">
        <v>88563</v>
      </c>
      <c r="E157">
        <v>3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25">
      <c r="A158" t="s">
        <v>36</v>
      </c>
      <c r="B158" t="s">
        <v>158</v>
      </c>
      <c r="C158" t="s">
        <v>155</v>
      </c>
      <c r="D158">
        <v>12497</v>
      </c>
      <c r="E158">
        <v>9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25">
      <c r="A159" t="s">
        <v>27</v>
      </c>
      <c r="B159" t="s">
        <v>79</v>
      </c>
      <c r="C159" t="s">
        <v>155</v>
      </c>
      <c r="D159">
        <v>86480</v>
      </c>
      <c r="E159">
        <v>6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25">
      <c r="A160" t="s">
        <v>52</v>
      </c>
      <c r="B160" t="s">
        <v>24</v>
      </c>
      <c r="C160" t="s">
        <v>159</v>
      </c>
      <c r="D160">
        <v>69858</v>
      </c>
      <c r="E160">
        <v>5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25">
      <c r="A161" t="s">
        <v>23</v>
      </c>
      <c r="B161" t="s">
        <v>115</v>
      </c>
      <c r="C161" t="s">
        <v>159</v>
      </c>
      <c r="D161">
        <v>71929</v>
      </c>
      <c r="E161">
        <v>3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25">
      <c r="A162" t="s">
        <v>5</v>
      </c>
      <c r="B162" t="s">
        <v>160</v>
      </c>
      <c r="C162" t="s">
        <v>159</v>
      </c>
      <c r="D162">
        <v>75640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25">
      <c r="A163" t="s">
        <v>36</v>
      </c>
      <c r="B163" t="s">
        <v>161</v>
      </c>
      <c r="C163" t="s">
        <v>162</v>
      </c>
      <c r="D163">
        <v>42959</v>
      </c>
      <c r="E163">
        <v>9</v>
      </c>
      <c r="F163">
        <f t="shared" si="6"/>
        <v>2023</v>
      </c>
      <c r="G163">
        <f t="shared" si="7"/>
        <v>11</v>
      </c>
      <c r="H163" t="str">
        <f t="shared" si="8"/>
        <v>2023-11</v>
      </c>
    </row>
    <row r="164" spans="1:8" x14ac:dyDescent="0.25">
      <c r="A164" t="s">
        <v>46</v>
      </c>
      <c r="B164" t="s">
        <v>163</v>
      </c>
      <c r="C164" t="s">
        <v>162</v>
      </c>
      <c r="D164">
        <v>28242</v>
      </c>
      <c r="E164">
        <v>4</v>
      </c>
      <c r="F164">
        <f t="shared" si="6"/>
        <v>2023</v>
      </c>
      <c r="G164">
        <f t="shared" si="7"/>
        <v>11</v>
      </c>
      <c r="H164" t="str">
        <f t="shared" si="8"/>
        <v>2023-11</v>
      </c>
    </row>
    <row r="165" spans="1:8" x14ac:dyDescent="0.25">
      <c r="A165" t="s">
        <v>17</v>
      </c>
      <c r="B165" t="s">
        <v>108</v>
      </c>
      <c r="C165" t="s">
        <v>162</v>
      </c>
      <c r="D165">
        <v>53697</v>
      </c>
      <c r="E165">
        <v>5</v>
      </c>
      <c r="F165">
        <f t="shared" si="6"/>
        <v>2023</v>
      </c>
      <c r="G165">
        <f t="shared" si="7"/>
        <v>11</v>
      </c>
      <c r="H165" t="str">
        <f t="shared" si="8"/>
        <v>2023-11</v>
      </c>
    </row>
    <row r="166" spans="1:8" x14ac:dyDescent="0.25">
      <c r="A166" t="s">
        <v>8</v>
      </c>
      <c r="B166" t="s">
        <v>73</v>
      </c>
      <c r="C166" t="s">
        <v>164</v>
      </c>
      <c r="D166">
        <v>52329</v>
      </c>
      <c r="E166">
        <v>5</v>
      </c>
      <c r="F166">
        <f t="shared" si="6"/>
        <v>2023</v>
      </c>
      <c r="G166">
        <f t="shared" si="7"/>
        <v>11</v>
      </c>
      <c r="H166" t="str">
        <f t="shared" si="8"/>
        <v>2023-11</v>
      </c>
    </row>
    <row r="167" spans="1:8" x14ac:dyDescent="0.25">
      <c r="A167" t="s">
        <v>46</v>
      </c>
      <c r="B167" t="s">
        <v>165</v>
      </c>
      <c r="C167" t="s">
        <v>164</v>
      </c>
      <c r="D167">
        <v>72547</v>
      </c>
      <c r="E167">
        <v>4</v>
      </c>
      <c r="F167">
        <f t="shared" si="6"/>
        <v>2023</v>
      </c>
      <c r="G167">
        <f t="shared" si="7"/>
        <v>11</v>
      </c>
      <c r="H167" t="str">
        <f t="shared" si="8"/>
        <v>2023-11</v>
      </c>
    </row>
    <row r="168" spans="1:8" x14ac:dyDescent="0.25">
      <c r="A168" t="s">
        <v>10</v>
      </c>
      <c r="B168" t="s">
        <v>166</v>
      </c>
      <c r="C168" t="s">
        <v>167</v>
      </c>
      <c r="D168">
        <v>24731</v>
      </c>
      <c r="E168">
        <v>9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spans="1:8" x14ac:dyDescent="0.25">
      <c r="A169" t="s">
        <v>36</v>
      </c>
      <c r="B169" t="s">
        <v>168</v>
      </c>
      <c r="C169" t="s">
        <v>167</v>
      </c>
      <c r="D169">
        <v>57759</v>
      </c>
      <c r="E169">
        <v>7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x14ac:dyDescent="0.25">
      <c r="A170" t="s">
        <v>36</v>
      </c>
      <c r="B170" t="s">
        <v>134</v>
      </c>
      <c r="C170" t="s">
        <v>167</v>
      </c>
      <c r="D170">
        <v>19813</v>
      </c>
      <c r="E170">
        <v>6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x14ac:dyDescent="0.25">
      <c r="A171" t="s">
        <v>8</v>
      </c>
      <c r="B171" t="s">
        <v>75</v>
      </c>
      <c r="C171" t="s">
        <v>169</v>
      </c>
      <c r="D171">
        <v>83204</v>
      </c>
      <c r="E171">
        <v>8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x14ac:dyDescent="0.25">
      <c r="A172" t="s">
        <v>23</v>
      </c>
      <c r="B172" t="s">
        <v>170</v>
      </c>
      <c r="C172" t="s">
        <v>169</v>
      </c>
      <c r="D172">
        <v>86796</v>
      </c>
      <c r="E172">
        <v>3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x14ac:dyDescent="0.25">
      <c r="A173" t="s">
        <v>48</v>
      </c>
      <c r="B173" t="s">
        <v>87</v>
      </c>
      <c r="C173" t="s">
        <v>169</v>
      </c>
      <c r="D173">
        <v>17540</v>
      </c>
      <c r="E173">
        <v>9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x14ac:dyDescent="0.25">
      <c r="A174" t="s">
        <v>46</v>
      </c>
      <c r="B174" t="s">
        <v>171</v>
      </c>
      <c r="C174" t="s">
        <v>169</v>
      </c>
      <c r="D174">
        <v>35800</v>
      </c>
      <c r="E174">
        <v>3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25">
      <c r="A175" t="s">
        <v>23</v>
      </c>
      <c r="B175" t="s">
        <v>172</v>
      </c>
      <c r="C175" t="s">
        <v>169</v>
      </c>
      <c r="D175">
        <v>47408</v>
      </c>
      <c r="E175">
        <v>4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25">
      <c r="A176" t="s">
        <v>46</v>
      </c>
      <c r="B176" t="s">
        <v>20</v>
      </c>
      <c r="C176" t="s">
        <v>169</v>
      </c>
      <c r="D176">
        <v>71814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25">
      <c r="A177" t="s">
        <v>36</v>
      </c>
      <c r="B177" t="s">
        <v>63</v>
      </c>
      <c r="C177" t="s">
        <v>169</v>
      </c>
      <c r="D177">
        <v>45873</v>
      </c>
      <c r="E177">
        <v>6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25">
      <c r="A178" t="s">
        <v>5</v>
      </c>
      <c r="B178" t="s">
        <v>173</v>
      </c>
      <c r="C178" t="s">
        <v>169</v>
      </c>
      <c r="D178">
        <v>69074</v>
      </c>
      <c r="E178">
        <v>9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25">
      <c r="A179" t="s">
        <v>23</v>
      </c>
      <c r="B179" t="s">
        <v>121</v>
      </c>
      <c r="C179" t="s">
        <v>174</v>
      </c>
      <c r="D179">
        <v>31128</v>
      </c>
      <c r="E179">
        <v>6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25">
      <c r="A180" t="s">
        <v>8</v>
      </c>
      <c r="B180" t="s">
        <v>136</v>
      </c>
      <c r="C180" t="s">
        <v>174</v>
      </c>
      <c r="D180">
        <v>97308</v>
      </c>
      <c r="E180">
        <v>9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25">
      <c r="A181" t="s">
        <v>17</v>
      </c>
      <c r="B181" t="s">
        <v>53</v>
      </c>
      <c r="C181" t="s">
        <v>174</v>
      </c>
      <c r="D181">
        <v>84213</v>
      </c>
      <c r="E181">
        <v>7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25">
      <c r="A182" t="s">
        <v>48</v>
      </c>
      <c r="B182" t="s">
        <v>175</v>
      </c>
      <c r="C182" t="s">
        <v>176</v>
      </c>
      <c r="D182">
        <v>11713</v>
      </c>
      <c r="E182">
        <v>10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25">
      <c r="A183" t="s">
        <v>36</v>
      </c>
      <c r="B183" t="s">
        <v>71</v>
      </c>
      <c r="C183" t="s">
        <v>176</v>
      </c>
      <c r="D183">
        <v>97851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25">
      <c r="A184" t="s">
        <v>23</v>
      </c>
      <c r="B184" t="s">
        <v>29</v>
      </c>
      <c r="C184" t="s">
        <v>177</v>
      </c>
      <c r="D184">
        <v>26676</v>
      </c>
      <c r="E184">
        <v>2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25">
      <c r="A185" t="s">
        <v>23</v>
      </c>
      <c r="B185" t="s">
        <v>87</v>
      </c>
      <c r="C185" t="s">
        <v>178</v>
      </c>
      <c r="D185">
        <v>48500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25">
      <c r="A186" t="s">
        <v>8</v>
      </c>
      <c r="B186" t="s">
        <v>73</v>
      </c>
      <c r="C186" t="s">
        <v>178</v>
      </c>
      <c r="D186">
        <v>62279</v>
      </c>
      <c r="E186">
        <v>9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25">
      <c r="A187" t="s">
        <v>8</v>
      </c>
      <c r="B187" t="s">
        <v>20</v>
      </c>
      <c r="C187" t="s">
        <v>179</v>
      </c>
      <c r="D187">
        <v>57205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25">
      <c r="A188" t="s">
        <v>23</v>
      </c>
      <c r="B188" t="s">
        <v>146</v>
      </c>
      <c r="C188" t="s">
        <v>179</v>
      </c>
      <c r="D188">
        <v>75758</v>
      </c>
      <c r="E188">
        <v>7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25">
      <c r="A189" t="s">
        <v>15</v>
      </c>
      <c r="B189" t="s">
        <v>180</v>
      </c>
      <c r="C189" t="s">
        <v>179</v>
      </c>
      <c r="D189">
        <v>51831</v>
      </c>
      <c r="E189">
        <v>9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25">
      <c r="A190" t="s">
        <v>15</v>
      </c>
      <c r="B190" t="s">
        <v>181</v>
      </c>
      <c r="C190" t="s">
        <v>179</v>
      </c>
      <c r="D190">
        <v>72148</v>
      </c>
      <c r="E190">
        <v>4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25">
      <c r="A191" t="s">
        <v>46</v>
      </c>
      <c r="B191" t="s">
        <v>171</v>
      </c>
      <c r="C191" t="s">
        <v>179</v>
      </c>
      <c r="D191">
        <v>40261</v>
      </c>
      <c r="E191">
        <v>4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25">
      <c r="A192" t="s">
        <v>15</v>
      </c>
      <c r="B192" t="s">
        <v>63</v>
      </c>
      <c r="C192" t="s">
        <v>179</v>
      </c>
      <c r="D192">
        <v>33189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25">
      <c r="A193" t="s">
        <v>46</v>
      </c>
      <c r="B193" t="s">
        <v>134</v>
      </c>
      <c r="C193" t="s">
        <v>182</v>
      </c>
      <c r="D193">
        <v>62405</v>
      </c>
      <c r="E193">
        <v>2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25">
      <c r="A194" t="s">
        <v>36</v>
      </c>
      <c r="B194" t="s">
        <v>55</v>
      </c>
      <c r="C194" t="s">
        <v>183</v>
      </c>
      <c r="D194">
        <v>49208</v>
      </c>
      <c r="E194">
        <v>6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25">
      <c r="A195" t="s">
        <v>23</v>
      </c>
      <c r="B195" t="s">
        <v>184</v>
      </c>
      <c r="C195" t="s">
        <v>183</v>
      </c>
      <c r="D195">
        <v>76757</v>
      </c>
      <c r="E195">
        <v>6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25">
      <c r="A196" t="s">
        <v>46</v>
      </c>
      <c r="B196" t="s">
        <v>103</v>
      </c>
      <c r="C196" t="s">
        <v>183</v>
      </c>
      <c r="D196">
        <v>73951</v>
      </c>
      <c r="E196">
        <v>6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25">
      <c r="A197" t="s">
        <v>52</v>
      </c>
      <c r="B197" t="s">
        <v>185</v>
      </c>
      <c r="C197" t="s">
        <v>183</v>
      </c>
      <c r="D197">
        <v>71525</v>
      </c>
      <c r="E197">
        <v>5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25">
      <c r="A198" t="s">
        <v>48</v>
      </c>
      <c r="B198" t="s">
        <v>74</v>
      </c>
      <c r="C198" t="s">
        <v>183</v>
      </c>
      <c r="D198">
        <v>54574</v>
      </c>
      <c r="E198">
        <v>5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25">
      <c r="A199" t="s">
        <v>48</v>
      </c>
      <c r="B199" t="s">
        <v>130</v>
      </c>
      <c r="C199" t="s">
        <v>186</v>
      </c>
      <c r="D199">
        <v>65301</v>
      </c>
      <c r="E199">
        <v>1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25">
      <c r="A200" t="s">
        <v>46</v>
      </c>
      <c r="B200" t="s">
        <v>187</v>
      </c>
      <c r="C200" t="s">
        <v>186</v>
      </c>
      <c r="D200">
        <v>74965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25">
      <c r="A201" t="s">
        <v>23</v>
      </c>
      <c r="B201" t="s">
        <v>188</v>
      </c>
      <c r="C201" t="s">
        <v>186</v>
      </c>
      <c r="D201">
        <v>61428</v>
      </c>
      <c r="E201">
        <v>4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25">
      <c r="A202" t="s">
        <v>52</v>
      </c>
      <c r="B202" t="s">
        <v>41</v>
      </c>
      <c r="C202" t="s">
        <v>189</v>
      </c>
      <c r="D202">
        <v>82079</v>
      </c>
      <c r="E202">
        <v>5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25">
      <c r="A203" t="s">
        <v>46</v>
      </c>
      <c r="B203" t="s">
        <v>190</v>
      </c>
      <c r="C203" t="s">
        <v>189</v>
      </c>
      <c r="D203">
        <v>75356</v>
      </c>
      <c r="E203">
        <v>3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25">
      <c r="A204" t="s">
        <v>17</v>
      </c>
      <c r="B204" t="s">
        <v>37</v>
      </c>
      <c r="C204" t="s">
        <v>189</v>
      </c>
      <c r="D204">
        <v>97247</v>
      </c>
      <c r="E204">
        <v>8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25">
      <c r="A205" t="s">
        <v>23</v>
      </c>
      <c r="B205" t="s">
        <v>115</v>
      </c>
      <c r="C205" t="s">
        <v>189</v>
      </c>
      <c r="D205">
        <v>63813</v>
      </c>
      <c r="E205">
        <v>9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25">
      <c r="A206" t="s">
        <v>5</v>
      </c>
      <c r="B206" t="s">
        <v>138</v>
      </c>
      <c r="C206" t="s">
        <v>189</v>
      </c>
      <c r="D206">
        <v>30076</v>
      </c>
      <c r="E206">
        <v>9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25">
      <c r="A207" t="s">
        <v>8</v>
      </c>
      <c r="B207" t="s">
        <v>191</v>
      </c>
      <c r="C207" t="s">
        <v>189</v>
      </c>
      <c r="D207">
        <v>50520</v>
      </c>
      <c r="E207">
        <v>1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25">
      <c r="A208" t="s">
        <v>36</v>
      </c>
      <c r="B208" t="s">
        <v>107</v>
      </c>
      <c r="C208" t="s">
        <v>189</v>
      </c>
      <c r="D208">
        <v>53204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25">
      <c r="A209" t="s">
        <v>52</v>
      </c>
      <c r="B209" t="s">
        <v>66</v>
      </c>
      <c r="C209" t="s">
        <v>189</v>
      </c>
      <c r="D209">
        <v>62239</v>
      </c>
      <c r="E209">
        <v>6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25">
      <c r="A210" t="s">
        <v>23</v>
      </c>
      <c r="B210" t="s">
        <v>121</v>
      </c>
      <c r="C210" t="s">
        <v>189</v>
      </c>
      <c r="D210">
        <v>38904</v>
      </c>
      <c r="E210">
        <v>6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25">
      <c r="A211" t="s">
        <v>15</v>
      </c>
      <c r="B211" t="s">
        <v>188</v>
      </c>
      <c r="C211" t="s">
        <v>189</v>
      </c>
      <c r="D211">
        <v>63215</v>
      </c>
      <c r="E211">
        <v>8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25">
      <c r="A212" t="s">
        <v>23</v>
      </c>
      <c r="B212" t="s">
        <v>138</v>
      </c>
      <c r="C212" t="s">
        <v>189</v>
      </c>
      <c r="D212">
        <v>20029</v>
      </c>
      <c r="E212">
        <v>5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25">
      <c r="A213" t="s">
        <v>36</v>
      </c>
      <c r="B213" t="s">
        <v>68</v>
      </c>
      <c r="C213" t="s">
        <v>192</v>
      </c>
      <c r="D213">
        <v>34489</v>
      </c>
      <c r="E213">
        <v>6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25">
      <c r="A214" t="s">
        <v>17</v>
      </c>
      <c r="B214" t="s">
        <v>193</v>
      </c>
      <c r="C214" t="s">
        <v>192</v>
      </c>
      <c r="D214">
        <v>26695</v>
      </c>
      <c r="E214">
        <v>7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25">
      <c r="A215" t="s">
        <v>10</v>
      </c>
      <c r="B215" t="s">
        <v>95</v>
      </c>
      <c r="C215" t="s">
        <v>192</v>
      </c>
      <c r="D215">
        <v>23438</v>
      </c>
      <c r="E215">
        <v>7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25">
      <c r="A216" t="s">
        <v>15</v>
      </c>
      <c r="B216" t="s">
        <v>180</v>
      </c>
      <c r="C216" t="s">
        <v>194</v>
      </c>
      <c r="D216">
        <v>45632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25">
      <c r="A217" t="s">
        <v>10</v>
      </c>
      <c r="B217" t="s">
        <v>195</v>
      </c>
      <c r="C217" t="s">
        <v>196</v>
      </c>
      <c r="D217">
        <v>43175</v>
      </c>
      <c r="E217">
        <v>5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25">
      <c r="A218" t="s">
        <v>52</v>
      </c>
      <c r="B218" t="s">
        <v>171</v>
      </c>
      <c r="C218" t="s">
        <v>196</v>
      </c>
      <c r="D218">
        <v>39854</v>
      </c>
      <c r="E218">
        <v>3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25">
      <c r="A219" t="s">
        <v>27</v>
      </c>
      <c r="B219" t="s">
        <v>74</v>
      </c>
      <c r="C219" t="s">
        <v>196</v>
      </c>
      <c r="D219">
        <v>11404</v>
      </c>
      <c r="E219">
        <v>9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25">
      <c r="A220" t="s">
        <v>17</v>
      </c>
      <c r="B220" t="s">
        <v>130</v>
      </c>
      <c r="C220" t="s">
        <v>196</v>
      </c>
      <c r="D220">
        <v>75683</v>
      </c>
      <c r="E220">
        <v>7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25">
      <c r="A221" t="s">
        <v>12</v>
      </c>
      <c r="B221" t="s">
        <v>197</v>
      </c>
      <c r="C221" t="s">
        <v>196</v>
      </c>
      <c r="D221">
        <v>38313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25">
      <c r="A222" t="s">
        <v>23</v>
      </c>
      <c r="B222" t="s">
        <v>198</v>
      </c>
      <c r="C222" t="s">
        <v>199</v>
      </c>
      <c r="D222">
        <v>90918</v>
      </c>
      <c r="E222">
        <v>9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25">
      <c r="A223" t="s">
        <v>46</v>
      </c>
      <c r="B223" t="s">
        <v>60</v>
      </c>
      <c r="C223" t="s">
        <v>199</v>
      </c>
      <c r="D223">
        <v>80209</v>
      </c>
      <c r="E223">
        <v>3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25">
      <c r="A224" t="s">
        <v>8</v>
      </c>
      <c r="B224" t="s">
        <v>200</v>
      </c>
      <c r="C224" t="s">
        <v>199</v>
      </c>
      <c r="D224">
        <v>11483</v>
      </c>
      <c r="E224">
        <v>3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25">
      <c r="A225" t="s">
        <v>12</v>
      </c>
      <c r="B225" t="s">
        <v>184</v>
      </c>
      <c r="C225" t="s">
        <v>201</v>
      </c>
      <c r="D225">
        <v>23772</v>
      </c>
      <c r="E225">
        <v>6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25">
      <c r="A226" t="s">
        <v>46</v>
      </c>
      <c r="B226" t="s">
        <v>93</v>
      </c>
      <c r="C226" t="s">
        <v>201</v>
      </c>
      <c r="D226">
        <v>23957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25">
      <c r="A227" t="s">
        <v>27</v>
      </c>
      <c r="B227" t="s">
        <v>60</v>
      </c>
      <c r="C227" t="s">
        <v>201</v>
      </c>
      <c r="D227">
        <v>49960</v>
      </c>
      <c r="E227">
        <v>6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25">
      <c r="A228" t="s">
        <v>10</v>
      </c>
      <c r="B228" t="s">
        <v>39</v>
      </c>
      <c r="C228" t="s">
        <v>201</v>
      </c>
      <c r="D228">
        <v>13334</v>
      </c>
      <c r="E228">
        <v>5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25">
      <c r="A229" t="s">
        <v>8</v>
      </c>
      <c r="B229" t="s">
        <v>60</v>
      </c>
      <c r="C229" t="s">
        <v>201</v>
      </c>
      <c r="D229">
        <v>55322</v>
      </c>
      <c r="E229">
        <v>3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25">
      <c r="A230" t="s">
        <v>48</v>
      </c>
      <c r="B230" t="s">
        <v>198</v>
      </c>
      <c r="C230" t="s">
        <v>201</v>
      </c>
      <c r="D230">
        <v>12730</v>
      </c>
      <c r="E230">
        <v>6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25">
      <c r="A231" t="s">
        <v>36</v>
      </c>
      <c r="B231" t="s">
        <v>57</v>
      </c>
      <c r="C231" t="s">
        <v>201</v>
      </c>
      <c r="D231">
        <v>99001</v>
      </c>
      <c r="E231">
        <v>5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25">
      <c r="A232" t="s">
        <v>12</v>
      </c>
      <c r="B232" t="s">
        <v>202</v>
      </c>
      <c r="C232" t="s">
        <v>201</v>
      </c>
      <c r="D232">
        <v>15789</v>
      </c>
      <c r="E232">
        <v>9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25">
      <c r="A233" t="s">
        <v>15</v>
      </c>
      <c r="B233" t="s">
        <v>203</v>
      </c>
      <c r="C233" t="s">
        <v>204</v>
      </c>
      <c r="D233">
        <v>88966</v>
      </c>
      <c r="E233">
        <v>6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25">
      <c r="A234" t="s">
        <v>23</v>
      </c>
      <c r="B234" t="s">
        <v>68</v>
      </c>
      <c r="C234" t="s">
        <v>205</v>
      </c>
      <c r="D234">
        <v>82875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25">
      <c r="A235" t="s">
        <v>10</v>
      </c>
      <c r="B235" t="s">
        <v>56</v>
      </c>
      <c r="C235" t="s">
        <v>205</v>
      </c>
      <c r="D235">
        <v>49414</v>
      </c>
      <c r="E235">
        <v>4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25">
      <c r="A236" t="s">
        <v>8</v>
      </c>
      <c r="B236" t="s">
        <v>206</v>
      </c>
      <c r="C236" t="s">
        <v>205</v>
      </c>
      <c r="D236">
        <v>81877</v>
      </c>
      <c r="E236">
        <v>5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25">
      <c r="A237" t="s">
        <v>17</v>
      </c>
      <c r="B237" t="s">
        <v>40</v>
      </c>
      <c r="C237" t="s">
        <v>205</v>
      </c>
      <c r="D237">
        <v>27602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25">
      <c r="A238" t="s">
        <v>10</v>
      </c>
      <c r="B238" t="s">
        <v>207</v>
      </c>
      <c r="C238" t="s">
        <v>208</v>
      </c>
      <c r="D238">
        <v>79007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25">
      <c r="A239" t="s">
        <v>17</v>
      </c>
      <c r="B239" t="s">
        <v>209</v>
      </c>
      <c r="C239" t="s">
        <v>210</v>
      </c>
      <c r="D239">
        <v>45476</v>
      </c>
      <c r="E239">
        <v>3</v>
      </c>
      <c r="F239">
        <f t="shared" si="9"/>
        <v>2023</v>
      </c>
      <c r="G239">
        <f t="shared" si="10"/>
        <v>12</v>
      </c>
      <c r="H239" t="str">
        <f t="shared" si="11"/>
        <v>2023-12</v>
      </c>
    </row>
    <row r="240" spans="1:8" x14ac:dyDescent="0.25">
      <c r="A240" t="s">
        <v>48</v>
      </c>
      <c r="B240" t="s">
        <v>6</v>
      </c>
      <c r="C240" t="s">
        <v>211</v>
      </c>
      <c r="D240">
        <v>64376</v>
      </c>
      <c r="E240">
        <v>8</v>
      </c>
      <c r="F240">
        <f t="shared" si="9"/>
        <v>2023</v>
      </c>
      <c r="G240">
        <f t="shared" si="10"/>
        <v>12</v>
      </c>
      <c r="H240" t="str">
        <f t="shared" si="11"/>
        <v>2023-12</v>
      </c>
    </row>
    <row r="241" spans="1:8" x14ac:dyDescent="0.25">
      <c r="A241" t="s">
        <v>5</v>
      </c>
      <c r="B241" t="s">
        <v>206</v>
      </c>
      <c r="C241" t="s">
        <v>211</v>
      </c>
      <c r="D241">
        <v>11363</v>
      </c>
      <c r="E241">
        <v>4</v>
      </c>
      <c r="F241">
        <f t="shared" si="9"/>
        <v>2023</v>
      </c>
      <c r="G241">
        <f t="shared" si="10"/>
        <v>12</v>
      </c>
      <c r="H241" t="str">
        <f t="shared" si="11"/>
        <v>2023-12</v>
      </c>
    </row>
    <row r="242" spans="1:8" x14ac:dyDescent="0.25">
      <c r="A242" t="s">
        <v>15</v>
      </c>
      <c r="B242" t="s">
        <v>181</v>
      </c>
      <c r="C242" t="s">
        <v>211</v>
      </c>
      <c r="D242">
        <v>63976</v>
      </c>
      <c r="E242">
        <v>7</v>
      </c>
      <c r="F242">
        <f t="shared" si="9"/>
        <v>2023</v>
      </c>
      <c r="G242">
        <f t="shared" si="10"/>
        <v>12</v>
      </c>
      <c r="H242" t="str">
        <f t="shared" si="11"/>
        <v>2023-12</v>
      </c>
    </row>
    <row r="243" spans="1:8" x14ac:dyDescent="0.25">
      <c r="A243" t="s">
        <v>17</v>
      </c>
      <c r="B243" t="s">
        <v>180</v>
      </c>
      <c r="C243" t="s">
        <v>211</v>
      </c>
      <c r="D243">
        <v>63614</v>
      </c>
      <c r="E243">
        <v>7</v>
      </c>
      <c r="F243">
        <f t="shared" si="9"/>
        <v>2023</v>
      </c>
      <c r="G243">
        <f t="shared" si="10"/>
        <v>12</v>
      </c>
      <c r="H243" t="str">
        <f t="shared" si="11"/>
        <v>2023-12</v>
      </c>
    </row>
    <row r="244" spans="1:8" x14ac:dyDescent="0.25">
      <c r="A244" t="s">
        <v>46</v>
      </c>
      <c r="B244" t="s">
        <v>56</v>
      </c>
      <c r="C244" t="s">
        <v>211</v>
      </c>
      <c r="D244">
        <v>51423</v>
      </c>
      <c r="E244">
        <v>8</v>
      </c>
      <c r="F244">
        <f t="shared" si="9"/>
        <v>2023</v>
      </c>
      <c r="G244">
        <f t="shared" si="10"/>
        <v>12</v>
      </c>
      <c r="H244" t="str">
        <f t="shared" si="11"/>
        <v>2023-12</v>
      </c>
    </row>
    <row r="245" spans="1:8" x14ac:dyDescent="0.25">
      <c r="A245" t="s">
        <v>48</v>
      </c>
      <c r="B245" t="s">
        <v>98</v>
      </c>
      <c r="C245" t="s">
        <v>211</v>
      </c>
      <c r="D245">
        <v>94683</v>
      </c>
      <c r="E245">
        <v>7</v>
      </c>
      <c r="F245">
        <f t="shared" si="9"/>
        <v>2023</v>
      </c>
      <c r="G245">
        <f t="shared" si="10"/>
        <v>12</v>
      </c>
      <c r="H245" t="str">
        <f t="shared" si="11"/>
        <v>2023-12</v>
      </c>
    </row>
    <row r="246" spans="1:8" x14ac:dyDescent="0.25">
      <c r="A246" t="s">
        <v>36</v>
      </c>
      <c r="B246" t="s">
        <v>108</v>
      </c>
      <c r="C246" t="s">
        <v>211</v>
      </c>
      <c r="D246">
        <v>31243</v>
      </c>
      <c r="E246">
        <v>6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spans="1:8" x14ac:dyDescent="0.25">
      <c r="A247" t="s">
        <v>8</v>
      </c>
      <c r="B247" t="s">
        <v>61</v>
      </c>
      <c r="C247" t="s">
        <v>211</v>
      </c>
      <c r="D247">
        <v>36254</v>
      </c>
      <c r="E247">
        <v>0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spans="1:8" x14ac:dyDescent="0.25">
      <c r="A248" t="s">
        <v>48</v>
      </c>
      <c r="B248" t="s">
        <v>63</v>
      </c>
      <c r="C248" t="s">
        <v>211</v>
      </c>
      <c r="D248">
        <v>46069</v>
      </c>
      <c r="E248">
        <v>9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spans="1:8" x14ac:dyDescent="0.25">
      <c r="A249" t="s">
        <v>23</v>
      </c>
      <c r="B249" t="s">
        <v>212</v>
      </c>
      <c r="C249" t="s">
        <v>211</v>
      </c>
      <c r="D249">
        <v>85081</v>
      </c>
      <c r="E249">
        <v>5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spans="1:8" x14ac:dyDescent="0.25">
      <c r="A250" t="s">
        <v>12</v>
      </c>
      <c r="B250" t="s">
        <v>79</v>
      </c>
      <c r="C250" t="s">
        <v>211</v>
      </c>
      <c r="D250">
        <v>48093</v>
      </c>
      <c r="E250">
        <v>7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spans="1:8" x14ac:dyDescent="0.25">
      <c r="A251" t="s">
        <v>17</v>
      </c>
      <c r="B251" t="s">
        <v>57</v>
      </c>
      <c r="C251" t="s">
        <v>211</v>
      </c>
      <c r="D251">
        <v>87984</v>
      </c>
      <c r="E251">
        <v>8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 x14ac:dyDescent="0.25">
      <c r="A252" t="s">
        <v>17</v>
      </c>
      <c r="B252" t="s">
        <v>105</v>
      </c>
      <c r="C252" t="s">
        <v>211</v>
      </c>
      <c r="D252">
        <v>82496</v>
      </c>
      <c r="E252">
        <v>5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x14ac:dyDescent="0.25">
      <c r="A253" t="s">
        <v>52</v>
      </c>
      <c r="B253" t="s">
        <v>101</v>
      </c>
      <c r="C253" t="s">
        <v>213</v>
      </c>
      <c r="D253">
        <v>35689</v>
      </c>
      <c r="E253">
        <v>8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25">
      <c r="A254" t="s">
        <v>5</v>
      </c>
      <c r="B254" t="s">
        <v>191</v>
      </c>
      <c r="C254" t="s">
        <v>213</v>
      </c>
      <c r="D254">
        <v>33339</v>
      </c>
      <c r="E254">
        <v>3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x14ac:dyDescent="0.25">
      <c r="A255" t="s">
        <v>48</v>
      </c>
      <c r="B255" t="s">
        <v>138</v>
      </c>
      <c r="C255" t="s">
        <v>213</v>
      </c>
      <c r="D255">
        <v>15032</v>
      </c>
      <c r="E255">
        <v>6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25">
      <c r="A256" t="s">
        <v>17</v>
      </c>
      <c r="B256" t="s">
        <v>126</v>
      </c>
      <c r="C256" t="s">
        <v>213</v>
      </c>
      <c r="D256">
        <v>92693</v>
      </c>
      <c r="E256">
        <v>8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25">
      <c r="A257" t="s">
        <v>52</v>
      </c>
      <c r="B257" t="s">
        <v>214</v>
      </c>
      <c r="C257" t="s">
        <v>215</v>
      </c>
      <c r="D257">
        <v>27905</v>
      </c>
      <c r="E257">
        <v>5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25">
      <c r="A258" t="s">
        <v>23</v>
      </c>
      <c r="B258" t="s">
        <v>216</v>
      </c>
      <c r="C258" t="s">
        <v>215</v>
      </c>
      <c r="D258">
        <v>46375</v>
      </c>
      <c r="E258">
        <v>2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25">
      <c r="A259" t="s">
        <v>15</v>
      </c>
      <c r="B259" t="s">
        <v>163</v>
      </c>
      <c r="C259" t="s">
        <v>215</v>
      </c>
      <c r="D259">
        <v>57523</v>
      </c>
      <c r="E259">
        <v>7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x14ac:dyDescent="0.25">
      <c r="A260" t="s">
        <v>5</v>
      </c>
      <c r="B260" t="s">
        <v>175</v>
      </c>
      <c r="C260" t="s">
        <v>215</v>
      </c>
      <c r="D260">
        <v>78009</v>
      </c>
      <c r="E260">
        <v>2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25">
      <c r="A261" t="s">
        <v>46</v>
      </c>
      <c r="B261" t="s">
        <v>116</v>
      </c>
      <c r="C261" t="s">
        <v>217</v>
      </c>
      <c r="D261">
        <v>62578</v>
      </c>
      <c r="E261">
        <v>9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25">
      <c r="A262" t="s">
        <v>15</v>
      </c>
      <c r="B262" t="s">
        <v>150</v>
      </c>
      <c r="C262" t="s">
        <v>217</v>
      </c>
      <c r="D262">
        <v>34414</v>
      </c>
      <c r="E262">
        <v>4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25">
      <c r="A263" t="s">
        <v>46</v>
      </c>
      <c r="B263" t="s">
        <v>97</v>
      </c>
      <c r="C263" t="s">
        <v>218</v>
      </c>
      <c r="D263">
        <v>13161</v>
      </c>
      <c r="E263">
        <v>7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25">
      <c r="A264" t="s">
        <v>52</v>
      </c>
      <c r="B264" t="s">
        <v>101</v>
      </c>
      <c r="C264" t="s">
        <v>218</v>
      </c>
      <c r="D264">
        <v>12387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25">
      <c r="A265" t="s">
        <v>5</v>
      </c>
      <c r="B265" t="s">
        <v>219</v>
      </c>
      <c r="C265" t="s">
        <v>220</v>
      </c>
      <c r="D265">
        <v>61090</v>
      </c>
      <c r="E265">
        <v>10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25">
      <c r="A266" t="s">
        <v>5</v>
      </c>
      <c r="B266" t="s">
        <v>129</v>
      </c>
      <c r="C266" t="s">
        <v>220</v>
      </c>
      <c r="D266">
        <v>23589</v>
      </c>
      <c r="E266">
        <v>0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25">
      <c r="A267" t="s">
        <v>23</v>
      </c>
      <c r="B267" t="s">
        <v>216</v>
      </c>
      <c r="C267" t="s">
        <v>220</v>
      </c>
      <c r="D267">
        <v>27727</v>
      </c>
      <c r="E267">
        <v>6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25">
      <c r="A268" t="s">
        <v>15</v>
      </c>
      <c r="B268" t="s">
        <v>34</v>
      </c>
      <c r="C268" t="s">
        <v>220</v>
      </c>
      <c r="D268">
        <v>47192</v>
      </c>
      <c r="E268">
        <v>8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25">
      <c r="A269" t="s">
        <v>15</v>
      </c>
      <c r="B269" t="s">
        <v>86</v>
      </c>
      <c r="C269" t="s">
        <v>221</v>
      </c>
      <c r="D269">
        <v>51862</v>
      </c>
      <c r="E269">
        <v>8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25">
      <c r="A270" t="s">
        <v>17</v>
      </c>
      <c r="B270" t="s">
        <v>59</v>
      </c>
      <c r="C270" t="s">
        <v>221</v>
      </c>
      <c r="D270">
        <v>67259</v>
      </c>
      <c r="E270">
        <v>3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25">
      <c r="A271" t="s">
        <v>48</v>
      </c>
      <c r="B271" t="s">
        <v>77</v>
      </c>
      <c r="C271" t="s">
        <v>221</v>
      </c>
      <c r="D271">
        <v>44370</v>
      </c>
      <c r="E271">
        <v>5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25">
      <c r="A272" t="s">
        <v>36</v>
      </c>
      <c r="B272" t="s">
        <v>47</v>
      </c>
      <c r="C272" t="s">
        <v>222</v>
      </c>
      <c r="D272">
        <v>90041</v>
      </c>
      <c r="E272">
        <v>6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25">
      <c r="A273" t="s">
        <v>36</v>
      </c>
      <c r="B273" t="s">
        <v>38</v>
      </c>
      <c r="C273" t="s">
        <v>222</v>
      </c>
      <c r="D273">
        <v>78924</v>
      </c>
      <c r="E273">
        <v>10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25">
      <c r="A274" t="s">
        <v>5</v>
      </c>
      <c r="B274" t="s">
        <v>223</v>
      </c>
      <c r="C274" t="s">
        <v>222</v>
      </c>
      <c r="D274">
        <v>11410</v>
      </c>
      <c r="E274">
        <v>7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25">
      <c r="A275" t="s">
        <v>10</v>
      </c>
      <c r="B275" t="s">
        <v>123</v>
      </c>
      <c r="C275" t="s">
        <v>224</v>
      </c>
      <c r="D275">
        <v>91656</v>
      </c>
      <c r="E275">
        <v>2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25">
      <c r="A276" t="s">
        <v>23</v>
      </c>
      <c r="B276" t="s">
        <v>47</v>
      </c>
      <c r="C276" t="s">
        <v>224</v>
      </c>
      <c r="D276">
        <v>65463</v>
      </c>
      <c r="E276">
        <v>8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25">
      <c r="A277" t="s">
        <v>5</v>
      </c>
      <c r="B277" t="s">
        <v>109</v>
      </c>
      <c r="C277" t="s">
        <v>224</v>
      </c>
      <c r="D277">
        <v>38186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25">
      <c r="A278" t="s">
        <v>5</v>
      </c>
      <c r="B278" t="s">
        <v>39</v>
      </c>
      <c r="C278" t="s">
        <v>225</v>
      </c>
      <c r="D278">
        <v>47530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25">
      <c r="A279" t="s">
        <v>5</v>
      </c>
      <c r="B279" t="s">
        <v>90</v>
      </c>
      <c r="C279" t="s">
        <v>226</v>
      </c>
      <c r="D279">
        <v>53750</v>
      </c>
      <c r="E279">
        <v>2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25">
      <c r="A280" t="s">
        <v>23</v>
      </c>
      <c r="B280" t="s">
        <v>79</v>
      </c>
      <c r="C280" t="s">
        <v>226</v>
      </c>
      <c r="D280">
        <v>40471</v>
      </c>
      <c r="E280">
        <v>5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25">
      <c r="A281" t="s">
        <v>23</v>
      </c>
      <c r="B281" t="s">
        <v>227</v>
      </c>
      <c r="C281" t="s">
        <v>226</v>
      </c>
      <c r="D281">
        <v>64110</v>
      </c>
      <c r="E281">
        <v>2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25">
      <c r="A282" t="s">
        <v>8</v>
      </c>
      <c r="B282" t="s">
        <v>25</v>
      </c>
      <c r="C282" t="s">
        <v>226</v>
      </c>
      <c r="D282">
        <v>95265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25">
      <c r="A283" t="s">
        <v>46</v>
      </c>
      <c r="B283" t="s">
        <v>151</v>
      </c>
      <c r="C283" t="s">
        <v>226</v>
      </c>
      <c r="D283">
        <v>21056</v>
      </c>
      <c r="E283">
        <v>4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25">
      <c r="A284" t="s">
        <v>48</v>
      </c>
      <c r="B284" t="s">
        <v>116</v>
      </c>
      <c r="C284" t="s">
        <v>226</v>
      </c>
      <c r="D284">
        <v>50171</v>
      </c>
      <c r="E284">
        <v>8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25">
      <c r="A285" t="s">
        <v>12</v>
      </c>
      <c r="B285" t="s">
        <v>228</v>
      </c>
      <c r="C285" t="s">
        <v>226</v>
      </c>
      <c r="D285">
        <v>25179</v>
      </c>
      <c r="E285">
        <v>4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25">
      <c r="A286" t="s">
        <v>10</v>
      </c>
      <c r="B286" t="s">
        <v>229</v>
      </c>
      <c r="C286" t="s">
        <v>226</v>
      </c>
      <c r="D286">
        <v>99101</v>
      </c>
      <c r="E286">
        <v>7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25">
      <c r="A287" t="s">
        <v>27</v>
      </c>
      <c r="B287" t="s">
        <v>87</v>
      </c>
      <c r="C287" t="s">
        <v>226</v>
      </c>
      <c r="D287">
        <v>45710</v>
      </c>
      <c r="E287">
        <v>8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25">
      <c r="A288" t="s">
        <v>10</v>
      </c>
      <c r="B288" t="s">
        <v>86</v>
      </c>
      <c r="C288" t="s">
        <v>230</v>
      </c>
      <c r="D288">
        <v>44538</v>
      </c>
      <c r="E288">
        <v>6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25">
      <c r="A289" t="s">
        <v>48</v>
      </c>
      <c r="B289" t="s">
        <v>188</v>
      </c>
      <c r="C289" t="s">
        <v>230</v>
      </c>
      <c r="D289">
        <v>15874</v>
      </c>
      <c r="E289">
        <v>8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25">
      <c r="A290" t="s">
        <v>36</v>
      </c>
      <c r="B290" t="s">
        <v>231</v>
      </c>
      <c r="C290" t="s">
        <v>230</v>
      </c>
      <c r="D290">
        <v>81278</v>
      </c>
      <c r="E290">
        <v>2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25">
      <c r="A291" t="s">
        <v>23</v>
      </c>
      <c r="B291" t="s">
        <v>53</v>
      </c>
      <c r="C291" t="s">
        <v>230</v>
      </c>
      <c r="D291">
        <v>80996</v>
      </c>
      <c r="E291">
        <v>2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25">
      <c r="A292" t="s">
        <v>17</v>
      </c>
      <c r="B292" t="s">
        <v>131</v>
      </c>
      <c r="C292" t="s">
        <v>230</v>
      </c>
      <c r="D292">
        <v>30358</v>
      </c>
      <c r="E292">
        <v>2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25">
      <c r="A293" t="s">
        <v>15</v>
      </c>
      <c r="B293" t="s">
        <v>61</v>
      </c>
      <c r="C293" t="s">
        <v>230</v>
      </c>
      <c r="D293">
        <v>21515</v>
      </c>
      <c r="E293">
        <v>7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25">
      <c r="A294" t="s">
        <v>23</v>
      </c>
      <c r="B294" t="s">
        <v>232</v>
      </c>
      <c r="C294" t="s">
        <v>233</v>
      </c>
      <c r="D294">
        <v>78941</v>
      </c>
      <c r="E294">
        <v>6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25">
      <c r="A295" t="s">
        <v>17</v>
      </c>
      <c r="B295" t="s">
        <v>158</v>
      </c>
      <c r="C295" t="s">
        <v>233</v>
      </c>
      <c r="D295">
        <v>32530</v>
      </c>
      <c r="E295">
        <v>7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25">
      <c r="A296" t="s">
        <v>48</v>
      </c>
      <c r="B296" t="s">
        <v>55</v>
      </c>
      <c r="C296" t="s">
        <v>234</v>
      </c>
      <c r="D296">
        <v>65562</v>
      </c>
      <c r="E296">
        <v>5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25">
      <c r="A297" t="s">
        <v>27</v>
      </c>
      <c r="B297" t="s">
        <v>235</v>
      </c>
      <c r="C297" t="s">
        <v>236</v>
      </c>
      <c r="D297">
        <v>48090</v>
      </c>
      <c r="E297">
        <v>8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25">
      <c r="A298" t="s">
        <v>23</v>
      </c>
      <c r="B298" t="s">
        <v>237</v>
      </c>
      <c r="C298" t="s">
        <v>236</v>
      </c>
      <c r="D298">
        <v>86048</v>
      </c>
      <c r="E298">
        <v>1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25">
      <c r="A299" t="s">
        <v>17</v>
      </c>
      <c r="B299" t="s">
        <v>193</v>
      </c>
      <c r="C299" t="s">
        <v>236</v>
      </c>
      <c r="D299">
        <v>26150</v>
      </c>
      <c r="E299">
        <v>4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25">
      <c r="A300" t="s">
        <v>10</v>
      </c>
      <c r="B300" t="s">
        <v>238</v>
      </c>
      <c r="C300" t="s">
        <v>236</v>
      </c>
      <c r="D300">
        <v>48381</v>
      </c>
      <c r="E300">
        <v>7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25">
      <c r="A301" t="s">
        <v>48</v>
      </c>
      <c r="B301" t="s">
        <v>239</v>
      </c>
      <c r="C301" t="s">
        <v>236</v>
      </c>
      <c r="D301">
        <v>66358</v>
      </c>
      <c r="E301">
        <v>7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25">
      <c r="A302" t="s">
        <v>23</v>
      </c>
      <c r="B302" t="s">
        <v>68</v>
      </c>
      <c r="C302" t="s">
        <v>236</v>
      </c>
      <c r="D302">
        <v>99677</v>
      </c>
      <c r="E302">
        <v>5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25">
      <c r="A303" t="s">
        <v>23</v>
      </c>
      <c r="B303" t="s">
        <v>28</v>
      </c>
      <c r="C303" t="s">
        <v>236</v>
      </c>
      <c r="D303">
        <v>41079</v>
      </c>
      <c r="E303">
        <v>5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25">
      <c r="A304" t="s">
        <v>52</v>
      </c>
      <c r="B304" t="s">
        <v>138</v>
      </c>
      <c r="C304" t="s">
        <v>236</v>
      </c>
      <c r="D304">
        <v>33066</v>
      </c>
      <c r="E304">
        <v>2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25">
      <c r="A305" t="s">
        <v>52</v>
      </c>
      <c r="B305" t="s">
        <v>22</v>
      </c>
      <c r="C305" t="s">
        <v>236</v>
      </c>
      <c r="D305">
        <v>63175</v>
      </c>
      <c r="E305">
        <v>8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25">
      <c r="A306" t="s">
        <v>12</v>
      </c>
      <c r="B306" t="s">
        <v>156</v>
      </c>
      <c r="C306" t="s">
        <v>236</v>
      </c>
      <c r="D306">
        <v>86374</v>
      </c>
      <c r="E306">
        <v>2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25">
      <c r="A307" t="s">
        <v>46</v>
      </c>
      <c r="B307" t="s">
        <v>240</v>
      </c>
      <c r="C307" t="s">
        <v>241</v>
      </c>
      <c r="D307">
        <v>15787</v>
      </c>
      <c r="E307">
        <v>8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25">
      <c r="A308" t="s">
        <v>17</v>
      </c>
      <c r="B308" t="s">
        <v>216</v>
      </c>
      <c r="C308" t="s">
        <v>241</v>
      </c>
      <c r="D308">
        <v>26217</v>
      </c>
      <c r="E308">
        <v>8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25">
      <c r="A309" t="s">
        <v>27</v>
      </c>
      <c r="B309" t="s">
        <v>67</v>
      </c>
      <c r="C309" t="s">
        <v>241</v>
      </c>
      <c r="D309">
        <v>15696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25">
      <c r="A310" t="s">
        <v>27</v>
      </c>
      <c r="B310" t="s">
        <v>89</v>
      </c>
      <c r="C310" t="s">
        <v>242</v>
      </c>
      <c r="D310">
        <v>91418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25">
      <c r="A311" t="s">
        <v>27</v>
      </c>
      <c r="B311" t="s">
        <v>243</v>
      </c>
      <c r="C311" t="s">
        <v>242</v>
      </c>
      <c r="D311">
        <v>71154</v>
      </c>
      <c r="E311">
        <v>2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25">
      <c r="A312" t="s">
        <v>8</v>
      </c>
      <c r="B312" t="s">
        <v>37</v>
      </c>
      <c r="C312" t="s">
        <v>242</v>
      </c>
      <c r="D312">
        <v>75851</v>
      </c>
      <c r="E312">
        <v>5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25">
      <c r="A313" t="s">
        <v>23</v>
      </c>
      <c r="B313" t="s">
        <v>244</v>
      </c>
      <c r="C313" t="s">
        <v>245</v>
      </c>
      <c r="D313">
        <v>58646</v>
      </c>
      <c r="E313">
        <v>3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25">
      <c r="A314" t="s">
        <v>27</v>
      </c>
      <c r="B314" t="s">
        <v>81</v>
      </c>
      <c r="C314" t="s">
        <v>245</v>
      </c>
      <c r="D314">
        <v>57568</v>
      </c>
      <c r="E314">
        <v>9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25">
      <c r="A315" t="s">
        <v>36</v>
      </c>
      <c r="B315" t="s">
        <v>25</v>
      </c>
      <c r="C315" t="s">
        <v>246</v>
      </c>
      <c r="D315">
        <v>45377</v>
      </c>
      <c r="E315">
        <v>6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25">
      <c r="A316" t="s">
        <v>27</v>
      </c>
      <c r="B316" t="s">
        <v>66</v>
      </c>
      <c r="C316" t="s">
        <v>246</v>
      </c>
      <c r="D316">
        <v>95968</v>
      </c>
      <c r="E316">
        <v>1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25">
      <c r="A317" t="s">
        <v>12</v>
      </c>
      <c r="B317" t="s">
        <v>207</v>
      </c>
      <c r="C317" t="s">
        <v>246</v>
      </c>
      <c r="D317">
        <v>72811</v>
      </c>
      <c r="E317">
        <v>3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25">
      <c r="A318" t="s">
        <v>36</v>
      </c>
      <c r="B318" t="s">
        <v>13</v>
      </c>
      <c r="C318" t="s">
        <v>246</v>
      </c>
      <c r="D318">
        <v>12267</v>
      </c>
      <c r="E318">
        <v>8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25">
      <c r="A319" t="s">
        <v>36</v>
      </c>
      <c r="B319" t="s">
        <v>161</v>
      </c>
      <c r="C319" t="s">
        <v>246</v>
      </c>
      <c r="D319">
        <v>41681</v>
      </c>
      <c r="E319">
        <v>7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25">
      <c r="A320" t="s">
        <v>15</v>
      </c>
      <c r="B320" t="s">
        <v>97</v>
      </c>
      <c r="C320" t="s">
        <v>247</v>
      </c>
      <c r="D320">
        <v>71250</v>
      </c>
      <c r="E320">
        <v>8</v>
      </c>
      <c r="F320">
        <f t="shared" si="12"/>
        <v>2024</v>
      </c>
      <c r="G320">
        <f t="shared" si="13"/>
        <v>1</v>
      </c>
      <c r="H320" t="str">
        <f t="shared" si="14"/>
        <v>2024-1</v>
      </c>
    </row>
    <row r="321" spans="1:8" x14ac:dyDescent="0.25">
      <c r="A321" t="s">
        <v>15</v>
      </c>
      <c r="B321" t="s">
        <v>248</v>
      </c>
      <c r="C321" t="s">
        <v>247</v>
      </c>
      <c r="D321">
        <v>42011</v>
      </c>
      <c r="E321">
        <v>7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x14ac:dyDescent="0.25">
      <c r="A322" t="s">
        <v>36</v>
      </c>
      <c r="B322" t="s">
        <v>70</v>
      </c>
      <c r="C322" t="s">
        <v>247</v>
      </c>
      <c r="D322">
        <v>66359</v>
      </c>
      <c r="E322">
        <v>10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x14ac:dyDescent="0.25">
      <c r="A323" t="s">
        <v>17</v>
      </c>
      <c r="B323" t="s">
        <v>249</v>
      </c>
      <c r="C323" t="s">
        <v>247</v>
      </c>
      <c r="D323">
        <v>64249</v>
      </c>
      <c r="E323">
        <v>8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x14ac:dyDescent="0.25">
      <c r="A324" t="s">
        <v>52</v>
      </c>
      <c r="B324" t="s">
        <v>101</v>
      </c>
      <c r="C324" t="s">
        <v>250</v>
      </c>
      <c r="D324">
        <v>83744</v>
      </c>
      <c r="E324">
        <v>8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x14ac:dyDescent="0.25">
      <c r="A325" t="s">
        <v>46</v>
      </c>
      <c r="B325" t="s">
        <v>108</v>
      </c>
      <c r="C325" t="s">
        <v>250</v>
      </c>
      <c r="D325">
        <v>96430</v>
      </c>
      <c r="E325">
        <v>8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x14ac:dyDescent="0.25">
      <c r="A326" t="s">
        <v>48</v>
      </c>
      <c r="B326" t="s">
        <v>85</v>
      </c>
      <c r="C326" t="s">
        <v>251</v>
      </c>
      <c r="D326">
        <v>10780</v>
      </c>
      <c r="E326">
        <v>8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x14ac:dyDescent="0.25">
      <c r="A327" t="s">
        <v>23</v>
      </c>
      <c r="B327" t="s">
        <v>22</v>
      </c>
      <c r="C327" t="s">
        <v>251</v>
      </c>
      <c r="D327">
        <v>81526</v>
      </c>
      <c r="E327">
        <v>5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x14ac:dyDescent="0.25">
      <c r="A328" t="s">
        <v>5</v>
      </c>
      <c r="B328" t="s">
        <v>151</v>
      </c>
      <c r="C328" t="s">
        <v>251</v>
      </c>
      <c r="D328">
        <v>25356</v>
      </c>
      <c r="E328">
        <v>7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x14ac:dyDescent="0.25">
      <c r="A329" t="s">
        <v>17</v>
      </c>
      <c r="B329" t="s">
        <v>219</v>
      </c>
      <c r="C329" t="s">
        <v>251</v>
      </c>
      <c r="D329">
        <v>64578</v>
      </c>
      <c r="E329">
        <v>10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25">
      <c r="A330" t="s">
        <v>5</v>
      </c>
      <c r="B330" t="s">
        <v>81</v>
      </c>
      <c r="C330" t="s">
        <v>251</v>
      </c>
      <c r="D330">
        <v>40154</v>
      </c>
      <c r="E330">
        <v>6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25">
      <c r="A331" t="s">
        <v>15</v>
      </c>
      <c r="B331" t="s">
        <v>81</v>
      </c>
      <c r="C331" t="s">
        <v>251</v>
      </c>
      <c r="D331">
        <v>89740</v>
      </c>
      <c r="E331">
        <v>8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x14ac:dyDescent="0.25">
      <c r="A332" t="s">
        <v>46</v>
      </c>
      <c r="B332" t="s">
        <v>252</v>
      </c>
      <c r="C332" t="s">
        <v>253</v>
      </c>
      <c r="D332">
        <v>77260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x14ac:dyDescent="0.25">
      <c r="A333" t="s">
        <v>27</v>
      </c>
      <c r="B333" t="s">
        <v>181</v>
      </c>
      <c r="C333" t="s">
        <v>254</v>
      </c>
      <c r="D333">
        <v>75880</v>
      </c>
      <c r="E333">
        <v>10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25">
      <c r="A334" t="s">
        <v>36</v>
      </c>
      <c r="B334" t="s">
        <v>232</v>
      </c>
      <c r="C334" t="s">
        <v>254</v>
      </c>
      <c r="D334">
        <v>72282</v>
      </c>
      <c r="E334">
        <v>2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x14ac:dyDescent="0.25">
      <c r="A335" t="s">
        <v>52</v>
      </c>
      <c r="B335" t="s">
        <v>160</v>
      </c>
      <c r="C335" t="s">
        <v>254</v>
      </c>
      <c r="D335">
        <v>74548</v>
      </c>
      <c r="E335">
        <v>5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25">
      <c r="A336" t="s">
        <v>27</v>
      </c>
      <c r="B336" t="s">
        <v>24</v>
      </c>
      <c r="C336" t="s">
        <v>254</v>
      </c>
      <c r="D336">
        <v>54427</v>
      </c>
      <c r="E336">
        <v>6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25">
      <c r="A337" t="s">
        <v>46</v>
      </c>
      <c r="B337" t="s">
        <v>235</v>
      </c>
      <c r="C337" t="s">
        <v>254</v>
      </c>
      <c r="D337">
        <v>89103</v>
      </c>
      <c r="E337">
        <v>4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25">
      <c r="A338" t="s">
        <v>17</v>
      </c>
      <c r="B338" t="s">
        <v>34</v>
      </c>
      <c r="C338" t="s">
        <v>255</v>
      </c>
      <c r="D338">
        <v>60214</v>
      </c>
      <c r="E338">
        <v>6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25">
      <c r="A339" t="s">
        <v>17</v>
      </c>
      <c r="B339" t="s">
        <v>79</v>
      </c>
      <c r="C339" t="s">
        <v>255</v>
      </c>
      <c r="D339">
        <v>78262</v>
      </c>
      <c r="E339">
        <v>7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25">
      <c r="A340" t="s">
        <v>10</v>
      </c>
      <c r="B340" t="s">
        <v>34</v>
      </c>
      <c r="C340" t="s">
        <v>255</v>
      </c>
      <c r="D340">
        <v>83399</v>
      </c>
      <c r="E340">
        <v>5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25">
      <c r="A341" t="s">
        <v>23</v>
      </c>
      <c r="B341" t="s">
        <v>237</v>
      </c>
      <c r="C341" t="s">
        <v>255</v>
      </c>
      <c r="D341">
        <v>46981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25">
      <c r="A342" t="s">
        <v>27</v>
      </c>
      <c r="B342" t="s">
        <v>113</v>
      </c>
      <c r="C342" t="s">
        <v>255</v>
      </c>
      <c r="D342">
        <v>42546</v>
      </c>
      <c r="E342">
        <v>6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25">
      <c r="A343" t="s">
        <v>36</v>
      </c>
      <c r="B343" t="s">
        <v>86</v>
      </c>
      <c r="C343" t="s">
        <v>255</v>
      </c>
      <c r="D343">
        <v>91882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25">
      <c r="A344" t="s">
        <v>8</v>
      </c>
      <c r="B344" t="s">
        <v>63</v>
      </c>
      <c r="C344" t="s">
        <v>255</v>
      </c>
      <c r="D344">
        <v>88980</v>
      </c>
      <c r="E344">
        <v>5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25">
      <c r="A345" t="s">
        <v>27</v>
      </c>
      <c r="B345" t="s">
        <v>115</v>
      </c>
      <c r="C345" t="s">
        <v>255</v>
      </c>
      <c r="D345">
        <v>27393</v>
      </c>
      <c r="E345">
        <v>5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25">
      <c r="A346" t="s">
        <v>46</v>
      </c>
      <c r="B346" t="s">
        <v>256</v>
      </c>
      <c r="C346" t="s">
        <v>255</v>
      </c>
      <c r="D346">
        <v>27821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25">
      <c r="A347" t="s">
        <v>52</v>
      </c>
      <c r="B347" t="s">
        <v>156</v>
      </c>
      <c r="C347" t="s">
        <v>257</v>
      </c>
      <c r="D347">
        <v>89695</v>
      </c>
      <c r="E347">
        <v>7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25">
      <c r="A348" t="s">
        <v>46</v>
      </c>
      <c r="B348" t="s">
        <v>198</v>
      </c>
      <c r="C348" t="s">
        <v>257</v>
      </c>
      <c r="D348">
        <v>58388</v>
      </c>
      <c r="E348">
        <v>8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25">
      <c r="A349" t="s">
        <v>27</v>
      </c>
      <c r="B349" t="s">
        <v>81</v>
      </c>
      <c r="C349" t="s">
        <v>257</v>
      </c>
      <c r="D349">
        <v>68337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25">
      <c r="A350" t="s">
        <v>12</v>
      </c>
      <c r="B350" t="s">
        <v>240</v>
      </c>
      <c r="C350" t="s">
        <v>257</v>
      </c>
      <c r="D350">
        <v>19903</v>
      </c>
      <c r="E350">
        <v>6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25">
      <c r="A351" t="s">
        <v>17</v>
      </c>
      <c r="B351" t="s">
        <v>184</v>
      </c>
      <c r="C351" t="s">
        <v>257</v>
      </c>
      <c r="D351">
        <v>22210</v>
      </c>
      <c r="E351">
        <v>7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25">
      <c r="A352" t="s">
        <v>15</v>
      </c>
      <c r="B352" t="s">
        <v>258</v>
      </c>
      <c r="C352" t="s">
        <v>257</v>
      </c>
      <c r="D352">
        <v>48930</v>
      </c>
      <c r="E352">
        <v>7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25">
      <c r="A353" t="s">
        <v>17</v>
      </c>
      <c r="B353" t="s">
        <v>223</v>
      </c>
      <c r="C353" t="s">
        <v>257</v>
      </c>
      <c r="D353">
        <v>44530</v>
      </c>
      <c r="E353">
        <v>3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25">
      <c r="A354" t="s">
        <v>23</v>
      </c>
      <c r="B354" t="s">
        <v>38</v>
      </c>
      <c r="C354" t="s">
        <v>257</v>
      </c>
      <c r="D354">
        <v>14781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25">
      <c r="A355" t="s">
        <v>15</v>
      </c>
      <c r="B355" t="s">
        <v>80</v>
      </c>
      <c r="C355" t="s">
        <v>259</v>
      </c>
      <c r="D355">
        <v>68802</v>
      </c>
      <c r="E355">
        <v>7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25">
      <c r="A356" t="s">
        <v>27</v>
      </c>
      <c r="B356" t="s">
        <v>239</v>
      </c>
      <c r="C356" t="s">
        <v>259</v>
      </c>
      <c r="D356">
        <v>12756</v>
      </c>
      <c r="E356">
        <v>7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25">
      <c r="A357" t="s">
        <v>52</v>
      </c>
      <c r="B357" t="s">
        <v>191</v>
      </c>
      <c r="C357" t="s">
        <v>259</v>
      </c>
      <c r="D357">
        <v>34840</v>
      </c>
      <c r="E357">
        <v>5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25">
      <c r="A358" t="s">
        <v>27</v>
      </c>
      <c r="B358" t="s">
        <v>44</v>
      </c>
      <c r="C358" t="s">
        <v>260</v>
      </c>
      <c r="D358">
        <v>89563</v>
      </c>
      <c r="E358">
        <v>4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25">
      <c r="A359" t="s">
        <v>10</v>
      </c>
      <c r="B359" t="s">
        <v>165</v>
      </c>
      <c r="C359" t="s">
        <v>261</v>
      </c>
      <c r="D359">
        <v>44978</v>
      </c>
      <c r="E359">
        <v>7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25">
      <c r="A360" t="s">
        <v>52</v>
      </c>
      <c r="B360" t="s">
        <v>188</v>
      </c>
      <c r="C360" t="s">
        <v>261</v>
      </c>
      <c r="D360">
        <v>60564</v>
      </c>
      <c r="E360">
        <v>7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25">
      <c r="A361" t="s">
        <v>17</v>
      </c>
      <c r="B361" t="s">
        <v>64</v>
      </c>
      <c r="C361" t="s">
        <v>261</v>
      </c>
      <c r="D361">
        <v>54935</v>
      </c>
      <c r="E361">
        <v>2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25">
      <c r="A362" t="s">
        <v>17</v>
      </c>
      <c r="B362" t="s">
        <v>62</v>
      </c>
      <c r="C362" t="s">
        <v>262</v>
      </c>
      <c r="D362">
        <v>49886</v>
      </c>
      <c r="E362">
        <v>9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25">
      <c r="A363" t="s">
        <v>48</v>
      </c>
      <c r="B363" t="s">
        <v>91</v>
      </c>
      <c r="C363" t="s">
        <v>262</v>
      </c>
      <c r="D363">
        <v>14966</v>
      </c>
      <c r="E363">
        <v>2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25">
      <c r="A364" t="s">
        <v>17</v>
      </c>
      <c r="B364" t="s">
        <v>18</v>
      </c>
      <c r="C364" t="s">
        <v>262</v>
      </c>
      <c r="D364">
        <v>71480</v>
      </c>
      <c r="E364">
        <v>6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25">
      <c r="A365" t="s">
        <v>8</v>
      </c>
      <c r="B365" t="s">
        <v>175</v>
      </c>
      <c r="C365" t="s">
        <v>262</v>
      </c>
      <c r="D365">
        <v>29466</v>
      </c>
      <c r="E365">
        <v>2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25">
      <c r="A366" t="s">
        <v>12</v>
      </c>
      <c r="B366" t="s">
        <v>214</v>
      </c>
      <c r="C366" t="s">
        <v>262</v>
      </c>
      <c r="D366">
        <v>22829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25">
      <c r="A367" t="s">
        <v>46</v>
      </c>
      <c r="B367" t="s">
        <v>44</v>
      </c>
      <c r="C367" t="s">
        <v>262</v>
      </c>
      <c r="D367">
        <v>58925</v>
      </c>
      <c r="E367">
        <v>6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25">
      <c r="A368" t="s">
        <v>46</v>
      </c>
      <c r="B368" t="s">
        <v>73</v>
      </c>
      <c r="C368" t="s">
        <v>262</v>
      </c>
      <c r="D368">
        <v>30927</v>
      </c>
      <c r="E368">
        <v>9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25">
      <c r="A369" t="s">
        <v>12</v>
      </c>
      <c r="B369" t="s">
        <v>207</v>
      </c>
      <c r="C369" t="s">
        <v>263</v>
      </c>
      <c r="D369">
        <v>94212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25">
      <c r="A370" t="s">
        <v>46</v>
      </c>
      <c r="B370" t="s">
        <v>264</v>
      </c>
      <c r="C370" t="s">
        <v>263</v>
      </c>
      <c r="D370">
        <v>89871</v>
      </c>
      <c r="E370">
        <v>7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25">
      <c r="A371" t="s">
        <v>36</v>
      </c>
      <c r="B371" t="s">
        <v>138</v>
      </c>
      <c r="C371" t="s">
        <v>265</v>
      </c>
      <c r="D371">
        <v>59971</v>
      </c>
      <c r="E371">
        <v>10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25">
      <c r="A372" t="s">
        <v>5</v>
      </c>
      <c r="B372" t="s">
        <v>56</v>
      </c>
      <c r="C372" t="s">
        <v>265</v>
      </c>
      <c r="D372">
        <v>77425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25">
      <c r="A373" t="s">
        <v>23</v>
      </c>
      <c r="B373" t="s">
        <v>243</v>
      </c>
      <c r="C373" t="s">
        <v>266</v>
      </c>
      <c r="D373">
        <v>12994</v>
      </c>
      <c r="E373">
        <v>3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25">
      <c r="A374" t="s">
        <v>8</v>
      </c>
      <c r="B374" t="s">
        <v>9</v>
      </c>
      <c r="C374" t="s">
        <v>267</v>
      </c>
      <c r="D374">
        <v>57623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25">
      <c r="A375" t="s">
        <v>10</v>
      </c>
      <c r="B375" t="s">
        <v>268</v>
      </c>
      <c r="C375" t="s">
        <v>267</v>
      </c>
      <c r="D375">
        <v>27009</v>
      </c>
      <c r="E375">
        <v>2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25">
      <c r="A376" t="s">
        <v>17</v>
      </c>
      <c r="B376" t="s">
        <v>193</v>
      </c>
      <c r="C376" t="s">
        <v>267</v>
      </c>
      <c r="D376">
        <v>33507</v>
      </c>
      <c r="E376">
        <v>8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25">
      <c r="A377" t="s">
        <v>23</v>
      </c>
      <c r="B377" t="s">
        <v>97</v>
      </c>
      <c r="C377" t="s">
        <v>267</v>
      </c>
      <c r="D377">
        <v>32326</v>
      </c>
      <c r="E377">
        <v>8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25">
      <c r="A378" t="s">
        <v>10</v>
      </c>
      <c r="B378" t="s">
        <v>102</v>
      </c>
      <c r="C378" t="s">
        <v>269</v>
      </c>
      <c r="D378">
        <v>79658</v>
      </c>
      <c r="E378">
        <v>8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25">
      <c r="A379" t="s">
        <v>15</v>
      </c>
      <c r="B379" t="s">
        <v>97</v>
      </c>
      <c r="C379" t="s">
        <v>269</v>
      </c>
      <c r="D379">
        <v>83393</v>
      </c>
      <c r="E379">
        <v>7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25">
      <c r="A380" t="s">
        <v>36</v>
      </c>
      <c r="B380" t="s">
        <v>270</v>
      </c>
      <c r="C380" t="s">
        <v>269</v>
      </c>
      <c r="D380">
        <v>37188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25">
      <c r="A381" t="s">
        <v>27</v>
      </c>
      <c r="B381" t="s">
        <v>131</v>
      </c>
      <c r="C381" t="s">
        <v>269</v>
      </c>
      <c r="D381">
        <v>57899</v>
      </c>
      <c r="E381">
        <v>3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25">
      <c r="A382" t="s">
        <v>27</v>
      </c>
      <c r="B382" t="s">
        <v>271</v>
      </c>
      <c r="C382" t="s">
        <v>269</v>
      </c>
      <c r="D382">
        <v>40380</v>
      </c>
      <c r="E382">
        <v>7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25">
      <c r="A383" t="s">
        <v>5</v>
      </c>
      <c r="B383" t="s">
        <v>272</v>
      </c>
      <c r="C383" t="s">
        <v>269</v>
      </c>
      <c r="D383">
        <v>43530</v>
      </c>
      <c r="E383">
        <v>8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25">
      <c r="A384" t="s">
        <v>8</v>
      </c>
      <c r="B384" t="s">
        <v>252</v>
      </c>
      <c r="C384" t="s">
        <v>269</v>
      </c>
      <c r="D384">
        <v>34410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25">
      <c r="A385" t="s">
        <v>8</v>
      </c>
      <c r="B385" t="s">
        <v>185</v>
      </c>
      <c r="C385" t="s">
        <v>269</v>
      </c>
      <c r="D385">
        <v>45812</v>
      </c>
      <c r="E385">
        <v>6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25">
      <c r="A386" t="s">
        <v>46</v>
      </c>
      <c r="B386" t="s">
        <v>273</v>
      </c>
      <c r="C386" t="s">
        <v>274</v>
      </c>
      <c r="D386">
        <v>44778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25">
      <c r="A387" t="s">
        <v>5</v>
      </c>
      <c r="B387" t="s">
        <v>206</v>
      </c>
      <c r="C387" t="s">
        <v>274</v>
      </c>
      <c r="D387">
        <v>60566</v>
      </c>
      <c r="E387">
        <v>6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25">
      <c r="A388" t="s">
        <v>23</v>
      </c>
      <c r="B388" t="s">
        <v>71</v>
      </c>
      <c r="C388" t="s">
        <v>274</v>
      </c>
      <c r="D388">
        <v>61594</v>
      </c>
      <c r="E388">
        <v>7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25">
      <c r="A389" t="s">
        <v>10</v>
      </c>
      <c r="B389" t="s">
        <v>232</v>
      </c>
      <c r="C389" t="s">
        <v>274</v>
      </c>
      <c r="D389">
        <v>40878</v>
      </c>
      <c r="E389">
        <v>6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25">
      <c r="A390" t="s">
        <v>17</v>
      </c>
      <c r="B390" t="s">
        <v>275</v>
      </c>
      <c r="C390" t="s">
        <v>274</v>
      </c>
      <c r="D390">
        <v>27522</v>
      </c>
      <c r="E390">
        <v>10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25">
      <c r="A391" t="s">
        <v>8</v>
      </c>
      <c r="B391" t="s">
        <v>235</v>
      </c>
      <c r="C391" t="s">
        <v>274</v>
      </c>
      <c r="D391">
        <v>70558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25">
      <c r="A392" t="s">
        <v>15</v>
      </c>
      <c r="B392" t="s">
        <v>19</v>
      </c>
      <c r="C392" t="s">
        <v>276</v>
      </c>
      <c r="D392">
        <v>24637</v>
      </c>
      <c r="E392">
        <v>6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25">
      <c r="A393" t="s">
        <v>23</v>
      </c>
      <c r="B393" t="s">
        <v>57</v>
      </c>
      <c r="C393" t="s">
        <v>276</v>
      </c>
      <c r="D393">
        <v>75913</v>
      </c>
      <c r="E393">
        <v>8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25">
      <c r="A394" t="s">
        <v>46</v>
      </c>
      <c r="B394" t="s">
        <v>32</v>
      </c>
      <c r="C394" t="s">
        <v>276</v>
      </c>
      <c r="D394">
        <v>23783</v>
      </c>
      <c r="E394">
        <v>8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25">
      <c r="A395" t="s">
        <v>48</v>
      </c>
      <c r="B395" t="s">
        <v>103</v>
      </c>
      <c r="C395" t="s">
        <v>277</v>
      </c>
      <c r="D395">
        <v>61505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25">
      <c r="A396" t="s">
        <v>52</v>
      </c>
      <c r="B396" t="s">
        <v>122</v>
      </c>
      <c r="C396" t="s">
        <v>277</v>
      </c>
      <c r="D396">
        <v>16901</v>
      </c>
      <c r="E396">
        <v>3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25">
      <c r="A397" t="s">
        <v>36</v>
      </c>
      <c r="B397" t="s">
        <v>278</v>
      </c>
      <c r="C397" t="s">
        <v>277</v>
      </c>
      <c r="D397">
        <v>70092</v>
      </c>
      <c r="E397">
        <v>6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25">
      <c r="A398" t="s">
        <v>5</v>
      </c>
      <c r="B398" t="s">
        <v>227</v>
      </c>
      <c r="C398" t="s">
        <v>279</v>
      </c>
      <c r="D398">
        <v>73479</v>
      </c>
      <c r="E398">
        <v>4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25">
      <c r="A399" t="s">
        <v>10</v>
      </c>
      <c r="B399" t="s">
        <v>280</v>
      </c>
      <c r="C399" t="s">
        <v>279</v>
      </c>
      <c r="D399">
        <v>62747</v>
      </c>
      <c r="E399">
        <v>0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25">
      <c r="A400" t="s">
        <v>5</v>
      </c>
      <c r="B400" t="s">
        <v>191</v>
      </c>
      <c r="C400" t="s">
        <v>279</v>
      </c>
      <c r="D400">
        <v>81999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25">
      <c r="A401" t="s">
        <v>12</v>
      </c>
      <c r="B401" t="s">
        <v>281</v>
      </c>
      <c r="C401" t="s">
        <v>279</v>
      </c>
      <c r="D401">
        <v>94124</v>
      </c>
      <c r="E401">
        <v>2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25">
      <c r="A402" t="s">
        <v>12</v>
      </c>
      <c r="B402" t="s">
        <v>24</v>
      </c>
      <c r="C402" t="s">
        <v>279</v>
      </c>
      <c r="D402">
        <v>40510</v>
      </c>
      <c r="E402">
        <v>4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25">
      <c r="A403" t="s">
        <v>36</v>
      </c>
      <c r="B403" t="s">
        <v>53</v>
      </c>
      <c r="C403" t="s">
        <v>279</v>
      </c>
      <c r="D403">
        <v>80952</v>
      </c>
      <c r="E403">
        <v>4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25">
      <c r="A404" t="s">
        <v>10</v>
      </c>
      <c r="B404" t="s">
        <v>282</v>
      </c>
      <c r="C404" t="s">
        <v>279</v>
      </c>
      <c r="D404">
        <v>78454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25">
      <c r="A405" t="s">
        <v>27</v>
      </c>
      <c r="B405" t="s">
        <v>68</v>
      </c>
      <c r="C405" t="s">
        <v>279</v>
      </c>
      <c r="D405">
        <v>38651</v>
      </c>
      <c r="E405">
        <v>3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25">
      <c r="A406" t="s">
        <v>17</v>
      </c>
      <c r="B406" t="s">
        <v>248</v>
      </c>
      <c r="C406" t="s">
        <v>279</v>
      </c>
      <c r="D406">
        <v>38655</v>
      </c>
      <c r="E406">
        <v>9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25">
      <c r="A407" t="s">
        <v>52</v>
      </c>
      <c r="B407" t="s">
        <v>202</v>
      </c>
      <c r="C407" t="s">
        <v>279</v>
      </c>
      <c r="D407">
        <v>30326</v>
      </c>
      <c r="E407">
        <v>8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25">
      <c r="A408" t="s">
        <v>23</v>
      </c>
      <c r="B408" t="s">
        <v>87</v>
      </c>
      <c r="C408" t="s">
        <v>279</v>
      </c>
      <c r="D408">
        <v>37226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25">
      <c r="A409" t="s">
        <v>8</v>
      </c>
      <c r="B409" t="s">
        <v>47</v>
      </c>
      <c r="C409" t="s">
        <v>283</v>
      </c>
      <c r="D409">
        <v>46330</v>
      </c>
      <c r="E409">
        <v>8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25">
      <c r="A410" t="s">
        <v>8</v>
      </c>
      <c r="B410" t="s">
        <v>165</v>
      </c>
      <c r="C410" t="s">
        <v>283</v>
      </c>
      <c r="D410">
        <v>11394</v>
      </c>
      <c r="E410">
        <v>9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25">
      <c r="A411" t="s">
        <v>46</v>
      </c>
      <c r="B411" t="s">
        <v>278</v>
      </c>
      <c r="C411" t="s">
        <v>283</v>
      </c>
      <c r="D411">
        <v>78980</v>
      </c>
      <c r="E411">
        <v>5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25">
      <c r="A412" t="s">
        <v>23</v>
      </c>
      <c r="B412" t="s">
        <v>85</v>
      </c>
      <c r="C412" t="s">
        <v>284</v>
      </c>
      <c r="D412">
        <v>82339</v>
      </c>
      <c r="E412">
        <v>6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25">
      <c r="A413" t="s">
        <v>8</v>
      </c>
      <c r="B413" t="s">
        <v>25</v>
      </c>
      <c r="C413" t="s">
        <v>284</v>
      </c>
      <c r="D413">
        <v>86670</v>
      </c>
      <c r="E413">
        <v>9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25">
      <c r="A414" t="s">
        <v>10</v>
      </c>
      <c r="B414" t="s">
        <v>25</v>
      </c>
      <c r="C414" t="s">
        <v>285</v>
      </c>
      <c r="D414">
        <v>38694</v>
      </c>
      <c r="E414">
        <v>8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x14ac:dyDescent="0.25">
      <c r="A415" t="s">
        <v>5</v>
      </c>
      <c r="B415" t="s">
        <v>38</v>
      </c>
      <c r="C415" t="s">
        <v>286</v>
      </c>
      <c r="D415">
        <v>63651</v>
      </c>
      <c r="E415">
        <v>4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x14ac:dyDescent="0.25">
      <c r="A416" t="s">
        <v>27</v>
      </c>
      <c r="B416" t="s">
        <v>138</v>
      </c>
      <c r="C416" t="s">
        <v>286</v>
      </c>
      <c r="D416">
        <v>94782</v>
      </c>
      <c r="E416">
        <v>7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x14ac:dyDescent="0.25">
      <c r="A417" t="s">
        <v>12</v>
      </c>
      <c r="B417" t="s">
        <v>70</v>
      </c>
      <c r="C417" t="s">
        <v>286</v>
      </c>
      <c r="D417">
        <v>11415</v>
      </c>
      <c r="E417">
        <v>8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x14ac:dyDescent="0.25">
      <c r="A418" t="s">
        <v>27</v>
      </c>
      <c r="B418" t="s">
        <v>190</v>
      </c>
      <c r="C418" t="s">
        <v>286</v>
      </c>
      <c r="D418">
        <v>53110</v>
      </c>
      <c r="E418">
        <v>9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x14ac:dyDescent="0.25">
      <c r="A419" t="s">
        <v>12</v>
      </c>
      <c r="B419" t="s">
        <v>97</v>
      </c>
      <c r="C419" t="s">
        <v>286</v>
      </c>
      <c r="D419">
        <v>33774</v>
      </c>
      <c r="E419">
        <v>5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x14ac:dyDescent="0.25">
      <c r="A420" t="s">
        <v>12</v>
      </c>
      <c r="B420" t="s">
        <v>84</v>
      </c>
      <c r="C420" t="s">
        <v>286</v>
      </c>
      <c r="D420">
        <v>58769</v>
      </c>
      <c r="E420">
        <v>8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25">
      <c r="A421" t="s">
        <v>5</v>
      </c>
      <c r="B421" t="s">
        <v>39</v>
      </c>
      <c r="C421" t="s">
        <v>286</v>
      </c>
      <c r="D421">
        <v>70467</v>
      </c>
      <c r="E421">
        <v>8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x14ac:dyDescent="0.25">
      <c r="A422" t="s">
        <v>17</v>
      </c>
      <c r="B422" t="s">
        <v>144</v>
      </c>
      <c r="C422" t="s">
        <v>286</v>
      </c>
      <c r="D422">
        <v>51966</v>
      </c>
      <c r="E422">
        <v>6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25">
      <c r="A423" t="s">
        <v>17</v>
      </c>
      <c r="B423" t="s">
        <v>287</v>
      </c>
      <c r="C423" t="s">
        <v>288</v>
      </c>
      <c r="D423">
        <v>27451</v>
      </c>
      <c r="E423">
        <v>7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x14ac:dyDescent="0.25">
      <c r="A424" t="s">
        <v>52</v>
      </c>
      <c r="B424" t="s">
        <v>163</v>
      </c>
      <c r="C424" t="s">
        <v>288</v>
      </c>
      <c r="D424">
        <v>66434</v>
      </c>
      <c r="E424">
        <v>5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25">
      <c r="A425" t="s">
        <v>27</v>
      </c>
      <c r="B425" t="s">
        <v>32</v>
      </c>
      <c r="C425" t="s">
        <v>288</v>
      </c>
      <c r="D425">
        <v>95206</v>
      </c>
      <c r="E425">
        <v>8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x14ac:dyDescent="0.25">
      <c r="A426" t="s">
        <v>17</v>
      </c>
      <c r="B426" t="s">
        <v>249</v>
      </c>
      <c r="C426" t="s">
        <v>288</v>
      </c>
      <c r="D426">
        <v>82119</v>
      </c>
      <c r="E426">
        <v>7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x14ac:dyDescent="0.25">
      <c r="A427" t="s">
        <v>36</v>
      </c>
      <c r="B427" t="s">
        <v>209</v>
      </c>
      <c r="C427" t="s">
        <v>288</v>
      </c>
      <c r="D427">
        <v>91008</v>
      </c>
      <c r="E427">
        <v>8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25">
      <c r="A428" t="s">
        <v>48</v>
      </c>
      <c r="B428" t="s">
        <v>240</v>
      </c>
      <c r="C428" t="s">
        <v>288</v>
      </c>
      <c r="D428">
        <v>41262</v>
      </c>
      <c r="E428">
        <v>8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25">
      <c r="A429" t="s">
        <v>46</v>
      </c>
      <c r="B429" t="s">
        <v>228</v>
      </c>
      <c r="C429" t="s">
        <v>288</v>
      </c>
      <c r="D429">
        <v>98746</v>
      </c>
      <c r="E429">
        <v>3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25">
      <c r="A430" t="s">
        <v>17</v>
      </c>
      <c r="B430" t="s">
        <v>25</v>
      </c>
      <c r="C430" t="s">
        <v>289</v>
      </c>
      <c r="D430">
        <v>61964</v>
      </c>
      <c r="E430">
        <v>7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25">
      <c r="A431" t="s">
        <v>52</v>
      </c>
      <c r="B431" t="s">
        <v>172</v>
      </c>
      <c r="C431" t="s">
        <v>289</v>
      </c>
      <c r="D431">
        <v>60444</v>
      </c>
      <c r="E431">
        <v>7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25">
      <c r="A432" t="s">
        <v>27</v>
      </c>
      <c r="B432" t="s">
        <v>158</v>
      </c>
      <c r="C432" t="s">
        <v>289</v>
      </c>
      <c r="D432">
        <v>99884</v>
      </c>
      <c r="E432">
        <v>3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25">
      <c r="A433" t="s">
        <v>52</v>
      </c>
      <c r="B433" t="s">
        <v>290</v>
      </c>
      <c r="C433" t="s">
        <v>289</v>
      </c>
      <c r="D433">
        <v>41962</v>
      </c>
      <c r="E433">
        <v>2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25">
      <c r="A434" t="s">
        <v>48</v>
      </c>
      <c r="B434" t="s">
        <v>219</v>
      </c>
      <c r="C434" t="s">
        <v>289</v>
      </c>
      <c r="D434">
        <v>50318</v>
      </c>
      <c r="E434">
        <v>8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25">
      <c r="A435" t="s">
        <v>36</v>
      </c>
      <c r="B435" t="s">
        <v>20</v>
      </c>
      <c r="C435" t="s">
        <v>291</v>
      </c>
      <c r="D435">
        <v>55244</v>
      </c>
      <c r="E435">
        <v>10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25">
      <c r="A436" t="s">
        <v>8</v>
      </c>
      <c r="B436" t="s">
        <v>64</v>
      </c>
      <c r="C436" t="s">
        <v>291</v>
      </c>
      <c r="D436">
        <v>62522</v>
      </c>
      <c r="E436">
        <v>7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25">
      <c r="A437" t="s">
        <v>5</v>
      </c>
      <c r="B437" t="s">
        <v>123</v>
      </c>
      <c r="C437" t="s">
        <v>291</v>
      </c>
      <c r="D437">
        <v>46286</v>
      </c>
      <c r="E437">
        <v>3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25">
      <c r="A438" t="s">
        <v>8</v>
      </c>
      <c r="B438" t="s">
        <v>292</v>
      </c>
      <c r="C438" t="s">
        <v>291</v>
      </c>
      <c r="D438">
        <v>61425</v>
      </c>
      <c r="E438">
        <v>6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25">
      <c r="A439" t="s">
        <v>12</v>
      </c>
      <c r="B439" t="s">
        <v>243</v>
      </c>
      <c r="C439" t="s">
        <v>291</v>
      </c>
      <c r="D439">
        <v>12680</v>
      </c>
      <c r="E439">
        <v>2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25">
      <c r="A440" t="s">
        <v>8</v>
      </c>
      <c r="B440" t="s">
        <v>107</v>
      </c>
      <c r="C440" t="s">
        <v>291</v>
      </c>
      <c r="D440">
        <v>52709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25">
      <c r="A441" t="s">
        <v>36</v>
      </c>
      <c r="B441" t="s">
        <v>148</v>
      </c>
      <c r="C441" t="s">
        <v>291</v>
      </c>
      <c r="D441">
        <v>21222</v>
      </c>
      <c r="E441">
        <v>7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25">
      <c r="A442" t="s">
        <v>15</v>
      </c>
      <c r="B442" t="s">
        <v>293</v>
      </c>
      <c r="C442" t="s">
        <v>294</v>
      </c>
      <c r="D442">
        <v>28440</v>
      </c>
      <c r="E442">
        <v>9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25">
      <c r="A443" t="s">
        <v>36</v>
      </c>
      <c r="B443" t="s">
        <v>60</v>
      </c>
      <c r="C443" t="s">
        <v>294</v>
      </c>
      <c r="D443">
        <v>39076</v>
      </c>
      <c r="E443">
        <v>8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25">
      <c r="A444" t="s">
        <v>27</v>
      </c>
      <c r="B444" t="s">
        <v>66</v>
      </c>
      <c r="C444" t="s">
        <v>294</v>
      </c>
      <c r="D444">
        <v>71073</v>
      </c>
      <c r="E444">
        <v>7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25">
      <c r="A445" t="s">
        <v>48</v>
      </c>
      <c r="B445" t="s">
        <v>125</v>
      </c>
      <c r="C445" t="s">
        <v>295</v>
      </c>
      <c r="D445">
        <v>63211</v>
      </c>
      <c r="E445">
        <v>9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25">
      <c r="A446" t="s">
        <v>52</v>
      </c>
      <c r="B446" t="s">
        <v>287</v>
      </c>
      <c r="C446" t="s">
        <v>295</v>
      </c>
      <c r="D446">
        <v>84551</v>
      </c>
      <c r="E446">
        <v>5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25">
      <c r="A447" t="s">
        <v>10</v>
      </c>
      <c r="B447" t="s">
        <v>296</v>
      </c>
      <c r="C447" t="s">
        <v>295</v>
      </c>
      <c r="D447">
        <v>23165</v>
      </c>
      <c r="E447">
        <v>3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25">
      <c r="A448" t="s">
        <v>46</v>
      </c>
      <c r="B448" t="s">
        <v>131</v>
      </c>
      <c r="C448" t="s">
        <v>295</v>
      </c>
      <c r="D448">
        <v>95653</v>
      </c>
      <c r="E448">
        <v>3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25">
      <c r="A449" t="s">
        <v>15</v>
      </c>
      <c r="B449" t="s">
        <v>297</v>
      </c>
      <c r="C449" t="s">
        <v>298</v>
      </c>
      <c r="D449">
        <v>62932</v>
      </c>
      <c r="E449">
        <v>3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25">
      <c r="A450" t="s">
        <v>17</v>
      </c>
      <c r="B450" t="s">
        <v>239</v>
      </c>
      <c r="C450" t="s">
        <v>298</v>
      </c>
      <c r="D450">
        <v>87664</v>
      </c>
      <c r="E450">
        <v>7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25">
      <c r="A451" t="s">
        <v>23</v>
      </c>
      <c r="B451" t="s">
        <v>138</v>
      </c>
      <c r="C451" t="s">
        <v>298</v>
      </c>
      <c r="D451">
        <v>49290</v>
      </c>
      <c r="E451">
        <v>7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25">
      <c r="A452" t="s">
        <v>17</v>
      </c>
      <c r="B452" t="s">
        <v>203</v>
      </c>
      <c r="C452" t="s">
        <v>298</v>
      </c>
      <c r="D452">
        <v>52931</v>
      </c>
      <c r="E452">
        <v>8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25">
      <c r="A453" t="s">
        <v>36</v>
      </c>
      <c r="B453" t="s">
        <v>55</v>
      </c>
      <c r="C453" t="s">
        <v>299</v>
      </c>
      <c r="D453">
        <v>20141</v>
      </c>
      <c r="E453">
        <v>10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25">
      <c r="A454" t="s">
        <v>52</v>
      </c>
      <c r="B454" t="s">
        <v>258</v>
      </c>
      <c r="C454" t="s">
        <v>299</v>
      </c>
      <c r="D454">
        <v>66027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25">
      <c r="A455" t="s">
        <v>12</v>
      </c>
      <c r="B455" t="s">
        <v>47</v>
      </c>
      <c r="C455" t="s">
        <v>299</v>
      </c>
      <c r="D455">
        <v>51105</v>
      </c>
      <c r="E455">
        <v>7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25">
      <c r="A456" t="s">
        <v>36</v>
      </c>
      <c r="B456" t="s">
        <v>158</v>
      </c>
      <c r="C456" t="s">
        <v>299</v>
      </c>
      <c r="D456">
        <v>17479</v>
      </c>
      <c r="E456">
        <v>7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25">
      <c r="A457" t="s">
        <v>5</v>
      </c>
      <c r="B457" t="s">
        <v>130</v>
      </c>
      <c r="C457" t="s">
        <v>299</v>
      </c>
      <c r="D457">
        <v>31754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25">
      <c r="A458" t="s">
        <v>52</v>
      </c>
      <c r="B458" t="s">
        <v>300</v>
      </c>
      <c r="C458" t="s">
        <v>301</v>
      </c>
      <c r="D458">
        <v>72481</v>
      </c>
      <c r="E458">
        <v>9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25">
      <c r="A459" t="s">
        <v>5</v>
      </c>
      <c r="B459" t="s">
        <v>302</v>
      </c>
      <c r="C459" t="s">
        <v>301</v>
      </c>
      <c r="D459">
        <v>64936</v>
      </c>
      <c r="E459">
        <v>8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25">
      <c r="A460" t="s">
        <v>52</v>
      </c>
      <c r="B460" t="s">
        <v>146</v>
      </c>
      <c r="C460" t="s">
        <v>303</v>
      </c>
      <c r="D460">
        <v>35251</v>
      </c>
      <c r="E460">
        <v>8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25">
      <c r="A461" t="s">
        <v>48</v>
      </c>
      <c r="B461" t="s">
        <v>115</v>
      </c>
      <c r="C461" t="s">
        <v>303</v>
      </c>
      <c r="D461">
        <v>78460</v>
      </c>
      <c r="E461">
        <v>2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25">
      <c r="A462" t="s">
        <v>17</v>
      </c>
      <c r="B462" t="s">
        <v>304</v>
      </c>
      <c r="C462" t="s">
        <v>303</v>
      </c>
      <c r="D462">
        <v>53494</v>
      </c>
      <c r="E462">
        <v>3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25">
      <c r="A463" t="s">
        <v>52</v>
      </c>
      <c r="B463" t="s">
        <v>161</v>
      </c>
      <c r="C463" t="s">
        <v>303</v>
      </c>
      <c r="D463">
        <v>21142</v>
      </c>
      <c r="E463">
        <v>1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25">
      <c r="A464" t="s">
        <v>15</v>
      </c>
      <c r="B464" t="s">
        <v>157</v>
      </c>
      <c r="C464" t="s">
        <v>303</v>
      </c>
      <c r="D464">
        <v>16826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25">
      <c r="A465" t="s">
        <v>52</v>
      </c>
      <c r="B465" t="s">
        <v>108</v>
      </c>
      <c r="C465" t="s">
        <v>303</v>
      </c>
      <c r="D465">
        <v>45084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25">
      <c r="A466" t="s">
        <v>12</v>
      </c>
      <c r="B466" t="s">
        <v>165</v>
      </c>
      <c r="C466" t="s">
        <v>303</v>
      </c>
      <c r="D466">
        <v>22452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25">
      <c r="A467" t="s">
        <v>36</v>
      </c>
      <c r="B467" t="s">
        <v>193</v>
      </c>
      <c r="C467" t="s">
        <v>303</v>
      </c>
      <c r="D467">
        <v>34928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25">
      <c r="A468" t="s">
        <v>48</v>
      </c>
      <c r="B468" t="s">
        <v>129</v>
      </c>
      <c r="C468" t="s">
        <v>303</v>
      </c>
      <c r="D468">
        <v>44905</v>
      </c>
      <c r="E468">
        <v>6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25">
      <c r="A469" t="s">
        <v>46</v>
      </c>
      <c r="B469" t="s">
        <v>296</v>
      </c>
      <c r="C469" t="s">
        <v>305</v>
      </c>
      <c r="D469">
        <v>13355</v>
      </c>
      <c r="E469">
        <v>9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25">
      <c r="A470" t="s">
        <v>8</v>
      </c>
      <c r="B470" t="s">
        <v>127</v>
      </c>
      <c r="C470" t="s">
        <v>305</v>
      </c>
      <c r="D470">
        <v>11055</v>
      </c>
      <c r="E470">
        <v>7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25">
      <c r="A471" t="s">
        <v>36</v>
      </c>
      <c r="B471" t="s">
        <v>107</v>
      </c>
      <c r="C471" t="s">
        <v>306</v>
      </c>
      <c r="D471">
        <v>60353</v>
      </c>
      <c r="E471">
        <v>9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25">
      <c r="A472" t="s">
        <v>5</v>
      </c>
      <c r="B472" t="s">
        <v>296</v>
      </c>
      <c r="C472" t="s">
        <v>306</v>
      </c>
      <c r="D472">
        <v>16791</v>
      </c>
      <c r="E472">
        <v>8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25">
      <c r="A473" t="s">
        <v>46</v>
      </c>
      <c r="B473" t="s">
        <v>105</v>
      </c>
      <c r="C473" t="s">
        <v>307</v>
      </c>
      <c r="D473">
        <v>96766</v>
      </c>
      <c r="E473">
        <v>1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25">
      <c r="A474" t="s">
        <v>36</v>
      </c>
      <c r="B474" t="s">
        <v>125</v>
      </c>
      <c r="C474" t="s">
        <v>307</v>
      </c>
      <c r="D474">
        <v>68914</v>
      </c>
      <c r="E474">
        <v>1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25">
      <c r="A475" t="s">
        <v>23</v>
      </c>
      <c r="B475" t="s">
        <v>223</v>
      </c>
      <c r="C475" t="s">
        <v>307</v>
      </c>
      <c r="D475">
        <v>87708</v>
      </c>
      <c r="E475">
        <v>4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25">
      <c r="A476" t="s">
        <v>52</v>
      </c>
      <c r="B476" t="s">
        <v>63</v>
      </c>
      <c r="C476" t="s">
        <v>307</v>
      </c>
      <c r="D476">
        <v>92712</v>
      </c>
      <c r="E476">
        <v>2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25">
      <c r="A477" t="s">
        <v>23</v>
      </c>
      <c r="B477" t="s">
        <v>146</v>
      </c>
      <c r="C477" t="s">
        <v>307</v>
      </c>
      <c r="D477">
        <v>94717</v>
      </c>
      <c r="E477">
        <v>2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25">
      <c r="A478" t="s">
        <v>10</v>
      </c>
      <c r="B478" t="s">
        <v>256</v>
      </c>
      <c r="C478" t="s">
        <v>307</v>
      </c>
      <c r="D478">
        <v>59518</v>
      </c>
      <c r="E478">
        <v>2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25">
      <c r="A479" t="s">
        <v>52</v>
      </c>
      <c r="B479" t="s">
        <v>122</v>
      </c>
      <c r="C479" t="s">
        <v>308</v>
      </c>
      <c r="D479">
        <v>38561</v>
      </c>
      <c r="E479">
        <v>6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25">
      <c r="A480" t="s">
        <v>15</v>
      </c>
      <c r="B480" t="s">
        <v>111</v>
      </c>
      <c r="C480" t="s">
        <v>308</v>
      </c>
      <c r="D480">
        <v>90116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25">
      <c r="A481" t="s">
        <v>17</v>
      </c>
      <c r="B481" t="s">
        <v>131</v>
      </c>
      <c r="C481" t="s">
        <v>308</v>
      </c>
      <c r="D481">
        <v>54606</v>
      </c>
      <c r="E481">
        <v>7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25">
      <c r="A482" t="s">
        <v>17</v>
      </c>
      <c r="B482" t="s">
        <v>198</v>
      </c>
      <c r="C482" t="s">
        <v>308</v>
      </c>
      <c r="D482">
        <v>69608</v>
      </c>
      <c r="E482">
        <v>9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25">
      <c r="A483" t="s">
        <v>15</v>
      </c>
      <c r="B483" t="s">
        <v>41</v>
      </c>
      <c r="C483" t="s">
        <v>308</v>
      </c>
      <c r="D483">
        <v>19805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25">
      <c r="A484" t="s">
        <v>17</v>
      </c>
      <c r="B484" t="s">
        <v>101</v>
      </c>
      <c r="C484" t="s">
        <v>309</v>
      </c>
      <c r="D484">
        <v>52277</v>
      </c>
      <c r="E484">
        <v>9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25">
      <c r="A485" t="s">
        <v>52</v>
      </c>
      <c r="B485" t="s">
        <v>45</v>
      </c>
      <c r="C485" t="s">
        <v>309</v>
      </c>
      <c r="D485">
        <v>36081</v>
      </c>
      <c r="E485">
        <v>4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25">
      <c r="A486" t="s">
        <v>27</v>
      </c>
      <c r="B486" t="s">
        <v>113</v>
      </c>
      <c r="C486" t="s">
        <v>310</v>
      </c>
      <c r="D486">
        <v>24645</v>
      </c>
      <c r="E486">
        <v>8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25">
      <c r="A487" t="s">
        <v>15</v>
      </c>
      <c r="B487" t="s">
        <v>125</v>
      </c>
      <c r="C487" t="s">
        <v>310</v>
      </c>
      <c r="D487">
        <v>21004</v>
      </c>
      <c r="E487">
        <v>8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25">
      <c r="A488" t="s">
        <v>23</v>
      </c>
      <c r="B488" t="s">
        <v>150</v>
      </c>
      <c r="C488" t="s">
        <v>310</v>
      </c>
      <c r="D488">
        <v>13231</v>
      </c>
      <c r="E488">
        <v>6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25">
      <c r="A489" t="s">
        <v>15</v>
      </c>
      <c r="B489" t="s">
        <v>165</v>
      </c>
      <c r="C489" t="s">
        <v>310</v>
      </c>
      <c r="D489">
        <v>82755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25">
      <c r="A490" t="s">
        <v>17</v>
      </c>
      <c r="B490" t="s">
        <v>300</v>
      </c>
      <c r="C490" t="s">
        <v>311</v>
      </c>
      <c r="D490">
        <v>17750</v>
      </c>
      <c r="E490">
        <v>7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25">
      <c r="A491" t="s">
        <v>12</v>
      </c>
      <c r="B491" t="s">
        <v>190</v>
      </c>
      <c r="C491" t="s">
        <v>311</v>
      </c>
      <c r="D491">
        <v>33968</v>
      </c>
      <c r="E491">
        <v>4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25">
      <c r="A492" t="s">
        <v>27</v>
      </c>
      <c r="B492" t="s">
        <v>312</v>
      </c>
      <c r="C492" t="s">
        <v>311</v>
      </c>
      <c r="D492">
        <v>25934</v>
      </c>
      <c r="E492">
        <v>3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25">
      <c r="A493" t="s">
        <v>15</v>
      </c>
      <c r="B493" t="s">
        <v>85</v>
      </c>
      <c r="C493" t="s">
        <v>311</v>
      </c>
      <c r="D493">
        <v>21424</v>
      </c>
      <c r="E493">
        <v>3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25">
      <c r="A494" t="s">
        <v>46</v>
      </c>
      <c r="B494" t="s">
        <v>313</v>
      </c>
      <c r="C494" t="s">
        <v>311</v>
      </c>
      <c r="D494">
        <v>50637</v>
      </c>
      <c r="E494">
        <v>7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25">
      <c r="A495" t="s">
        <v>17</v>
      </c>
      <c r="B495" t="s">
        <v>37</v>
      </c>
      <c r="C495" t="s">
        <v>314</v>
      </c>
      <c r="D495">
        <v>19221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x14ac:dyDescent="0.25">
      <c r="A496" t="s">
        <v>52</v>
      </c>
      <c r="B496" t="s">
        <v>209</v>
      </c>
      <c r="C496" t="s">
        <v>314</v>
      </c>
      <c r="D496">
        <v>78681</v>
      </c>
      <c r="E496">
        <v>8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x14ac:dyDescent="0.25">
      <c r="A497" t="s">
        <v>10</v>
      </c>
      <c r="B497" t="s">
        <v>71</v>
      </c>
      <c r="C497" t="s">
        <v>315</v>
      </c>
      <c r="D497">
        <v>84587</v>
      </c>
      <c r="E497">
        <v>8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x14ac:dyDescent="0.25">
      <c r="A498" t="s">
        <v>12</v>
      </c>
      <c r="B498" t="s">
        <v>280</v>
      </c>
      <c r="C498" t="s">
        <v>315</v>
      </c>
      <c r="D498">
        <v>12315</v>
      </c>
      <c r="E498">
        <v>5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x14ac:dyDescent="0.25">
      <c r="A499" t="s">
        <v>17</v>
      </c>
      <c r="B499" t="s">
        <v>86</v>
      </c>
      <c r="C499" t="s">
        <v>315</v>
      </c>
      <c r="D499">
        <v>82487</v>
      </c>
      <c r="E499">
        <v>2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x14ac:dyDescent="0.25">
      <c r="A500" t="s">
        <v>27</v>
      </c>
      <c r="B500" t="s">
        <v>312</v>
      </c>
      <c r="C500" t="s">
        <v>315</v>
      </c>
      <c r="D500">
        <v>57227</v>
      </c>
      <c r="E500">
        <v>7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x14ac:dyDescent="0.25">
      <c r="A501" t="s">
        <v>23</v>
      </c>
      <c r="B501" t="s">
        <v>85</v>
      </c>
      <c r="C501" t="s">
        <v>315</v>
      </c>
      <c r="D501">
        <v>46125</v>
      </c>
      <c r="E501">
        <v>7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x14ac:dyDescent="0.25">
      <c r="A502" t="s">
        <v>52</v>
      </c>
      <c r="B502" t="s">
        <v>115</v>
      </c>
      <c r="C502" t="s">
        <v>315</v>
      </c>
      <c r="D502">
        <v>20094</v>
      </c>
      <c r="E502">
        <v>5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x14ac:dyDescent="0.25">
      <c r="A503" t="s">
        <v>17</v>
      </c>
      <c r="B503" t="s">
        <v>156</v>
      </c>
      <c r="C503" t="s">
        <v>315</v>
      </c>
      <c r="D503">
        <v>25667</v>
      </c>
      <c r="E503">
        <v>9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x14ac:dyDescent="0.25">
      <c r="A504" t="s">
        <v>36</v>
      </c>
      <c r="B504" t="s">
        <v>316</v>
      </c>
      <c r="C504" t="s">
        <v>315</v>
      </c>
      <c r="D504">
        <v>89154</v>
      </c>
      <c r="E504">
        <v>7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x14ac:dyDescent="0.25">
      <c r="A505" t="s">
        <v>48</v>
      </c>
      <c r="B505" t="s">
        <v>317</v>
      </c>
      <c r="C505" t="s">
        <v>315</v>
      </c>
      <c r="D505">
        <v>97389</v>
      </c>
      <c r="E505">
        <v>3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x14ac:dyDescent="0.25">
      <c r="A506" t="s">
        <v>5</v>
      </c>
      <c r="B506" t="s">
        <v>258</v>
      </c>
      <c r="C506" t="s">
        <v>318</v>
      </c>
      <c r="D506">
        <v>50556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25">
      <c r="A507" t="s">
        <v>36</v>
      </c>
      <c r="B507" t="s">
        <v>232</v>
      </c>
      <c r="C507" t="s">
        <v>318</v>
      </c>
      <c r="D507">
        <v>65941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25">
      <c r="A508" t="s">
        <v>8</v>
      </c>
      <c r="B508" t="s">
        <v>118</v>
      </c>
      <c r="C508" t="s">
        <v>318</v>
      </c>
      <c r="D508">
        <v>13127</v>
      </c>
      <c r="E508">
        <v>4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25">
      <c r="A509" t="s">
        <v>10</v>
      </c>
      <c r="B509" t="s">
        <v>227</v>
      </c>
      <c r="C509" t="s">
        <v>318</v>
      </c>
      <c r="D509">
        <v>69498</v>
      </c>
      <c r="E509">
        <v>7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25">
      <c r="A510" t="s">
        <v>23</v>
      </c>
      <c r="B510" t="s">
        <v>141</v>
      </c>
      <c r="C510" t="s">
        <v>319</v>
      </c>
      <c r="D510">
        <v>18735</v>
      </c>
      <c r="E510">
        <v>1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25">
      <c r="A511" t="s">
        <v>8</v>
      </c>
      <c r="B511" t="s">
        <v>171</v>
      </c>
      <c r="C511" t="s">
        <v>319</v>
      </c>
      <c r="D511">
        <v>62150</v>
      </c>
      <c r="E511">
        <v>10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25">
      <c r="A512" t="s">
        <v>15</v>
      </c>
      <c r="B512" t="s">
        <v>320</v>
      </c>
      <c r="C512" t="s">
        <v>319</v>
      </c>
      <c r="D512">
        <v>53950</v>
      </c>
      <c r="E512">
        <v>7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25">
      <c r="A513" t="s">
        <v>46</v>
      </c>
      <c r="B513" t="s">
        <v>171</v>
      </c>
      <c r="C513" t="s">
        <v>319</v>
      </c>
      <c r="D513">
        <v>51879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25">
      <c r="A514" t="s">
        <v>12</v>
      </c>
      <c r="B514" t="s">
        <v>32</v>
      </c>
      <c r="C514" t="s">
        <v>321</v>
      </c>
      <c r="D514">
        <v>56263</v>
      </c>
      <c r="E514">
        <v>4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25">
      <c r="A515" t="s">
        <v>15</v>
      </c>
      <c r="B515" t="s">
        <v>9</v>
      </c>
      <c r="C515" t="s">
        <v>321</v>
      </c>
      <c r="D515">
        <v>15903</v>
      </c>
      <c r="E515">
        <v>1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x14ac:dyDescent="0.25">
      <c r="A516" t="s">
        <v>15</v>
      </c>
      <c r="B516" t="s">
        <v>67</v>
      </c>
      <c r="C516" t="s">
        <v>321</v>
      </c>
      <c r="D516">
        <v>70695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25">
      <c r="A517" t="s">
        <v>27</v>
      </c>
      <c r="B517" t="s">
        <v>75</v>
      </c>
      <c r="C517" t="s">
        <v>321</v>
      </c>
      <c r="D517">
        <v>14281</v>
      </c>
      <c r="E517">
        <v>8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25">
      <c r="A518" t="s">
        <v>46</v>
      </c>
      <c r="B518" t="s">
        <v>228</v>
      </c>
      <c r="C518" t="s">
        <v>321</v>
      </c>
      <c r="D518">
        <v>12007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25">
      <c r="A519" t="s">
        <v>36</v>
      </c>
      <c r="B519" t="s">
        <v>280</v>
      </c>
      <c r="C519" t="s">
        <v>321</v>
      </c>
      <c r="D519">
        <v>29103</v>
      </c>
      <c r="E519">
        <v>3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25">
      <c r="A520" t="s">
        <v>27</v>
      </c>
      <c r="B520" t="s">
        <v>322</v>
      </c>
      <c r="C520" t="s">
        <v>323</v>
      </c>
      <c r="D520">
        <v>16552</v>
      </c>
      <c r="E520">
        <v>6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25">
      <c r="A521" t="s">
        <v>48</v>
      </c>
      <c r="B521" t="s">
        <v>11</v>
      </c>
      <c r="C521" t="s">
        <v>324</v>
      </c>
      <c r="D521">
        <v>56432</v>
      </c>
      <c r="E521">
        <v>4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25">
      <c r="A522" t="s">
        <v>52</v>
      </c>
      <c r="B522" t="s">
        <v>82</v>
      </c>
      <c r="C522" t="s">
        <v>324</v>
      </c>
      <c r="D522">
        <v>47041</v>
      </c>
      <c r="E522">
        <v>2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25">
      <c r="A523" t="s">
        <v>46</v>
      </c>
      <c r="B523" t="s">
        <v>325</v>
      </c>
      <c r="C523" t="s">
        <v>324</v>
      </c>
      <c r="D523">
        <v>95803</v>
      </c>
      <c r="E523">
        <v>9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25">
      <c r="A524" t="s">
        <v>36</v>
      </c>
      <c r="B524" t="s">
        <v>47</v>
      </c>
      <c r="C524" t="s">
        <v>324</v>
      </c>
      <c r="D524">
        <v>89763</v>
      </c>
      <c r="E524">
        <v>1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25">
      <c r="A525" t="s">
        <v>52</v>
      </c>
      <c r="B525" t="s">
        <v>28</v>
      </c>
      <c r="C525" t="s">
        <v>324</v>
      </c>
      <c r="D525">
        <v>16817</v>
      </c>
      <c r="E525">
        <v>1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25">
      <c r="A526" t="s">
        <v>15</v>
      </c>
      <c r="B526" t="s">
        <v>121</v>
      </c>
      <c r="C526" t="s">
        <v>324</v>
      </c>
      <c r="D526">
        <v>82414</v>
      </c>
      <c r="E526">
        <v>7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25">
      <c r="A527" t="s">
        <v>12</v>
      </c>
      <c r="B527" t="s">
        <v>151</v>
      </c>
      <c r="C527" t="s">
        <v>324</v>
      </c>
      <c r="D527">
        <v>96232</v>
      </c>
      <c r="E527">
        <v>6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25">
      <c r="A528" t="s">
        <v>48</v>
      </c>
      <c r="B528" t="s">
        <v>268</v>
      </c>
      <c r="C528" t="s">
        <v>324</v>
      </c>
      <c r="D528">
        <v>79594</v>
      </c>
      <c r="E528">
        <v>10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25">
      <c r="A529" t="s">
        <v>46</v>
      </c>
      <c r="B529" t="s">
        <v>109</v>
      </c>
      <c r="C529" t="s">
        <v>324</v>
      </c>
      <c r="D529">
        <v>99440</v>
      </c>
      <c r="E529">
        <v>0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25">
      <c r="A530" t="s">
        <v>23</v>
      </c>
      <c r="B530" t="s">
        <v>31</v>
      </c>
      <c r="C530" t="s">
        <v>326</v>
      </c>
      <c r="D530">
        <v>32154</v>
      </c>
      <c r="E530">
        <v>5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25">
      <c r="A531" t="s">
        <v>8</v>
      </c>
      <c r="B531" t="s">
        <v>282</v>
      </c>
      <c r="C531" t="s">
        <v>326</v>
      </c>
      <c r="D531">
        <v>32391</v>
      </c>
      <c r="E531">
        <v>8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25">
      <c r="A532" t="s">
        <v>15</v>
      </c>
      <c r="B532" t="s">
        <v>173</v>
      </c>
      <c r="C532" t="s">
        <v>326</v>
      </c>
      <c r="D532">
        <v>83462</v>
      </c>
      <c r="E532">
        <v>4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25">
      <c r="A533" t="s">
        <v>27</v>
      </c>
      <c r="B533" t="s">
        <v>98</v>
      </c>
      <c r="C533" t="s">
        <v>326</v>
      </c>
      <c r="D533">
        <v>89271</v>
      </c>
      <c r="E533">
        <v>5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25">
      <c r="A534" t="s">
        <v>17</v>
      </c>
      <c r="B534" t="s">
        <v>79</v>
      </c>
      <c r="C534" t="s">
        <v>327</v>
      </c>
      <c r="D534">
        <v>70095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25">
      <c r="A535" t="s">
        <v>5</v>
      </c>
      <c r="B535" t="s">
        <v>328</v>
      </c>
      <c r="C535" t="s">
        <v>327</v>
      </c>
      <c r="D535">
        <v>51469</v>
      </c>
      <c r="E535">
        <v>2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25">
      <c r="A536" t="s">
        <v>48</v>
      </c>
      <c r="B536" t="s">
        <v>270</v>
      </c>
      <c r="C536" t="s">
        <v>327</v>
      </c>
      <c r="D536">
        <v>83729</v>
      </c>
      <c r="E536">
        <v>3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25">
      <c r="A537" t="s">
        <v>46</v>
      </c>
      <c r="B537" t="s">
        <v>59</v>
      </c>
      <c r="C537" t="s">
        <v>327</v>
      </c>
      <c r="D537">
        <v>91122</v>
      </c>
      <c r="E537">
        <v>4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25">
      <c r="A538" t="s">
        <v>15</v>
      </c>
      <c r="B538" t="s">
        <v>271</v>
      </c>
      <c r="C538" t="s">
        <v>329</v>
      </c>
      <c r="D538">
        <v>63044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25">
      <c r="A539" t="s">
        <v>52</v>
      </c>
      <c r="B539" t="s">
        <v>330</v>
      </c>
      <c r="C539" t="s">
        <v>329</v>
      </c>
      <c r="D539">
        <v>31315</v>
      </c>
      <c r="E539">
        <v>3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25">
      <c r="A540" t="s">
        <v>5</v>
      </c>
      <c r="B540" t="s">
        <v>180</v>
      </c>
      <c r="C540" t="s">
        <v>329</v>
      </c>
      <c r="D540">
        <v>58155</v>
      </c>
      <c r="E540">
        <v>0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25">
      <c r="A541" t="s">
        <v>8</v>
      </c>
      <c r="B541" t="s">
        <v>20</v>
      </c>
      <c r="C541" t="s">
        <v>331</v>
      </c>
      <c r="D541">
        <v>90562</v>
      </c>
      <c r="E541">
        <v>3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25">
      <c r="A542" t="s">
        <v>10</v>
      </c>
      <c r="B542" t="s">
        <v>300</v>
      </c>
      <c r="C542" t="s">
        <v>331</v>
      </c>
      <c r="D542">
        <v>91653</v>
      </c>
      <c r="E542">
        <v>4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25">
      <c r="A543" t="s">
        <v>52</v>
      </c>
      <c r="B543" t="s">
        <v>187</v>
      </c>
      <c r="C543" t="s">
        <v>332</v>
      </c>
      <c r="D543">
        <v>73668</v>
      </c>
      <c r="E543">
        <v>1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25">
      <c r="A544" t="s">
        <v>12</v>
      </c>
      <c r="B544" t="s">
        <v>107</v>
      </c>
      <c r="C544" t="s">
        <v>332</v>
      </c>
      <c r="D544">
        <v>53742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25">
      <c r="A545" t="s">
        <v>5</v>
      </c>
      <c r="B545" t="s">
        <v>108</v>
      </c>
      <c r="C545" t="s">
        <v>332</v>
      </c>
      <c r="D545">
        <v>59530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25">
      <c r="A546" t="s">
        <v>17</v>
      </c>
      <c r="B546" t="s">
        <v>191</v>
      </c>
      <c r="C546" t="s">
        <v>332</v>
      </c>
      <c r="D546">
        <v>80385</v>
      </c>
      <c r="E546">
        <v>6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25">
      <c r="A547" t="s">
        <v>27</v>
      </c>
      <c r="B547" t="s">
        <v>172</v>
      </c>
      <c r="C547" t="s">
        <v>332</v>
      </c>
      <c r="D547">
        <v>16102</v>
      </c>
      <c r="E547">
        <v>6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25">
      <c r="A548" t="s">
        <v>8</v>
      </c>
      <c r="B548" t="s">
        <v>150</v>
      </c>
      <c r="C548" t="s">
        <v>332</v>
      </c>
      <c r="D548">
        <v>58380</v>
      </c>
      <c r="E548">
        <v>5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25">
      <c r="A549" t="s">
        <v>17</v>
      </c>
      <c r="B549" t="s">
        <v>6</v>
      </c>
      <c r="C549" t="s">
        <v>332</v>
      </c>
      <c r="D549">
        <v>72454</v>
      </c>
      <c r="E549">
        <v>8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25">
      <c r="A550" t="s">
        <v>5</v>
      </c>
      <c r="B550" t="s">
        <v>62</v>
      </c>
      <c r="C550" t="s">
        <v>332</v>
      </c>
      <c r="D550">
        <v>41573</v>
      </c>
      <c r="E550">
        <v>9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25">
      <c r="A551" t="s">
        <v>48</v>
      </c>
      <c r="B551" t="s">
        <v>207</v>
      </c>
      <c r="C551" t="s">
        <v>332</v>
      </c>
      <c r="D551">
        <v>72506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25">
      <c r="A552" t="s">
        <v>23</v>
      </c>
      <c r="B552" t="s">
        <v>75</v>
      </c>
      <c r="C552" t="s">
        <v>332</v>
      </c>
      <c r="D552">
        <v>81896</v>
      </c>
      <c r="E552">
        <v>4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25">
      <c r="A553" t="s">
        <v>27</v>
      </c>
      <c r="B553" t="s">
        <v>293</v>
      </c>
      <c r="C553" t="s">
        <v>333</v>
      </c>
      <c r="D553">
        <v>47903</v>
      </c>
      <c r="E553">
        <v>7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25">
      <c r="A554" t="s">
        <v>36</v>
      </c>
      <c r="B554" t="s">
        <v>195</v>
      </c>
      <c r="C554" t="s">
        <v>333</v>
      </c>
      <c r="D554">
        <v>65659</v>
      </c>
      <c r="E554">
        <v>8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25">
      <c r="A555" t="s">
        <v>36</v>
      </c>
      <c r="B555" t="s">
        <v>264</v>
      </c>
      <c r="C555" t="s">
        <v>333</v>
      </c>
      <c r="D555">
        <v>63507</v>
      </c>
      <c r="E555">
        <v>8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25">
      <c r="A556" t="s">
        <v>5</v>
      </c>
      <c r="B556" t="s">
        <v>304</v>
      </c>
      <c r="C556" t="s">
        <v>333</v>
      </c>
      <c r="D556">
        <v>63685</v>
      </c>
      <c r="E556">
        <v>9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25">
      <c r="A557" t="s">
        <v>46</v>
      </c>
      <c r="B557" t="s">
        <v>173</v>
      </c>
      <c r="C557" t="s">
        <v>333</v>
      </c>
      <c r="D557">
        <v>32820</v>
      </c>
      <c r="E557">
        <v>10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25">
      <c r="A558" t="s">
        <v>48</v>
      </c>
      <c r="B558" t="s">
        <v>282</v>
      </c>
      <c r="C558" t="s">
        <v>334</v>
      </c>
      <c r="D558">
        <v>27818</v>
      </c>
      <c r="E558">
        <v>2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25">
      <c r="A559" t="s">
        <v>8</v>
      </c>
      <c r="B559" t="s">
        <v>172</v>
      </c>
      <c r="C559" t="s">
        <v>334</v>
      </c>
      <c r="D559">
        <v>35612</v>
      </c>
      <c r="E559">
        <v>9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25">
      <c r="A560" t="s">
        <v>8</v>
      </c>
      <c r="B560" t="s">
        <v>335</v>
      </c>
      <c r="C560" t="s">
        <v>336</v>
      </c>
      <c r="D560">
        <v>16041</v>
      </c>
      <c r="E560">
        <v>3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25">
      <c r="A561" t="s">
        <v>12</v>
      </c>
      <c r="B561" t="s">
        <v>66</v>
      </c>
      <c r="C561" t="s">
        <v>336</v>
      </c>
      <c r="D561">
        <v>21994</v>
      </c>
      <c r="E561">
        <v>1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25">
      <c r="A562" t="s">
        <v>52</v>
      </c>
      <c r="B562" t="s">
        <v>198</v>
      </c>
      <c r="C562" t="s">
        <v>336</v>
      </c>
      <c r="D562">
        <v>81219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25">
      <c r="A563" t="s">
        <v>8</v>
      </c>
      <c r="B563" t="s">
        <v>138</v>
      </c>
      <c r="C563" t="s">
        <v>337</v>
      </c>
      <c r="D563">
        <v>97902</v>
      </c>
      <c r="E563">
        <v>9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25">
      <c r="A564" t="s">
        <v>17</v>
      </c>
      <c r="B564" t="s">
        <v>116</v>
      </c>
      <c r="C564" t="s">
        <v>337</v>
      </c>
      <c r="D564">
        <v>99330</v>
      </c>
      <c r="E564">
        <v>9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25">
      <c r="A565" t="s">
        <v>23</v>
      </c>
      <c r="B565" t="s">
        <v>338</v>
      </c>
      <c r="C565" t="s">
        <v>339</v>
      </c>
      <c r="D565">
        <v>10641</v>
      </c>
      <c r="E565">
        <v>2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25">
      <c r="A566" t="s">
        <v>23</v>
      </c>
      <c r="B566" t="s">
        <v>74</v>
      </c>
      <c r="C566" t="s">
        <v>339</v>
      </c>
      <c r="D566">
        <v>86939</v>
      </c>
      <c r="E566">
        <v>4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25">
      <c r="A567" t="s">
        <v>27</v>
      </c>
      <c r="B567" t="s">
        <v>144</v>
      </c>
      <c r="C567" t="s">
        <v>339</v>
      </c>
      <c r="D567">
        <v>25052</v>
      </c>
      <c r="E567">
        <v>9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25">
      <c r="A568" t="s">
        <v>5</v>
      </c>
      <c r="B568" t="s">
        <v>82</v>
      </c>
      <c r="C568" t="s">
        <v>339</v>
      </c>
      <c r="D568">
        <v>83109</v>
      </c>
      <c r="E568">
        <v>0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25">
      <c r="A569" t="s">
        <v>36</v>
      </c>
      <c r="B569" t="s">
        <v>139</v>
      </c>
      <c r="C569" t="s">
        <v>339</v>
      </c>
      <c r="D569">
        <v>65872</v>
      </c>
      <c r="E569">
        <v>6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25">
      <c r="A570" t="s">
        <v>10</v>
      </c>
      <c r="B570" t="s">
        <v>77</v>
      </c>
      <c r="C570" t="s">
        <v>339</v>
      </c>
      <c r="D570">
        <v>87583</v>
      </c>
      <c r="E570">
        <v>10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25">
      <c r="A571" t="s">
        <v>46</v>
      </c>
      <c r="B571" t="s">
        <v>212</v>
      </c>
      <c r="C571" t="s">
        <v>339</v>
      </c>
      <c r="D571">
        <v>79089</v>
      </c>
      <c r="E571">
        <v>5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25">
      <c r="A572" t="s">
        <v>46</v>
      </c>
      <c r="B572" t="s">
        <v>316</v>
      </c>
      <c r="C572" t="s">
        <v>339</v>
      </c>
      <c r="D572">
        <v>63551</v>
      </c>
      <c r="E572">
        <v>6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25">
      <c r="A573" t="s">
        <v>48</v>
      </c>
      <c r="B573" t="s">
        <v>320</v>
      </c>
      <c r="C573" t="s">
        <v>339</v>
      </c>
      <c r="D573">
        <v>98271</v>
      </c>
      <c r="E573">
        <v>7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25">
      <c r="A574" t="s">
        <v>27</v>
      </c>
      <c r="B574" t="s">
        <v>74</v>
      </c>
      <c r="C574" t="s">
        <v>339</v>
      </c>
      <c r="D574">
        <v>52073</v>
      </c>
      <c r="E574">
        <v>7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25">
      <c r="A575" t="s">
        <v>46</v>
      </c>
      <c r="B575" t="s">
        <v>38</v>
      </c>
      <c r="C575" t="s">
        <v>339</v>
      </c>
      <c r="D575">
        <v>95735</v>
      </c>
      <c r="E575">
        <v>8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25">
      <c r="A576" t="s">
        <v>52</v>
      </c>
      <c r="B576" t="s">
        <v>86</v>
      </c>
      <c r="C576" t="s">
        <v>339</v>
      </c>
      <c r="D576">
        <v>17923</v>
      </c>
      <c r="E576">
        <v>8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25">
      <c r="A577" t="s">
        <v>8</v>
      </c>
      <c r="B577" t="s">
        <v>272</v>
      </c>
      <c r="C577" t="s">
        <v>339</v>
      </c>
      <c r="D577">
        <v>25123</v>
      </c>
      <c r="E577">
        <v>7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25">
      <c r="A578" t="s">
        <v>10</v>
      </c>
      <c r="B578" t="s">
        <v>198</v>
      </c>
      <c r="C578" t="s">
        <v>340</v>
      </c>
      <c r="D578">
        <v>49310</v>
      </c>
      <c r="E578">
        <v>2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x14ac:dyDescent="0.25">
      <c r="A579" t="s">
        <v>15</v>
      </c>
      <c r="B579" t="s">
        <v>60</v>
      </c>
      <c r="C579" t="s">
        <v>340</v>
      </c>
      <c r="D579">
        <v>25542</v>
      </c>
      <c r="E579">
        <v>6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x14ac:dyDescent="0.25">
      <c r="A580" t="s">
        <v>17</v>
      </c>
      <c r="B580" t="s">
        <v>195</v>
      </c>
      <c r="C580" t="s">
        <v>340</v>
      </c>
      <c r="D580">
        <v>13817</v>
      </c>
      <c r="E580">
        <v>7</v>
      </c>
      <c r="F580">
        <f t="shared" si="27"/>
        <v>2024</v>
      </c>
      <c r="G580">
        <f t="shared" si="28"/>
        <v>3</v>
      </c>
      <c r="H580" t="str">
        <f t="shared" si="29"/>
        <v>2024-3</v>
      </c>
    </row>
    <row r="581" spans="1:8" x14ac:dyDescent="0.25">
      <c r="A581" t="s">
        <v>17</v>
      </c>
      <c r="B581" t="s">
        <v>150</v>
      </c>
      <c r="C581" t="s">
        <v>341</v>
      </c>
      <c r="D581">
        <v>63235</v>
      </c>
      <c r="E581">
        <v>6</v>
      </c>
      <c r="F581">
        <f t="shared" si="27"/>
        <v>2024</v>
      </c>
      <c r="G581">
        <f t="shared" si="28"/>
        <v>3</v>
      </c>
      <c r="H581" t="str">
        <f t="shared" si="29"/>
        <v>2024-3</v>
      </c>
    </row>
    <row r="582" spans="1:8" x14ac:dyDescent="0.25">
      <c r="A582" t="s">
        <v>48</v>
      </c>
      <c r="B582" t="s">
        <v>151</v>
      </c>
      <c r="C582" t="s">
        <v>341</v>
      </c>
      <c r="D582">
        <v>93632</v>
      </c>
      <c r="E582">
        <v>4</v>
      </c>
      <c r="F582">
        <f t="shared" si="27"/>
        <v>2024</v>
      </c>
      <c r="G582">
        <f t="shared" si="28"/>
        <v>3</v>
      </c>
      <c r="H582" t="str">
        <f t="shared" si="29"/>
        <v>2024-3</v>
      </c>
    </row>
    <row r="583" spans="1:8" x14ac:dyDescent="0.25">
      <c r="A583" t="s">
        <v>48</v>
      </c>
      <c r="B583" t="s">
        <v>272</v>
      </c>
      <c r="C583" t="s">
        <v>342</v>
      </c>
      <c r="D583">
        <v>49658</v>
      </c>
      <c r="E583">
        <v>8</v>
      </c>
      <c r="F583">
        <f t="shared" si="27"/>
        <v>2024</v>
      </c>
      <c r="G583">
        <f t="shared" si="28"/>
        <v>3</v>
      </c>
      <c r="H583" t="str">
        <f t="shared" si="29"/>
        <v>2024-3</v>
      </c>
    </row>
    <row r="584" spans="1:8" x14ac:dyDescent="0.25">
      <c r="A584" t="s">
        <v>48</v>
      </c>
      <c r="B584" t="s">
        <v>71</v>
      </c>
      <c r="C584" t="s">
        <v>343</v>
      </c>
      <c r="D584">
        <v>33543</v>
      </c>
      <c r="E584">
        <v>0</v>
      </c>
      <c r="F584">
        <f t="shared" si="27"/>
        <v>2024</v>
      </c>
      <c r="G584">
        <f t="shared" si="28"/>
        <v>3</v>
      </c>
      <c r="H584" t="str">
        <f t="shared" si="29"/>
        <v>2024-3</v>
      </c>
    </row>
    <row r="585" spans="1:8" x14ac:dyDescent="0.25">
      <c r="A585" t="s">
        <v>10</v>
      </c>
      <c r="B585" t="s">
        <v>292</v>
      </c>
      <c r="C585" t="s">
        <v>343</v>
      </c>
      <c r="D585">
        <v>69023</v>
      </c>
      <c r="E585">
        <v>7</v>
      </c>
      <c r="F585">
        <f t="shared" si="27"/>
        <v>2024</v>
      </c>
      <c r="G585">
        <f t="shared" si="28"/>
        <v>3</v>
      </c>
      <c r="H585" t="str">
        <f t="shared" si="29"/>
        <v>2024-3</v>
      </c>
    </row>
    <row r="586" spans="1:8" x14ac:dyDescent="0.25">
      <c r="A586" t="s">
        <v>48</v>
      </c>
      <c r="B586" t="s">
        <v>140</v>
      </c>
      <c r="C586" t="s">
        <v>344</v>
      </c>
      <c r="D586">
        <v>30864</v>
      </c>
      <c r="E586">
        <v>5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25">
      <c r="A587" t="s">
        <v>12</v>
      </c>
      <c r="B587" t="s">
        <v>24</v>
      </c>
      <c r="C587" t="s">
        <v>344</v>
      </c>
      <c r="D587">
        <v>81618</v>
      </c>
      <c r="E587">
        <v>6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25">
      <c r="A588" t="s">
        <v>48</v>
      </c>
      <c r="B588" t="s">
        <v>75</v>
      </c>
      <c r="C588" t="s">
        <v>344</v>
      </c>
      <c r="D588">
        <v>96528</v>
      </c>
      <c r="E588">
        <v>8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25">
      <c r="A589" t="s">
        <v>46</v>
      </c>
      <c r="B589" t="s">
        <v>82</v>
      </c>
      <c r="C589" t="s">
        <v>344</v>
      </c>
      <c r="D589">
        <v>57087</v>
      </c>
      <c r="E589">
        <v>0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25">
      <c r="A590" t="s">
        <v>12</v>
      </c>
      <c r="B590" t="s">
        <v>239</v>
      </c>
      <c r="C590" t="s">
        <v>344</v>
      </c>
      <c r="D590">
        <v>32432</v>
      </c>
      <c r="E590">
        <v>6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25">
      <c r="A591" t="s">
        <v>48</v>
      </c>
      <c r="B591" t="s">
        <v>111</v>
      </c>
      <c r="C591" t="s">
        <v>344</v>
      </c>
      <c r="D591">
        <v>77006</v>
      </c>
      <c r="E591">
        <v>10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25">
      <c r="A592" t="s">
        <v>12</v>
      </c>
      <c r="B592" t="s">
        <v>86</v>
      </c>
      <c r="C592" t="s">
        <v>344</v>
      </c>
      <c r="D592">
        <v>52569</v>
      </c>
      <c r="E592">
        <v>5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25">
      <c r="A593" t="s">
        <v>8</v>
      </c>
      <c r="B593" t="s">
        <v>59</v>
      </c>
      <c r="C593" t="s">
        <v>344</v>
      </c>
      <c r="D593">
        <v>41181</v>
      </c>
      <c r="E593">
        <v>6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25">
      <c r="A594" t="s">
        <v>48</v>
      </c>
      <c r="B594" t="s">
        <v>125</v>
      </c>
      <c r="C594" t="s">
        <v>344</v>
      </c>
      <c r="D594">
        <v>89195</v>
      </c>
      <c r="E594">
        <v>8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25">
      <c r="A595" t="s">
        <v>46</v>
      </c>
      <c r="B595" t="s">
        <v>107</v>
      </c>
      <c r="C595" t="s">
        <v>345</v>
      </c>
      <c r="D595">
        <v>40540</v>
      </c>
      <c r="E595">
        <v>10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25">
      <c r="A596" t="s">
        <v>36</v>
      </c>
      <c r="B596" t="s">
        <v>136</v>
      </c>
      <c r="C596" t="s">
        <v>345</v>
      </c>
      <c r="D596">
        <v>93614</v>
      </c>
      <c r="E596">
        <v>5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25">
      <c r="A597" t="s">
        <v>12</v>
      </c>
      <c r="B597" t="s">
        <v>157</v>
      </c>
      <c r="C597" t="s">
        <v>346</v>
      </c>
      <c r="D597">
        <v>15495</v>
      </c>
      <c r="E597">
        <v>7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25">
      <c r="A598" t="s">
        <v>12</v>
      </c>
      <c r="B598" t="s">
        <v>71</v>
      </c>
      <c r="C598" t="s">
        <v>346</v>
      </c>
      <c r="D598">
        <v>73847</v>
      </c>
      <c r="E598">
        <v>8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25">
      <c r="A599" t="s">
        <v>23</v>
      </c>
      <c r="B599" t="s">
        <v>39</v>
      </c>
      <c r="C599" t="s">
        <v>346</v>
      </c>
      <c r="D599">
        <v>90419</v>
      </c>
      <c r="E599">
        <v>4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25">
      <c r="A600" t="s">
        <v>23</v>
      </c>
      <c r="B600" t="s">
        <v>228</v>
      </c>
      <c r="C600" t="s">
        <v>346</v>
      </c>
      <c r="D600">
        <v>16930</v>
      </c>
      <c r="E600">
        <v>4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25">
      <c r="A601" t="s">
        <v>48</v>
      </c>
      <c r="B601" t="s">
        <v>24</v>
      </c>
      <c r="C601" t="s">
        <v>347</v>
      </c>
      <c r="D601">
        <v>90615</v>
      </c>
      <c r="E601">
        <v>3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25">
      <c r="A602" t="s">
        <v>27</v>
      </c>
      <c r="B602" t="s">
        <v>31</v>
      </c>
      <c r="C602" t="s">
        <v>347</v>
      </c>
      <c r="D602">
        <v>12679</v>
      </c>
      <c r="E602">
        <v>7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25">
      <c r="A603" t="s">
        <v>46</v>
      </c>
      <c r="B603" t="s">
        <v>248</v>
      </c>
      <c r="C603" t="s">
        <v>348</v>
      </c>
      <c r="D603">
        <v>97884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25">
      <c r="A604" t="s">
        <v>10</v>
      </c>
      <c r="B604" t="s">
        <v>103</v>
      </c>
      <c r="C604" t="s">
        <v>349</v>
      </c>
      <c r="D604">
        <v>31931</v>
      </c>
      <c r="E604">
        <v>6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25">
      <c r="A605" t="s">
        <v>48</v>
      </c>
      <c r="B605" t="s">
        <v>197</v>
      </c>
      <c r="C605" t="s">
        <v>349</v>
      </c>
      <c r="D605">
        <v>41141</v>
      </c>
      <c r="E605">
        <v>7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25">
      <c r="A606" t="s">
        <v>48</v>
      </c>
      <c r="B606" t="s">
        <v>350</v>
      </c>
      <c r="C606" t="s">
        <v>349</v>
      </c>
      <c r="D606">
        <v>57385</v>
      </c>
      <c r="E606">
        <v>8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25">
      <c r="A607" t="s">
        <v>23</v>
      </c>
      <c r="B607" t="s">
        <v>235</v>
      </c>
      <c r="C607" t="s">
        <v>349</v>
      </c>
      <c r="D607">
        <v>69145</v>
      </c>
      <c r="E607">
        <v>8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25">
      <c r="A608" t="s">
        <v>17</v>
      </c>
      <c r="B608" t="s">
        <v>102</v>
      </c>
      <c r="C608" t="s">
        <v>349</v>
      </c>
      <c r="D608">
        <v>14117</v>
      </c>
      <c r="E608">
        <v>9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25">
      <c r="A609" t="s">
        <v>27</v>
      </c>
      <c r="B609" t="s">
        <v>98</v>
      </c>
      <c r="C609" t="s">
        <v>349</v>
      </c>
      <c r="D609">
        <v>81777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25">
      <c r="A610" t="s">
        <v>10</v>
      </c>
      <c r="B610" t="s">
        <v>66</v>
      </c>
      <c r="C610" t="s">
        <v>349</v>
      </c>
      <c r="D610">
        <v>67121</v>
      </c>
      <c r="E610">
        <v>10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25">
      <c r="A611" t="s">
        <v>15</v>
      </c>
      <c r="B611" t="s">
        <v>248</v>
      </c>
      <c r="C611" t="s">
        <v>349</v>
      </c>
      <c r="D611">
        <v>79211</v>
      </c>
      <c r="E611">
        <v>8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25">
      <c r="A612" t="s">
        <v>46</v>
      </c>
      <c r="B612" t="s">
        <v>316</v>
      </c>
      <c r="C612" t="s">
        <v>349</v>
      </c>
      <c r="D612">
        <v>50772</v>
      </c>
      <c r="E612">
        <v>5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25">
      <c r="A613" t="s">
        <v>8</v>
      </c>
      <c r="B613" t="s">
        <v>258</v>
      </c>
      <c r="C613" t="s">
        <v>349</v>
      </c>
      <c r="D613">
        <v>89806</v>
      </c>
      <c r="E613">
        <v>1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25">
      <c r="A614" t="s">
        <v>48</v>
      </c>
      <c r="B614" t="s">
        <v>206</v>
      </c>
      <c r="C614" t="s">
        <v>349</v>
      </c>
      <c r="D614">
        <v>84074</v>
      </c>
      <c r="E614">
        <v>3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25">
      <c r="A615" t="s">
        <v>10</v>
      </c>
      <c r="B615" t="s">
        <v>64</v>
      </c>
      <c r="C615" t="s">
        <v>349</v>
      </c>
      <c r="D615">
        <v>11455</v>
      </c>
      <c r="E615">
        <v>8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25">
      <c r="A616" t="s">
        <v>15</v>
      </c>
      <c r="B616" t="s">
        <v>109</v>
      </c>
      <c r="C616" t="s">
        <v>351</v>
      </c>
      <c r="D616">
        <v>18368</v>
      </c>
      <c r="E616">
        <v>3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25">
      <c r="A617" t="s">
        <v>46</v>
      </c>
      <c r="B617" t="s">
        <v>281</v>
      </c>
      <c r="C617" t="s">
        <v>352</v>
      </c>
      <c r="D617">
        <v>25233</v>
      </c>
      <c r="E617">
        <v>6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25">
      <c r="A618" t="s">
        <v>5</v>
      </c>
      <c r="B618" t="s">
        <v>302</v>
      </c>
      <c r="C618" t="s">
        <v>352</v>
      </c>
      <c r="D618">
        <v>44577</v>
      </c>
      <c r="E618">
        <v>10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25">
      <c r="A619" t="s">
        <v>5</v>
      </c>
      <c r="B619" t="s">
        <v>71</v>
      </c>
      <c r="C619" t="s">
        <v>353</v>
      </c>
      <c r="D619">
        <v>92796</v>
      </c>
      <c r="E619">
        <v>8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25">
      <c r="A620" t="s">
        <v>46</v>
      </c>
      <c r="B620" t="s">
        <v>116</v>
      </c>
      <c r="C620" t="s">
        <v>353</v>
      </c>
      <c r="D620">
        <v>35294</v>
      </c>
      <c r="E620">
        <v>5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25">
      <c r="A621" t="s">
        <v>17</v>
      </c>
      <c r="B621" t="s">
        <v>184</v>
      </c>
      <c r="C621" t="s">
        <v>354</v>
      </c>
      <c r="D621">
        <v>40076</v>
      </c>
      <c r="E621">
        <v>5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25">
      <c r="A622" t="s">
        <v>52</v>
      </c>
      <c r="B622" t="s">
        <v>73</v>
      </c>
      <c r="C622" t="s">
        <v>354</v>
      </c>
      <c r="D622">
        <v>73618</v>
      </c>
      <c r="E622">
        <v>3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25">
      <c r="A623" t="s">
        <v>17</v>
      </c>
      <c r="B623" t="s">
        <v>270</v>
      </c>
      <c r="C623" t="s">
        <v>354</v>
      </c>
      <c r="D623">
        <v>57857</v>
      </c>
      <c r="E623">
        <v>6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25">
      <c r="A624" t="s">
        <v>48</v>
      </c>
      <c r="B624" t="s">
        <v>24</v>
      </c>
      <c r="C624" t="s">
        <v>354</v>
      </c>
      <c r="D624">
        <v>33422</v>
      </c>
      <c r="E624">
        <v>5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25">
      <c r="A625" t="s">
        <v>12</v>
      </c>
      <c r="B625" t="s">
        <v>239</v>
      </c>
      <c r="C625" t="s">
        <v>354</v>
      </c>
      <c r="D625">
        <v>88566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25">
      <c r="A626" t="s">
        <v>46</v>
      </c>
      <c r="B626" t="s">
        <v>231</v>
      </c>
      <c r="C626" t="s">
        <v>355</v>
      </c>
      <c r="D626">
        <v>76602</v>
      </c>
      <c r="E626">
        <v>6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25">
      <c r="A627" t="s">
        <v>15</v>
      </c>
      <c r="B627" t="s">
        <v>280</v>
      </c>
      <c r="C627" t="s">
        <v>355</v>
      </c>
      <c r="D627">
        <v>63931</v>
      </c>
      <c r="E627">
        <v>8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25">
      <c r="A628" t="s">
        <v>27</v>
      </c>
      <c r="B628" t="s">
        <v>235</v>
      </c>
      <c r="C628" t="s">
        <v>355</v>
      </c>
      <c r="D628">
        <v>62653</v>
      </c>
      <c r="E628">
        <v>3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25">
      <c r="A629" t="s">
        <v>46</v>
      </c>
      <c r="B629" t="s">
        <v>6</v>
      </c>
      <c r="C629" t="s">
        <v>356</v>
      </c>
      <c r="D629">
        <v>56874</v>
      </c>
      <c r="E629">
        <v>2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25">
      <c r="A630" t="s">
        <v>12</v>
      </c>
      <c r="B630" t="s">
        <v>136</v>
      </c>
      <c r="C630" t="s">
        <v>356</v>
      </c>
      <c r="D630">
        <v>96763</v>
      </c>
      <c r="E630">
        <v>7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25">
      <c r="A631" t="s">
        <v>5</v>
      </c>
      <c r="B631" t="s">
        <v>293</v>
      </c>
      <c r="C631" t="s">
        <v>356</v>
      </c>
      <c r="D631">
        <v>32072</v>
      </c>
      <c r="E631">
        <v>2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25">
      <c r="A632" t="s">
        <v>15</v>
      </c>
      <c r="B632" t="s">
        <v>86</v>
      </c>
      <c r="C632" t="s">
        <v>357</v>
      </c>
      <c r="D632">
        <v>70957</v>
      </c>
      <c r="E632">
        <v>2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25">
      <c r="A633" t="s">
        <v>15</v>
      </c>
      <c r="B633" t="s">
        <v>173</v>
      </c>
      <c r="C633" t="s">
        <v>357</v>
      </c>
      <c r="D633">
        <v>64932</v>
      </c>
      <c r="E633">
        <v>10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25">
      <c r="A634" t="s">
        <v>10</v>
      </c>
      <c r="B634" t="s">
        <v>292</v>
      </c>
      <c r="C634" t="s">
        <v>357</v>
      </c>
      <c r="D634">
        <v>24804</v>
      </c>
      <c r="E634">
        <v>6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25">
      <c r="A635" t="s">
        <v>23</v>
      </c>
      <c r="B635" t="s">
        <v>296</v>
      </c>
      <c r="C635" t="s">
        <v>358</v>
      </c>
      <c r="D635">
        <v>69686</v>
      </c>
      <c r="E635">
        <v>2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25">
      <c r="A636" t="s">
        <v>8</v>
      </c>
      <c r="B636" t="s">
        <v>160</v>
      </c>
      <c r="C636" t="s">
        <v>358</v>
      </c>
      <c r="D636">
        <v>91847</v>
      </c>
      <c r="E636">
        <v>5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25">
      <c r="A637" t="s">
        <v>36</v>
      </c>
      <c r="B637" t="s">
        <v>73</v>
      </c>
      <c r="C637" t="s">
        <v>358</v>
      </c>
      <c r="D637">
        <v>23251</v>
      </c>
      <c r="E637">
        <v>3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25">
      <c r="A638" t="s">
        <v>36</v>
      </c>
      <c r="B638" t="s">
        <v>359</v>
      </c>
      <c r="C638" t="s">
        <v>358</v>
      </c>
      <c r="D638">
        <v>31401</v>
      </c>
      <c r="E638">
        <v>6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25">
      <c r="A639" t="s">
        <v>5</v>
      </c>
      <c r="B639" t="s">
        <v>238</v>
      </c>
      <c r="C639" t="s">
        <v>360</v>
      </c>
      <c r="D639">
        <v>89912</v>
      </c>
      <c r="E639">
        <v>9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25">
      <c r="A640" t="s">
        <v>10</v>
      </c>
      <c r="B640" t="s">
        <v>320</v>
      </c>
      <c r="C640" t="s">
        <v>360</v>
      </c>
      <c r="D640">
        <v>64956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25">
      <c r="A641" t="s">
        <v>48</v>
      </c>
      <c r="B641" t="s">
        <v>113</v>
      </c>
      <c r="C641" t="s">
        <v>360</v>
      </c>
      <c r="D641">
        <v>31177</v>
      </c>
      <c r="E641">
        <v>9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25">
      <c r="A642" t="s">
        <v>48</v>
      </c>
      <c r="B642" t="s">
        <v>173</v>
      </c>
      <c r="C642" t="s">
        <v>360</v>
      </c>
      <c r="D642">
        <v>90149</v>
      </c>
      <c r="E642">
        <v>7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25">
      <c r="A643" t="s">
        <v>46</v>
      </c>
      <c r="B643" t="s">
        <v>235</v>
      </c>
      <c r="C643" t="s">
        <v>360</v>
      </c>
      <c r="D643">
        <v>67598</v>
      </c>
      <c r="E643">
        <v>1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25">
      <c r="A644" t="s">
        <v>48</v>
      </c>
      <c r="B644" t="s">
        <v>107</v>
      </c>
      <c r="C644" t="s">
        <v>361</v>
      </c>
      <c r="D644">
        <v>65178</v>
      </c>
      <c r="E644">
        <v>7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25">
      <c r="A645" t="s">
        <v>46</v>
      </c>
      <c r="B645" t="s">
        <v>180</v>
      </c>
      <c r="C645" t="s">
        <v>361</v>
      </c>
      <c r="D645">
        <v>31943</v>
      </c>
      <c r="E645">
        <v>5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25">
      <c r="A646" t="s">
        <v>36</v>
      </c>
      <c r="B646" t="s">
        <v>28</v>
      </c>
      <c r="C646" t="s">
        <v>361</v>
      </c>
      <c r="D646">
        <v>14951</v>
      </c>
      <c r="E646">
        <v>5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25">
      <c r="A647" t="s">
        <v>23</v>
      </c>
      <c r="B647" t="s">
        <v>317</v>
      </c>
      <c r="C647" t="s">
        <v>361</v>
      </c>
      <c r="D647">
        <v>15995</v>
      </c>
      <c r="E647">
        <v>2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25">
      <c r="A648" t="s">
        <v>27</v>
      </c>
      <c r="B648" t="s">
        <v>335</v>
      </c>
      <c r="C648" t="s">
        <v>362</v>
      </c>
      <c r="D648">
        <v>18784</v>
      </c>
      <c r="E648">
        <v>7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25">
      <c r="A649" t="s">
        <v>48</v>
      </c>
      <c r="B649" t="s">
        <v>75</v>
      </c>
      <c r="C649" t="s">
        <v>362</v>
      </c>
      <c r="D649">
        <v>21220</v>
      </c>
      <c r="E649">
        <v>3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25">
      <c r="A650" t="s">
        <v>5</v>
      </c>
      <c r="B650" t="s">
        <v>281</v>
      </c>
      <c r="C650" t="s">
        <v>362</v>
      </c>
      <c r="D650">
        <v>64680</v>
      </c>
      <c r="E650">
        <v>3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25">
      <c r="A651" t="s">
        <v>48</v>
      </c>
      <c r="B651" t="s">
        <v>300</v>
      </c>
      <c r="C651" t="s">
        <v>362</v>
      </c>
      <c r="D651">
        <v>69000</v>
      </c>
      <c r="E651">
        <v>5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25">
      <c r="A652" t="s">
        <v>27</v>
      </c>
      <c r="B652" t="s">
        <v>238</v>
      </c>
      <c r="C652" t="s">
        <v>362</v>
      </c>
      <c r="D652">
        <v>96266</v>
      </c>
      <c r="E652">
        <v>8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25">
      <c r="A653" t="s">
        <v>12</v>
      </c>
      <c r="B653" t="s">
        <v>249</v>
      </c>
      <c r="C653" t="s">
        <v>363</v>
      </c>
      <c r="D653">
        <v>53017</v>
      </c>
      <c r="E653">
        <v>3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25">
      <c r="A654" t="s">
        <v>17</v>
      </c>
      <c r="B654" t="s">
        <v>84</v>
      </c>
      <c r="C654" t="s">
        <v>363</v>
      </c>
      <c r="D654">
        <v>38825</v>
      </c>
      <c r="E654">
        <v>5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25">
      <c r="A655" t="s">
        <v>36</v>
      </c>
      <c r="B655" t="s">
        <v>364</v>
      </c>
      <c r="C655" t="s">
        <v>363</v>
      </c>
      <c r="D655">
        <v>65720</v>
      </c>
      <c r="E655">
        <v>9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25">
      <c r="A656" t="s">
        <v>12</v>
      </c>
      <c r="B656" t="s">
        <v>281</v>
      </c>
      <c r="C656" t="s">
        <v>363</v>
      </c>
      <c r="D656">
        <v>43496</v>
      </c>
      <c r="E656">
        <v>8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25">
      <c r="A657" t="s">
        <v>23</v>
      </c>
      <c r="B657" t="s">
        <v>264</v>
      </c>
      <c r="C657" t="s">
        <v>363</v>
      </c>
      <c r="D657">
        <v>35427</v>
      </c>
      <c r="E657">
        <v>5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25">
      <c r="A658" t="s">
        <v>36</v>
      </c>
      <c r="B658" t="s">
        <v>338</v>
      </c>
      <c r="C658" t="s">
        <v>365</v>
      </c>
      <c r="D658">
        <v>47354</v>
      </c>
      <c r="E658">
        <v>10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25">
      <c r="A659" t="s">
        <v>8</v>
      </c>
      <c r="B659" t="s">
        <v>328</v>
      </c>
      <c r="C659" t="s">
        <v>365</v>
      </c>
      <c r="D659">
        <v>84699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25">
      <c r="A660" t="s">
        <v>48</v>
      </c>
      <c r="B660" t="s">
        <v>141</v>
      </c>
      <c r="C660" t="s">
        <v>366</v>
      </c>
      <c r="D660">
        <v>28489</v>
      </c>
      <c r="E660">
        <v>3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25">
      <c r="A661" t="s">
        <v>46</v>
      </c>
      <c r="B661" t="s">
        <v>66</v>
      </c>
      <c r="C661" t="s">
        <v>366</v>
      </c>
      <c r="D661">
        <v>18369</v>
      </c>
      <c r="E661">
        <v>5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25">
      <c r="A662" t="s">
        <v>8</v>
      </c>
      <c r="B662" t="s">
        <v>158</v>
      </c>
      <c r="C662" t="s">
        <v>366</v>
      </c>
      <c r="D662">
        <v>78752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25">
      <c r="A663" t="s">
        <v>5</v>
      </c>
      <c r="B663" t="s">
        <v>131</v>
      </c>
      <c r="C663" t="s">
        <v>366</v>
      </c>
      <c r="D663">
        <v>31396</v>
      </c>
      <c r="E663">
        <v>4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25">
      <c r="A664" t="s">
        <v>10</v>
      </c>
      <c r="B664" t="s">
        <v>243</v>
      </c>
      <c r="C664" t="s">
        <v>366</v>
      </c>
      <c r="D664">
        <v>53771</v>
      </c>
      <c r="E664">
        <v>4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25">
      <c r="A665" t="s">
        <v>10</v>
      </c>
      <c r="B665" t="s">
        <v>56</v>
      </c>
      <c r="C665" t="s">
        <v>366</v>
      </c>
      <c r="D665">
        <v>88966</v>
      </c>
      <c r="E665">
        <v>5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x14ac:dyDescent="0.25">
      <c r="A666" t="s">
        <v>46</v>
      </c>
      <c r="B666" t="s">
        <v>129</v>
      </c>
      <c r="C666" t="s">
        <v>367</v>
      </c>
      <c r="D666">
        <v>84698</v>
      </c>
      <c r="E666">
        <v>6</v>
      </c>
      <c r="F666">
        <f t="shared" si="30"/>
        <v>2024</v>
      </c>
      <c r="G666">
        <f t="shared" si="31"/>
        <v>4</v>
      </c>
      <c r="H666" t="str">
        <f t="shared" si="32"/>
        <v>2024-4</v>
      </c>
    </row>
    <row r="667" spans="1:8" x14ac:dyDescent="0.25">
      <c r="A667" t="s">
        <v>46</v>
      </c>
      <c r="B667" t="s">
        <v>328</v>
      </c>
      <c r="C667" t="s">
        <v>367</v>
      </c>
      <c r="D667">
        <v>39043</v>
      </c>
      <c r="E667">
        <v>4</v>
      </c>
      <c r="F667">
        <f t="shared" si="30"/>
        <v>2024</v>
      </c>
      <c r="G667">
        <f t="shared" si="31"/>
        <v>4</v>
      </c>
      <c r="H667" t="str">
        <f t="shared" si="32"/>
        <v>2024-4</v>
      </c>
    </row>
    <row r="668" spans="1:8" x14ac:dyDescent="0.25">
      <c r="A668" t="s">
        <v>10</v>
      </c>
      <c r="B668" t="s">
        <v>47</v>
      </c>
      <c r="C668" t="s">
        <v>367</v>
      </c>
      <c r="D668">
        <v>92096</v>
      </c>
      <c r="E668">
        <v>7</v>
      </c>
      <c r="F668">
        <f t="shared" si="30"/>
        <v>2024</v>
      </c>
      <c r="G668">
        <f t="shared" si="31"/>
        <v>4</v>
      </c>
      <c r="H668" t="str">
        <f t="shared" si="32"/>
        <v>2024-4</v>
      </c>
    </row>
    <row r="669" spans="1:8" x14ac:dyDescent="0.25">
      <c r="A669" t="s">
        <v>52</v>
      </c>
      <c r="B669" t="s">
        <v>136</v>
      </c>
      <c r="C669" t="s">
        <v>368</v>
      </c>
      <c r="D669">
        <v>46526</v>
      </c>
      <c r="E669">
        <v>7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25">
      <c r="A670" t="s">
        <v>27</v>
      </c>
      <c r="B670" t="s">
        <v>64</v>
      </c>
      <c r="C670" t="s">
        <v>368</v>
      </c>
      <c r="D670">
        <v>90150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25">
      <c r="A671" t="s">
        <v>10</v>
      </c>
      <c r="B671" t="s">
        <v>101</v>
      </c>
      <c r="C671" t="s">
        <v>368</v>
      </c>
      <c r="D671">
        <v>67319</v>
      </c>
      <c r="E671">
        <v>5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25">
      <c r="A672" t="s">
        <v>15</v>
      </c>
      <c r="B672" t="s">
        <v>168</v>
      </c>
      <c r="C672" t="s">
        <v>368</v>
      </c>
      <c r="D672">
        <v>68644</v>
      </c>
      <c r="E672">
        <v>9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25">
      <c r="A673" t="s">
        <v>27</v>
      </c>
      <c r="B673" t="s">
        <v>229</v>
      </c>
      <c r="C673" t="s">
        <v>369</v>
      </c>
      <c r="D673">
        <v>19669</v>
      </c>
      <c r="E673">
        <v>4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25">
      <c r="A674" t="s">
        <v>15</v>
      </c>
      <c r="B674" t="s">
        <v>195</v>
      </c>
      <c r="C674" t="s">
        <v>370</v>
      </c>
      <c r="D674">
        <v>77326</v>
      </c>
      <c r="E674">
        <v>10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25">
      <c r="A675" t="s">
        <v>8</v>
      </c>
      <c r="B675" t="s">
        <v>32</v>
      </c>
      <c r="C675" t="s">
        <v>370</v>
      </c>
      <c r="D675">
        <v>26399</v>
      </c>
      <c r="E675">
        <v>7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25">
      <c r="A676" t="s">
        <v>36</v>
      </c>
      <c r="B676" t="s">
        <v>40</v>
      </c>
      <c r="C676" t="s">
        <v>370</v>
      </c>
      <c r="D676">
        <v>24559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25">
      <c r="A677" t="s">
        <v>46</v>
      </c>
      <c r="B677" t="s">
        <v>90</v>
      </c>
      <c r="C677" t="s">
        <v>370</v>
      </c>
      <c r="D677">
        <v>92507</v>
      </c>
      <c r="E677">
        <v>9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25">
      <c r="A678" t="s">
        <v>5</v>
      </c>
      <c r="B678" t="s">
        <v>105</v>
      </c>
      <c r="C678" t="s">
        <v>371</v>
      </c>
      <c r="D678">
        <v>57379</v>
      </c>
      <c r="E678">
        <v>3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25">
      <c r="A679" t="s">
        <v>8</v>
      </c>
      <c r="B679" t="s">
        <v>108</v>
      </c>
      <c r="C679" t="s">
        <v>371</v>
      </c>
      <c r="D679">
        <v>36303</v>
      </c>
      <c r="E679">
        <v>8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25">
      <c r="A680" t="s">
        <v>12</v>
      </c>
      <c r="B680" t="s">
        <v>235</v>
      </c>
      <c r="C680" t="s">
        <v>371</v>
      </c>
      <c r="D680">
        <v>24471</v>
      </c>
      <c r="E680">
        <v>5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25">
      <c r="A681" t="s">
        <v>46</v>
      </c>
      <c r="B681" t="s">
        <v>102</v>
      </c>
      <c r="C681" t="s">
        <v>371</v>
      </c>
      <c r="D681">
        <v>76589</v>
      </c>
      <c r="E681">
        <v>9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25">
      <c r="A682" t="s">
        <v>12</v>
      </c>
      <c r="B682" t="s">
        <v>118</v>
      </c>
      <c r="C682" t="s">
        <v>371</v>
      </c>
      <c r="D682">
        <v>16236</v>
      </c>
      <c r="E682">
        <v>5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25">
      <c r="A683" t="s">
        <v>36</v>
      </c>
      <c r="B683" t="s">
        <v>372</v>
      </c>
      <c r="C683" t="s">
        <v>371</v>
      </c>
      <c r="D683">
        <v>18469</v>
      </c>
      <c r="E683">
        <v>1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25">
      <c r="A684" t="s">
        <v>52</v>
      </c>
      <c r="B684" t="s">
        <v>206</v>
      </c>
      <c r="C684" t="s">
        <v>371</v>
      </c>
      <c r="D684">
        <v>23271</v>
      </c>
      <c r="E684">
        <v>7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25">
      <c r="A685" t="s">
        <v>15</v>
      </c>
      <c r="B685" t="s">
        <v>82</v>
      </c>
      <c r="C685" t="s">
        <v>371</v>
      </c>
      <c r="D685">
        <v>84683</v>
      </c>
      <c r="E685">
        <v>7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25">
      <c r="A686" t="s">
        <v>46</v>
      </c>
      <c r="B686" t="s">
        <v>118</v>
      </c>
      <c r="C686" t="s">
        <v>373</v>
      </c>
      <c r="D686">
        <v>90344</v>
      </c>
      <c r="E686">
        <v>7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25">
      <c r="A687" t="s">
        <v>23</v>
      </c>
      <c r="B687" t="s">
        <v>209</v>
      </c>
      <c r="C687" t="s">
        <v>373</v>
      </c>
      <c r="D687">
        <v>30881</v>
      </c>
      <c r="E687">
        <v>9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25">
      <c r="A688" t="s">
        <v>23</v>
      </c>
      <c r="B688" t="s">
        <v>32</v>
      </c>
      <c r="C688" t="s">
        <v>373</v>
      </c>
      <c r="D688">
        <v>45161</v>
      </c>
      <c r="E688">
        <v>7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25">
      <c r="A689" t="s">
        <v>52</v>
      </c>
      <c r="B689" t="s">
        <v>40</v>
      </c>
      <c r="C689" t="s">
        <v>373</v>
      </c>
      <c r="D689">
        <v>24611</v>
      </c>
      <c r="E689">
        <v>3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25">
      <c r="A690" t="s">
        <v>52</v>
      </c>
      <c r="B690" t="s">
        <v>248</v>
      </c>
      <c r="C690" t="s">
        <v>373</v>
      </c>
      <c r="D690">
        <v>54809</v>
      </c>
      <c r="E690">
        <v>8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25">
      <c r="A691" t="s">
        <v>8</v>
      </c>
      <c r="B691" t="s">
        <v>138</v>
      </c>
      <c r="C691" t="s">
        <v>373</v>
      </c>
      <c r="D691">
        <v>52429</v>
      </c>
      <c r="E691">
        <v>7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25">
      <c r="A692" t="s">
        <v>52</v>
      </c>
      <c r="B692" t="s">
        <v>85</v>
      </c>
      <c r="C692" t="s">
        <v>374</v>
      </c>
      <c r="D692">
        <v>30272</v>
      </c>
      <c r="E692">
        <v>5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25">
      <c r="A693" t="s">
        <v>12</v>
      </c>
      <c r="B693" t="s">
        <v>270</v>
      </c>
      <c r="C693" t="s">
        <v>374</v>
      </c>
      <c r="D693">
        <v>52714</v>
      </c>
      <c r="E693">
        <v>0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25">
      <c r="A694" t="s">
        <v>17</v>
      </c>
      <c r="B694" t="s">
        <v>281</v>
      </c>
      <c r="C694" t="s">
        <v>374</v>
      </c>
      <c r="D694">
        <v>50220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25">
      <c r="A695" t="s">
        <v>27</v>
      </c>
      <c r="B695" t="s">
        <v>93</v>
      </c>
      <c r="C695" t="s">
        <v>374</v>
      </c>
      <c r="D695">
        <v>40288</v>
      </c>
      <c r="E695">
        <v>1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25">
      <c r="A696" t="s">
        <v>17</v>
      </c>
      <c r="B696" t="s">
        <v>140</v>
      </c>
      <c r="C696" t="s">
        <v>374</v>
      </c>
      <c r="D696">
        <v>42832</v>
      </c>
      <c r="E696">
        <v>7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25">
      <c r="A697" t="s">
        <v>46</v>
      </c>
      <c r="B697" t="s">
        <v>272</v>
      </c>
      <c r="C697" t="s">
        <v>374</v>
      </c>
      <c r="D697">
        <v>56734</v>
      </c>
      <c r="E697">
        <v>10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25">
      <c r="A698" t="s">
        <v>12</v>
      </c>
      <c r="B698" t="s">
        <v>185</v>
      </c>
      <c r="C698" t="s">
        <v>375</v>
      </c>
      <c r="D698">
        <v>66573</v>
      </c>
      <c r="E698">
        <v>5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25">
      <c r="A699" t="s">
        <v>46</v>
      </c>
      <c r="B699" t="s">
        <v>316</v>
      </c>
      <c r="C699" t="s">
        <v>376</v>
      </c>
      <c r="D699">
        <v>91813</v>
      </c>
      <c r="E699">
        <v>2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25">
      <c r="A700" t="s">
        <v>17</v>
      </c>
      <c r="B700" t="s">
        <v>34</v>
      </c>
      <c r="C700" t="s">
        <v>376</v>
      </c>
      <c r="D700">
        <v>27920</v>
      </c>
      <c r="E700">
        <v>2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25">
      <c r="A701" t="s">
        <v>10</v>
      </c>
      <c r="B701" t="s">
        <v>214</v>
      </c>
      <c r="C701" t="s">
        <v>376</v>
      </c>
      <c r="D701">
        <v>52237</v>
      </c>
      <c r="E701">
        <v>10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25">
      <c r="A702" t="s">
        <v>36</v>
      </c>
      <c r="B702" t="s">
        <v>190</v>
      </c>
      <c r="C702" t="s">
        <v>377</v>
      </c>
      <c r="D702">
        <v>28590</v>
      </c>
      <c r="E702">
        <v>8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25">
      <c r="A703" t="s">
        <v>17</v>
      </c>
      <c r="B703" t="s">
        <v>59</v>
      </c>
      <c r="C703" t="s">
        <v>377</v>
      </c>
      <c r="D703">
        <v>97581</v>
      </c>
      <c r="E703">
        <v>6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25">
      <c r="A704" t="s">
        <v>23</v>
      </c>
      <c r="B704" t="s">
        <v>235</v>
      </c>
      <c r="C704" t="s">
        <v>377</v>
      </c>
      <c r="D704">
        <v>25364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25">
      <c r="A705" t="s">
        <v>17</v>
      </c>
      <c r="B705" t="s">
        <v>207</v>
      </c>
      <c r="C705" t="s">
        <v>377</v>
      </c>
      <c r="D705">
        <v>66283</v>
      </c>
      <c r="E705">
        <v>8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25">
      <c r="A706" t="s">
        <v>5</v>
      </c>
      <c r="B706" t="s">
        <v>11</v>
      </c>
      <c r="C706" t="s">
        <v>377</v>
      </c>
      <c r="D706">
        <v>73328</v>
      </c>
      <c r="E706">
        <v>7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25">
      <c r="A707" t="s">
        <v>10</v>
      </c>
      <c r="B707" t="s">
        <v>272</v>
      </c>
      <c r="C707" t="s">
        <v>377</v>
      </c>
      <c r="D707">
        <v>12395</v>
      </c>
      <c r="E707">
        <v>6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25">
      <c r="A708" t="s">
        <v>17</v>
      </c>
      <c r="B708" t="s">
        <v>29</v>
      </c>
      <c r="C708" t="s">
        <v>378</v>
      </c>
      <c r="D708">
        <v>60388</v>
      </c>
      <c r="E708">
        <v>2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25">
      <c r="A709" t="s">
        <v>48</v>
      </c>
      <c r="B709" t="s">
        <v>9</v>
      </c>
      <c r="C709" t="s">
        <v>378</v>
      </c>
      <c r="D709">
        <v>22018</v>
      </c>
      <c r="E709">
        <v>3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25">
      <c r="A710" t="s">
        <v>52</v>
      </c>
      <c r="B710" t="s">
        <v>70</v>
      </c>
      <c r="C710" t="s">
        <v>378</v>
      </c>
      <c r="D710">
        <v>90334</v>
      </c>
      <c r="E710">
        <v>7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25">
      <c r="A711" t="s">
        <v>15</v>
      </c>
      <c r="B711" t="s">
        <v>163</v>
      </c>
      <c r="C711" t="s">
        <v>379</v>
      </c>
      <c r="D711">
        <v>21013</v>
      </c>
      <c r="E711">
        <v>6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25">
      <c r="A712" t="s">
        <v>48</v>
      </c>
      <c r="B712" t="s">
        <v>238</v>
      </c>
      <c r="C712" t="s">
        <v>380</v>
      </c>
      <c r="D712">
        <v>40234</v>
      </c>
      <c r="E712">
        <v>10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25">
      <c r="A713" t="s">
        <v>12</v>
      </c>
      <c r="B713" t="s">
        <v>180</v>
      </c>
      <c r="C713" t="s">
        <v>380</v>
      </c>
      <c r="D713">
        <v>24152</v>
      </c>
      <c r="E713">
        <v>6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25">
      <c r="A714" t="s">
        <v>48</v>
      </c>
      <c r="B714" t="s">
        <v>34</v>
      </c>
      <c r="C714" t="s">
        <v>380</v>
      </c>
      <c r="D714">
        <v>77199</v>
      </c>
      <c r="E714">
        <v>5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25">
      <c r="A715" t="s">
        <v>5</v>
      </c>
      <c r="B715" t="s">
        <v>296</v>
      </c>
      <c r="C715" t="s">
        <v>380</v>
      </c>
      <c r="D715">
        <v>33123</v>
      </c>
      <c r="E715">
        <v>7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25">
      <c r="A716" t="s">
        <v>8</v>
      </c>
      <c r="B716" t="s">
        <v>195</v>
      </c>
      <c r="C716" t="s">
        <v>381</v>
      </c>
      <c r="D716">
        <v>74519</v>
      </c>
      <c r="E716">
        <v>7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25">
      <c r="A717" t="s">
        <v>36</v>
      </c>
      <c r="B717" t="s">
        <v>116</v>
      </c>
      <c r="C717" t="s">
        <v>381</v>
      </c>
      <c r="D717">
        <v>64325</v>
      </c>
      <c r="E717">
        <v>9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25">
      <c r="A718" t="s">
        <v>23</v>
      </c>
      <c r="B718" t="s">
        <v>66</v>
      </c>
      <c r="C718" t="s">
        <v>381</v>
      </c>
      <c r="D718">
        <v>89267</v>
      </c>
      <c r="E718">
        <v>4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25">
      <c r="A719" t="s">
        <v>5</v>
      </c>
      <c r="B719" t="s">
        <v>136</v>
      </c>
      <c r="C719" t="s">
        <v>381</v>
      </c>
      <c r="D719">
        <v>60102</v>
      </c>
      <c r="E719">
        <v>4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25">
      <c r="A720" t="s">
        <v>5</v>
      </c>
      <c r="B720" t="s">
        <v>206</v>
      </c>
      <c r="C720" t="s">
        <v>381</v>
      </c>
      <c r="D720">
        <v>35662</v>
      </c>
      <c r="E720">
        <v>10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25">
      <c r="A721" t="s">
        <v>23</v>
      </c>
      <c r="B721" t="s">
        <v>138</v>
      </c>
      <c r="C721" t="s">
        <v>382</v>
      </c>
      <c r="D721">
        <v>25278</v>
      </c>
      <c r="E721">
        <v>8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25">
      <c r="A722" t="s">
        <v>52</v>
      </c>
      <c r="B722" t="s">
        <v>68</v>
      </c>
      <c r="C722" t="s">
        <v>382</v>
      </c>
      <c r="D722">
        <v>51727</v>
      </c>
      <c r="E722">
        <v>5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25">
      <c r="A723" t="s">
        <v>36</v>
      </c>
      <c r="B723" t="s">
        <v>203</v>
      </c>
      <c r="C723" t="s">
        <v>382</v>
      </c>
      <c r="D723">
        <v>64106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25">
      <c r="A724" t="s">
        <v>36</v>
      </c>
      <c r="B724" t="s">
        <v>237</v>
      </c>
      <c r="C724" t="s">
        <v>383</v>
      </c>
      <c r="D724">
        <v>43941</v>
      </c>
      <c r="E724">
        <v>6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25">
      <c r="A725" t="s">
        <v>12</v>
      </c>
      <c r="B725" t="s">
        <v>185</v>
      </c>
      <c r="C725" t="s">
        <v>383</v>
      </c>
      <c r="D725">
        <v>23110</v>
      </c>
      <c r="E725">
        <v>8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25">
      <c r="A726" t="s">
        <v>12</v>
      </c>
      <c r="B726" t="s">
        <v>350</v>
      </c>
      <c r="C726" t="s">
        <v>384</v>
      </c>
      <c r="D726">
        <v>93682</v>
      </c>
      <c r="E726">
        <v>6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25">
      <c r="A727" t="s">
        <v>48</v>
      </c>
      <c r="B727" t="s">
        <v>200</v>
      </c>
      <c r="C727" t="s">
        <v>384</v>
      </c>
      <c r="D727">
        <v>70499</v>
      </c>
      <c r="E727">
        <v>2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25">
      <c r="A728" t="s">
        <v>48</v>
      </c>
      <c r="B728" t="s">
        <v>280</v>
      </c>
      <c r="C728" t="s">
        <v>384</v>
      </c>
      <c r="D728">
        <v>72056</v>
      </c>
      <c r="E728">
        <v>7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25">
      <c r="A729" t="s">
        <v>48</v>
      </c>
      <c r="B729" t="s">
        <v>202</v>
      </c>
      <c r="C729" t="s">
        <v>384</v>
      </c>
      <c r="D729">
        <v>33093</v>
      </c>
      <c r="E729">
        <v>8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25">
      <c r="A730" t="s">
        <v>10</v>
      </c>
      <c r="B730" t="s">
        <v>171</v>
      </c>
      <c r="C730" t="s">
        <v>384</v>
      </c>
      <c r="D730">
        <v>54245</v>
      </c>
      <c r="E730">
        <v>8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25">
      <c r="A731" t="s">
        <v>10</v>
      </c>
      <c r="B731" t="s">
        <v>316</v>
      </c>
      <c r="C731" t="s">
        <v>385</v>
      </c>
      <c r="D731">
        <v>99259</v>
      </c>
      <c r="E731">
        <v>7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25">
      <c r="A732" t="s">
        <v>5</v>
      </c>
      <c r="B732" t="s">
        <v>98</v>
      </c>
      <c r="C732" t="s">
        <v>385</v>
      </c>
      <c r="D732">
        <v>45012</v>
      </c>
      <c r="E732">
        <v>8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25">
      <c r="A733" t="s">
        <v>10</v>
      </c>
      <c r="B733" t="s">
        <v>60</v>
      </c>
      <c r="C733" t="s">
        <v>385</v>
      </c>
      <c r="D733">
        <v>56158</v>
      </c>
      <c r="E733">
        <v>6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25">
      <c r="A734" t="s">
        <v>52</v>
      </c>
      <c r="B734" t="s">
        <v>264</v>
      </c>
      <c r="C734" t="s">
        <v>385</v>
      </c>
      <c r="D734">
        <v>31035</v>
      </c>
      <c r="E734">
        <v>2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25">
      <c r="A735" t="s">
        <v>17</v>
      </c>
      <c r="B735" t="s">
        <v>264</v>
      </c>
      <c r="C735" t="s">
        <v>385</v>
      </c>
      <c r="D735">
        <v>39422</v>
      </c>
      <c r="E735">
        <v>6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25">
      <c r="A736" t="s">
        <v>10</v>
      </c>
      <c r="B736" t="s">
        <v>195</v>
      </c>
      <c r="C736" t="s">
        <v>386</v>
      </c>
      <c r="D736">
        <v>30466</v>
      </c>
      <c r="E736">
        <v>9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25">
      <c r="A737" t="s">
        <v>46</v>
      </c>
      <c r="B737" t="s">
        <v>61</v>
      </c>
      <c r="C737" t="s">
        <v>386</v>
      </c>
      <c r="D737">
        <v>99274</v>
      </c>
      <c r="E737">
        <v>7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25">
      <c r="A738" t="s">
        <v>23</v>
      </c>
      <c r="B738" t="s">
        <v>60</v>
      </c>
      <c r="C738" t="s">
        <v>386</v>
      </c>
      <c r="D738">
        <v>68210</v>
      </c>
      <c r="E738">
        <v>7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25">
      <c r="A739" t="s">
        <v>46</v>
      </c>
      <c r="B739" t="s">
        <v>35</v>
      </c>
      <c r="C739" t="s">
        <v>387</v>
      </c>
      <c r="D739">
        <v>26286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25">
      <c r="A740" t="s">
        <v>8</v>
      </c>
      <c r="B740" t="s">
        <v>129</v>
      </c>
      <c r="C740" t="s">
        <v>388</v>
      </c>
      <c r="D740">
        <v>73909</v>
      </c>
      <c r="E740">
        <v>1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25">
      <c r="A741" t="s">
        <v>10</v>
      </c>
      <c r="B741" t="s">
        <v>140</v>
      </c>
      <c r="C741" t="s">
        <v>388</v>
      </c>
      <c r="D741">
        <v>48303</v>
      </c>
      <c r="E741">
        <v>1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25">
      <c r="A742" t="s">
        <v>23</v>
      </c>
      <c r="B742" t="s">
        <v>195</v>
      </c>
      <c r="C742" t="s">
        <v>388</v>
      </c>
      <c r="D742">
        <v>63881</v>
      </c>
      <c r="E742">
        <v>6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25">
      <c r="A743" t="s">
        <v>15</v>
      </c>
      <c r="B743" t="s">
        <v>37</v>
      </c>
      <c r="C743" t="s">
        <v>389</v>
      </c>
      <c r="D743">
        <v>68388</v>
      </c>
      <c r="E743">
        <v>4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25">
      <c r="A744" t="s">
        <v>8</v>
      </c>
      <c r="B744" t="s">
        <v>116</v>
      </c>
      <c r="C744" t="s">
        <v>389</v>
      </c>
      <c r="D744">
        <v>14878</v>
      </c>
      <c r="E744">
        <v>7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25">
      <c r="A745" t="s">
        <v>15</v>
      </c>
      <c r="B745" t="s">
        <v>312</v>
      </c>
      <c r="C745" t="s">
        <v>390</v>
      </c>
      <c r="D745">
        <v>17457</v>
      </c>
      <c r="E745">
        <v>8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x14ac:dyDescent="0.25">
      <c r="A746" t="s">
        <v>17</v>
      </c>
      <c r="B746" t="s">
        <v>101</v>
      </c>
      <c r="C746" t="s">
        <v>390</v>
      </c>
      <c r="D746">
        <v>74239</v>
      </c>
      <c r="E746">
        <v>7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x14ac:dyDescent="0.25">
      <c r="A747" t="s">
        <v>17</v>
      </c>
      <c r="B747" t="s">
        <v>129</v>
      </c>
      <c r="C747" t="s">
        <v>391</v>
      </c>
      <c r="D747">
        <v>63231</v>
      </c>
      <c r="E747">
        <v>5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x14ac:dyDescent="0.25">
      <c r="A748" t="s">
        <v>23</v>
      </c>
      <c r="B748" t="s">
        <v>252</v>
      </c>
      <c r="C748" t="s">
        <v>391</v>
      </c>
      <c r="D748">
        <v>57398</v>
      </c>
      <c r="E748">
        <v>5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x14ac:dyDescent="0.25">
      <c r="A749" t="s">
        <v>46</v>
      </c>
      <c r="B749" t="s">
        <v>129</v>
      </c>
      <c r="C749" t="s">
        <v>391</v>
      </c>
      <c r="D749">
        <v>31228</v>
      </c>
      <c r="E749">
        <v>10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x14ac:dyDescent="0.25">
      <c r="A750" t="s">
        <v>36</v>
      </c>
      <c r="B750" t="s">
        <v>107</v>
      </c>
      <c r="C750" t="s">
        <v>392</v>
      </c>
      <c r="D750">
        <v>85325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x14ac:dyDescent="0.25">
      <c r="A751" t="s">
        <v>8</v>
      </c>
      <c r="B751" t="s">
        <v>148</v>
      </c>
      <c r="C751" t="s">
        <v>392</v>
      </c>
      <c r="D751">
        <v>49432</v>
      </c>
      <c r="E751">
        <v>7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25">
      <c r="A752" t="s">
        <v>17</v>
      </c>
      <c r="B752" t="s">
        <v>47</v>
      </c>
      <c r="C752" t="s">
        <v>392</v>
      </c>
      <c r="D752">
        <v>30055</v>
      </c>
      <c r="E752">
        <v>6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25">
      <c r="A753" t="s">
        <v>5</v>
      </c>
      <c r="B753" t="s">
        <v>25</v>
      </c>
      <c r="C753" t="s">
        <v>392</v>
      </c>
      <c r="D753">
        <v>37126</v>
      </c>
      <c r="E753">
        <v>7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25">
      <c r="A754" t="s">
        <v>27</v>
      </c>
      <c r="B754" t="s">
        <v>271</v>
      </c>
      <c r="C754" t="s">
        <v>392</v>
      </c>
      <c r="D754">
        <v>20424</v>
      </c>
      <c r="E754">
        <v>6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25">
      <c r="A755" t="s">
        <v>12</v>
      </c>
      <c r="B755" t="s">
        <v>60</v>
      </c>
      <c r="C755" t="s">
        <v>392</v>
      </c>
      <c r="D755">
        <v>27342</v>
      </c>
      <c r="E755">
        <v>4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25">
      <c r="A756" t="s">
        <v>23</v>
      </c>
      <c r="B756" t="s">
        <v>11</v>
      </c>
      <c r="C756" t="s">
        <v>393</v>
      </c>
      <c r="D756">
        <v>56913</v>
      </c>
      <c r="E756">
        <v>5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25">
      <c r="A757" t="s">
        <v>5</v>
      </c>
      <c r="B757" t="s">
        <v>20</v>
      </c>
      <c r="C757" t="s">
        <v>393</v>
      </c>
      <c r="D757">
        <v>36440</v>
      </c>
      <c r="E757">
        <v>3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25">
      <c r="A758" t="s">
        <v>52</v>
      </c>
      <c r="B758" t="s">
        <v>141</v>
      </c>
      <c r="C758" t="s">
        <v>394</v>
      </c>
      <c r="D758">
        <v>57146</v>
      </c>
      <c r="E758">
        <v>10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25">
      <c r="A759" t="s">
        <v>27</v>
      </c>
      <c r="B759" t="s">
        <v>235</v>
      </c>
      <c r="C759" t="s">
        <v>394</v>
      </c>
      <c r="D759">
        <v>25752</v>
      </c>
      <c r="E759">
        <v>8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25">
      <c r="A760" t="s">
        <v>8</v>
      </c>
      <c r="B760" t="s">
        <v>79</v>
      </c>
      <c r="C760" t="s">
        <v>394</v>
      </c>
      <c r="D760">
        <v>33167</v>
      </c>
      <c r="E760">
        <v>5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25">
      <c r="A761" t="s">
        <v>52</v>
      </c>
      <c r="B761" t="s">
        <v>364</v>
      </c>
      <c r="C761" t="s">
        <v>394</v>
      </c>
      <c r="D761">
        <v>76011</v>
      </c>
      <c r="E761">
        <v>8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25">
      <c r="A762" t="s">
        <v>10</v>
      </c>
      <c r="B762" t="s">
        <v>123</v>
      </c>
      <c r="C762" t="s">
        <v>394</v>
      </c>
      <c r="D762">
        <v>40110</v>
      </c>
      <c r="E762">
        <v>0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25">
      <c r="A763" t="s">
        <v>10</v>
      </c>
      <c r="B763" t="s">
        <v>69</v>
      </c>
      <c r="C763" t="s">
        <v>395</v>
      </c>
      <c r="D763">
        <v>55180</v>
      </c>
      <c r="E763">
        <v>8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25">
      <c r="A764" t="s">
        <v>46</v>
      </c>
      <c r="B764" t="s">
        <v>235</v>
      </c>
      <c r="C764" t="s">
        <v>395</v>
      </c>
      <c r="D764">
        <v>64085</v>
      </c>
      <c r="E764">
        <v>6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25">
      <c r="A765" t="s">
        <v>12</v>
      </c>
      <c r="B765" t="s">
        <v>256</v>
      </c>
      <c r="C765" t="s">
        <v>395</v>
      </c>
      <c r="D765">
        <v>19124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25">
      <c r="A766" t="s">
        <v>46</v>
      </c>
      <c r="B766" t="s">
        <v>77</v>
      </c>
      <c r="C766" t="s">
        <v>395</v>
      </c>
      <c r="D766">
        <v>34882</v>
      </c>
      <c r="E766">
        <v>7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25">
      <c r="A767" t="s">
        <v>48</v>
      </c>
      <c r="B767" t="s">
        <v>134</v>
      </c>
      <c r="C767" t="s">
        <v>395</v>
      </c>
      <c r="D767">
        <v>29890</v>
      </c>
      <c r="E767">
        <v>7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25">
      <c r="A768" t="s">
        <v>36</v>
      </c>
      <c r="B768" t="s">
        <v>139</v>
      </c>
      <c r="C768" t="s">
        <v>395</v>
      </c>
      <c r="D768">
        <v>81534</v>
      </c>
      <c r="E768">
        <v>6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25">
      <c r="A769" t="s">
        <v>12</v>
      </c>
      <c r="B769" t="s">
        <v>161</v>
      </c>
      <c r="C769" t="s">
        <v>395</v>
      </c>
      <c r="D769">
        <v>29817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25">
      <c r="A770" t="s">
        <v>10</v>
      </c>
      <c r="B770" t="s">
        <v>108</v>
      </c>
      <c r="C770" t="s">
        <v>396</v>
      </c>
      <c r="D770">
        <v>14965</v>
      </c>
      <c r="E770">
        <v>7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25">
      <c r="A771" t="s">
        <v>52</v>
      </c>
      <c r="B771" t="s">
        <v>275</v>
      </c>
      <c r="C771" t="s">
        <v>397</v>
      </c>
      <c r="D771">
        <v>95410</v>
      </c>
      <c r="E771">
        <v>9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25">
      <c r="A772" t="s">
        <v>36</v>
      </c>
      <c r="B772" t="s">
        <v>156</v>
      </c>
      <c r="C772" t="s">
        <v>397</v>
      </c>
      <c r="D772">
        <v>22906</v>
      </c>
      <c r="E772">
        <v>3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25">
      <c r="A773" t="s">
        <v>17</v>
      </c>
      <c r="B773" t="s">
        <v>312</v>
      </c>
      <c r="C773" t="s">
        <v>397</v>
      </c>
      <c r="D773">
        <v>50966</v>
      </c>
      <c r="E773">
        <v>4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25">
      <c r="A774" t="s">
        <v>12</v>
      </c>
      <c r="B774" t="s">
        <v>264</v>
      </c>
      <c r="C774" t="s">
        <v>398</v>
      </c>
      <c r="D774">
        <v>83562</v>
      </c>
      <c r="E774">
        <v>9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25">
      <c r="A775" t="s">
        <v>52</v>
      </c>
      <c r="B775" t="s">
        <v>235</v>
      </c>
      <c r="C775" t="s">
        <v>398</v>
      </c>
      <c r="D775">
        <v>28948</v>
      </c>
      <c r="E775">
        <v>5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25">
      <c r="A776" t="s">
        <v>48</v>
      </c>
      <c r="B776" t="s">
        <v>24</v>
      </c>
      <c r="C776" t="s">
        <v>398</v>
      </c>
      <c r="D776">
        <v>40646</v>
      </c>
      <c r="E776">
        <v>3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25">
      <c r="A777" t="s">
        <v>27</v>
      </c>
      <c r="B777" t="s">
        <v>148</v>
      </c>
      <c r="C777" t="s">
        <v>398</v>
      </c>
      <c r="D777">
        <v>71935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25">
      <c r="A778" t="s">
        <v>27</v>
      </c>
      <c r="B778" t="s">
        <v>87</v>
      </c>
      <c r="C778" t="s">
        <v>398</v>
      </c>
      <c r="D778">
        <v>17239</v>
      </c>
      <c r="E778">
        <v>7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25">
      <c r="A779" t="s">
        <v>10</v>
      </c>
      <c r="B779" t="s">
        <v>191</v>
      </c>
      <c r="C779" t="s">
        <v>398</v>
      </c>
      <c r="D779">
        <v>48090</v>
      </c>
      <c r="E779">
        <v>7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25">
      <c r="A780" t="s">
        <v>17</v>
      </c>
      <c r="B780" t="s">
        <v>62</v>
      </c>
      <c r="C780" t="s">
        <v>399</v>
      </c>
      <c r="D780">
        <v>41899</v>
      </c>
      <c r="E780">
        <v>9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25">
      <c r="A781" t="s">
        <v>12</v>
      </c>
      <c r="B781" t="s">
        <v>115</v>
      </c>
      <c r="C781" t="s">
        <v>399</v>
      </c>
      <c r="D781">
        <v>53532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25">
      <c r="A782" t="s">
        <v>17</v>
      </c>
      <c r="B782" t="s">
        <v>136</v>
      </c>
      <c r="C782" t="s">
        <v>399</v>
      </c>
      <c r="D782">
        <v>38581</v>
      </c>
      <c r="E782">
        <v>4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25">
      <c r="A783" t="s">
        <v>23</v>
      </c>
      <c r="B783" t="s">
        <v>95</v>
      </c>
      <c r="C783" t="s">
        <v>399</v>
      </c>
      <c r="D783">
        <v>21087</v>
      </c>
      <c r="E783">
        <v>9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25">
      <c r="A784" t="s">
        <v>10</v>
      </c>
      <c r="B784" t="s">
        <v>256</v>
      </c>
      <c r="C784" t="s">
        <v>399</v>
      </c>
      <c r="D784">
        <v>88209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25">
      <c r="A785" t="s">
        <v>12</v>
      </c>
      <c r="B785" t="s">
        <v>207</v>
      </c>
      <c r="C785" t="s">
        <v>399</v>
      </c>
      <c r="D785">
        <v>89079</v>
      </c>
      <c r="E785">
        <v>8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25">
      <c r="A786" t="s">
        <v>5</v>
      </c>
      <c r="B786" t="s">
        <v>229</v>
      </c>
      <c r="C786" t="s">
        <v>399</v>
      </c>
      <c r="D786">
        <v>98258</v>
      </c>
      <c r="E786">
        <v>2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25">
      <c r="A787" t="s">
        <v>8</v>
      </c>
      <c r="B787" t="s">
        <v>170</v>
      </c>
      <c r="C787" t="s">
        <v>399</v>
      </c>
      <c r="D787">
        <v>15605</v>
      </c>
      <c r="E787">
        <v>7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25">
      <c r="A788" t="s">
        <v>5</v>
      </c>
      <c r="B788" t="s">
        <v>206</v>
      </c>
      <c r="C788" t="s">
        <v>399</v>
      </c>
      <c r="D788">
        <v>38930</v>
      </c>
      <c r="E788">
        <v>6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25">
      <c r="A789" t="s">
        <v>27</v>
      </c>
      <c r="B789" t="s">
        <v>6</v>
      </c>
      <c r="C789" t="s">
        <v>399</v>
      </c>
      <c r="D789">
        <v>87255</v>
      </c>
      <c r="E789">
        <v>9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25">
      <c r="A790" t="s">
        <v>15</v>
      </c>
      <c r="B790" t="s">
        <v>165</v>
      </c>
      <c r="C790" t="s">
        <v>399</v>
      </c>
      <c r="D790">
        <v>85321</v>
      </c>
      <c r="E790">
        <v>2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25">
      <c r="A791" t="s">
        <v>8</v>
      </c>
      <c r="B791" t="s">
        <v>300</v>
      </c>
      <c r="C791" t="s">
        <v>399</v>
      </c>
      <c r="D791">
        <v>67432</v>
      </c>
      <c r="E791">
        <v>2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25">
      <c r="A792" t="s">
        <v>10</v>
      </c>
      <c r="B792" t="s">
        <v>281</v>
      </c>
      <c r="C792" t="s">
        <v>400</v>
      </c>
      <c r="D792">
        <v>61106</v>
      </c>
      <c r="E792">
        <v>4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25">
      <c r="A793" t="s">
        <v>52</v>
      </c>
      <c r="B793" t="s">
        <v>59</v>
      </c>
      <c r="C793" t="s">
        <v>401</v>
      </c>
      <c r="D793">
        <v>70159</v>
      </c>
      <c r="E793">
        <v>3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25">
      <c r="A794" t="s">
        <v>46</v>
      </c>
      <c r="B794" t="s">
        <v>66</v>
      </c>
      <c r="C794" t="s">
        <v>402</v>
      </c>
      <c r="D794">
        <v>70647</v>
      </c>
      <c r="E794">
        <v>7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25">
      <c r="A795" t="s">
        <v>52</v>
      </c>
      <c r="B795" t="s">
        <v>113</v>
      </c>
      <c r="C795" t="s">
        <v>402</v>
      </c>
      <c r="D795">
        <v>72564</v>
      </c>
      <c r="E795">
        <v>1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25">
      <c r="A796" t="s">
        <v>5</v>
      </c>
      <c r="B796" t="s">
        <v>131</v>
      </c>
      <c r="C796" t="s">
        <v>403</v>
      </c>
      <c r="D796">
        <v>93984</v>
      </c>
      <c r="E796">
        <v>1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25">
      <c r="A797" t="s">
        <v>23</v>
      </c>
      <c r="B797" t="s">
        <v>25</v>
      </c>
      <c r="C797" t="s">
        <v>403</v>
      </c>
      <c r="D797">
        <v>29902</v>
      </c>
      <c r="E797">
        <v>9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25">
      <c r="A798" t="s">
        <v>46</v>
      </c>
      <c r="B798" t="s">
        <v>47</v>
      </c>
      <c r="C798" t="s">
        <v>404</v>
      </c>
      <c r="D798">
        <v>21356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25">
      <c r="A799" t="s">
        <v>27</v>
      </c>
      <c r="B799" t="s">
        <v>235</v>
      </c>
      <c r="C799" t="s">
        <v>404</v>
      </c>
      <c r="D799">
        <v>85235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25">
      <c r="A800" t="s">
        <v>36</v>
      </c>
      <c r="B800" t="s">
        <v>108</v>
      </c>
      <c r="C800" t="s">
        <v>404</v>
      </c>
      <c r="D800">
        <v>65227</v>
      </c>
      <c r="E800">
        <v>5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25">
      <c r="A801" t="s">
        <v>46</v>
      </c>
      <c r="B801" t="s">
        <v>138</v>
      </c>
      <c r="C801" t="s">
        <v>404</v>
      </c>
      <c r="D801">
        <v>66215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25">
      <c r="A802" t="s">
        <v>5</v>
      </c>
      <c r="B802" t="s">
        <v>195</v>
      </c>
      <c r="C802" t="s">
        <v>404</v>
      </c>
      <c r="D802">
        <v>37994</v>
      </c>
      <c r="E802">
        <v>7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25">
      <c r="A803" t="s">
        <v>36</v>
      </c>
      <c r="B803" t="s">
        <v>170</v>
      </c>
      <c r="C803" t="s">
        <v>404</v>
      </c>
      <c r="D803">
        <v>41984</v>
      </c>
      <c r="E803">
        <v>8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25">
      <c r="A804" t="s">
        <v>10</v>
      </c>
      <c r="B804" t="s">
        <v>6</v>
      </c>
      <c r="C804" t="s">
        <v>404</v>
      </c>
      <c r="D804">
        <v>43054</v>
      </c>
      <c r="E804">
        <v>2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25">
      <c r="A805" t="s">
        <v>27</v>
      </c>
      <c r="B805" t="s">
        <v>171</v>
      </c>
      <c r="C805" t="s">
        <v>405</v>
      </c>
      <c r="D805">
        <v>73674</v>
      </c>
      <c r="E805">
        <v>10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25">
      <c r="A806" t="s">
        <v>52</v>
      </c>
      <c r="B806" t="s">
        <v>193</v>
      </c>
      <c r="C806" t="s">
        <v>406</v>
      </c>
      <c r="D806">
        <v>24107</v>
      </c>
      <c r="E806">
        <v>6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25">
      <c r="A807" t="s">
        <v>23</v>
      </c>
      <c r="B807" t="s">
        <v>91</v>
      </c>
      <c r="C807" t="s">
        <v>406</v>
      </c>
      <c r="D807">
        <v>51248</v>
      </c>
      <c r="E807">
        <v>6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25">
      <c r="A808" t="s">
        <v>52</v>
      </c>
      <c r="B808" t="s">
        <v>112</v>
      </c>
      <c r="C808" t="s">
        <v>406</v>
      </c>
      <c r="D808">
        <v>86916</v>
      </c>
      <c r="E808">
        <v>7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25">
      <c r="A809" t="s">
        <v>46</v>
      </c>
      <c r="B809" t="s">
        <v>149</v>
      </c>
      <c r="C809" t="s">
        <v>407</v>
      </c>
      <c r="D809">
        <v>72008</v>
      </c>
      <c r="E809">
        <v>7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25">
      <c r="A810" t="s">
        <v>46</v>
      </c>
      <c r="B810" t="s">
        <v>248</v>
      </c>
      <c r="C810" t="s">
        <v>407</v>
      </c>
      <c r="D810">
        <v>61518</v>
      </c>
      <c r="E810">
        <v>7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25">
      <c r="A811" t="s">
        <v>5</v>
      </c>
      <c r="B811" t="s">
        <v>146</v>
      </c>
      <c r="C811" t="s">
        <v>407</v>
      </c>
      <c r="D811">
        <v>90516</v>
      </c>
      <c r="E811">
        <v>3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25">
      <c r="A812" t="s">
        <v>15</v>
      </c>
      <c r="B812" t="s">
        <v>107</v>
      </c>
      <c r="C812" t="s">
        <v>408</v>
      </c>
      <c r="D812">
        <v>31777</v>
      </c>
      <c r="E812">
        <v>8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25">
      <c r="A813" t="s">
        <v>5</v>
      </c>
      <c r="B813" t="s">
        <v>92</v>
      </c>
      <c r="C813" t="s">
        <v>408</v>
      </c>
      <c r="D813">
        <v>34967</v>
      </c>
      <c r="E813">
        <v>5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25">
      <c r="A814" t="s">
        <v>36</v>
      </c>
      <c r="B814" t="s">
        <v>181</v>
      </c>
      <c r="C814" t="s">
        <v>408</v>
      </c>
      <c r="D814">
        <v>83325</v>
      </c>
      <c r="E814">
        <v>10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25">
      <c r="A815" t="s">
        <v>48</v>
      </c>
      <c r="B815" t="s">
        <v>64</v>
      </c>
      <c r="C815" t="s">
        <v>409</v>
      </c>
      <c r="D815">
        <v>52001</v>
      </c>
      <c r="E815">
        <v>6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x14ac:dyDescent="0.25">
      <c r="A816" t="s">
        <v>46</v>
      </c>
      <c r="B816" t="s">
        <v>216</v>
      </c>
      <c r="C816" t="s">
        <v>409</v>
      </c>
      <c r="D816">
        <v>22101</v>
      </c>
      <c r="E816">
        <v>9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x14ac:dyDescent="0.25">
      <c r="A817" t="s">
        <v>12</v>
      </c>
      <c r="B817" t="s">
        <v>195</v>
      </c>
      <c r="C817" t="s">
        <v>409</v>
      </c>
      <c r="D817">
        <v>42864</v>
      </c>
      <c r="E817">
        <v>4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x14ac:dyDescent="0.25">
      <c r="A818" t="s">
        <v>27</v>
      </c>
      <c r="B818" t="s">
        <v>102</v>
      </c>
      <c r="C818" t="s">
        <v>409</v>
      </c>
      <c r="D818">
        <v>60407</v>
      </c>
      <c r="E818">
        <v>3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x14ac:dyDescent="0.25">
      <c r="A819" t="s">
        <v>17</v>
      </c>
      <c r="B819" t="s">
        <v>184</v>
      </c>
      <c r="C819" t="s">
        <v>409</v>
      </c>
      <c r="D819">
        <v>21669</v>
      </c>
      <c r="E819">
        <v>7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x14ac:dyDescent="0.25">
      <c r="A820" t="s">
        <v>17</v>
      </c>
      <c r="B820" t="s">
        <v>55</v>
      </c>
      <c r="C820" t="s">
        <v>409</v>
      </c>
      <c r="D820">
        <v>18635</v>
      </c>
      <c r="E820">
        <v>6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x14ac:dyDescent="0.25">
      <c r="A821" t="s">
        <v>27</v>
      </c>
      <c r="B821" t="s">
        <v>173</v>
      </c>
      <c r="C821" t="s">
        <v>409</v>
      </c>
      <c r="D821">
        <v>32984</v>
      </c>
      <c r="E821">
        <v>0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x14ac:dyDescent="0.25">
      <c r="A822" t="s">
        <v>46</v>
      </c>
      <c r="B822" t="s">
        <v>102</v>
      </c>
      <c r="C822" t="s">
        <v>409</v>
      </c>
      <c r="D822">
        <v>69615</v>
      </c>
      <c r="E822">
        <v>2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x14ac:dyDescent="0.25">
      <c r="A823" t="s">
        <v>15</v>
      </c>
      <c r="B823" t="s">
        <v>111</v>
      </c>
      <c r="C823" t="s">
        <v>410</v>
      </c>
      <c r="D823">
        <v>45449</v>
      </c>
      <c r="E823">
        <v>8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x14ac:dyDescent="0.25">
      <c r="A824" t="s">
        <v>10</v>
      </c>
      <c r="B824" t="s">
        <v>256</v>
      </c>
      <c r="C824" t="s">
        <v>411</v>
      </c>
      <c r="D824">
        <v>55778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x14ac:dyDescent="0.25">
      <c r="A825" t="s">
        <v>48</v>
      </c>
      <c r="B825" t="s">
        <v>157</v>
      </c>
      <c r="C825" t="s">
        <v>411</v>
      </c>
      <c r="D825">
        <v>85563</v>
      </c>
      <c r="E825">
        <v>5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x14ac:dyDescent="0.25">
      <c r="A826" t="s">
        <v>15</v>
      </c>
      <c r="B826" t="s">
        <v>148</v>
      </c>
      <c r="C826" t="s">
        <v>411</v>
      </c>
      <c r="D826">
        <v>45732</v>
      </c>
      <c r="E826">
        <v>7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25">
      <c r="A827" t="s">
        <v>8</v>
      </c>
      <c r="B827" t="s">
        <v>157</v>
      </c>
      <c r="C827" t="s">
        <v>411</v>
      </c>
      <c r="D827">
        <v>95167</v>
      </c>
      <c r="E827">
        <v>5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25">
      <c r="A828" t="s">
        <v>27</v>
      </c>
      <c r="B828" t="s">
        <v>229</v>
      </c>
      <c r="C828" t="s">
        <v>412</v>
      </c>
      <c r="D828">
        <v>82953</v>
      </c>
      <c r="E828">
        <v>6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25">
      <c r="A829" t="s">
        <v>46</v>
      </c>
      <c r="B829" t="s">
        <v>243</v>
      </c>
      <c r="C829" t="s">
        <v>412</v>
      </c>
      <c r="D829">
        <v>64144</v>
      </c>
      <c r="E829">
        <v>7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25">
      <c r="A830" t="s">
        <v>15</v>
      </c>
      <c r="B830" t="s">
        <v>129</v>
      </c>
      <c r="C830" t="s">
        <v>412</v>
      </c>
      <c r="D830">
        <v>22822</v>
      </c>
      <c r="E830">
        <v>7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25">
      <c r="A831" t="s">
        <v>15</v>
      </c>
      <c r="B831" t="s">
        <v>66</v>
      </c>
      <c r="C831" t="s">
        <v>413</v>
      </c>
      <c r="D831">
        <v>50534</v>
      </c>
      <c r="E831">
        <v>6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25">
      <c r="A832" t="s">
        <v>23</v>
      </c>
      <c r="B832" t="s">
        <v>195</v>
      </c>
      <c r="C832" t="s">
        <v>413</v>
      </c>
      <c r="D832">
        <v>99019</v>
      </c>
      <c r="E832">
        <v>5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25">
      <c r="A833" t="s">
        <v>12</v>
      </c>
      <c r="B833" t="s">
        <v>61</v>
      </c>
      <c r="C833" t="s">
        <v>413</v>
      </c>
      <c r="D833">
        <v>88202</v>
      </c>
      <c r="E833">
        <v>6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25">
      <c r="A834" t="s">
        <v>5</v>
      </c>
      <c r="B834" t="s">
        <v>335</v>
      </c>
      <c r="C834" t="s">
        <v>413</v>
      </c>
      <c r="D834">
        <v>44243</v>
      </c>
      <c r="E834">
        <v>7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25">
      <c r="A835" t="s">
        <v>17</v>
      </c>
      <c r="B835" t="s">
        <v>112</v>
      </c>
      <c r="C835" t="s">
        <v>413</v>
      </c>
      <c r="D835">
        <v>30752</v>
      </c>
      <c r="E835">
        <v>8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x14ac:dyDescent="0.25">
      <c r="A836" t="s">
        <v>52</v>
      </c>
      <c r="B836" t="s">
        <v>122</v>
      </c>
      <c r="C836" t="s">
        <v>413</v>
      </c>
      <c r="D836">
        <v>73009</v>
      </c>
      <c r="E836">
        <v>6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25">
      <c r="A837" t="s">
        <v>10</v>
      </c>
      <c r="B837" t="s">
        <v>64</v>
      </c>
      <c r="C837" t="s">
        <v>413</v>
      </c>
      <c r="D837">
        <v>61865</v>
      </c>
      <c r="E837">
        <v>8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25">
      <c r="A838" t="s">
        <v>46</v>
      </c>
      <c r="B838" t="s">
        <v>150</v>
      </c>
      <c r="C838" t="s">
        <v>413</v>
      </c>
      <c r="D838">
        <v>81310</v>
      </c>
      <c r="E838">
        <v>6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25">
      <c r="A839" t="s">
        <v>27</v>
      </c>
      <c r="B839" t="s">
        <v>43</v>
      </c>
      <c r="C839" t="s">
        <v>413</v>
      </c>
      <c r="D839">
        <v>48597</v>
      </c>
      <c r="E839">
        <v>5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25">
      <c r="A840" t="s">
        <v>17</v>
      </c>
      <c r="B840" t="s">
        <v>270</v>
      </c>
      <c r="C840" t="s">
        <v>413</v>
      </c>
      <c r="D840">
        <v>88155</v>
      </c>
      <c r="E840">
        <v>2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25">
      <c r="A841" t="s">
        <v>15</v>
      </c>
      <c r="B841" t="s">
        <v>118</v>
      </c>
      <c r="C841" t="s">
        <v>413</v>
      </c>
      <c r="D841">
        <v>53975</v>
      </c>
      <c r="E841">
        <v>6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25">
      <c r="A842" t="s">
        <v>12</v>
      </c>
      <c r="B842" t="s">
        <v>287</v>
      </c>
      <c r="C842" t="s">
        <v>413</v>
      </c>
      <c r="D842">
        <v>77459</v>
      </c>
      <c r="E842">
        <v>9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25">
      <c r="A843" t="s">
        <v>23</v>
      </c>
      <c r="B843" t="s">
        <v>67</v>
      </c>
      <c r="C843" t="s">
        <v>413</v>
      </c>
      <c r="D843">
        <v>94742</v>
      </c>
      <c r="E843">
        <v>10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25">
      <c r="A844" t="s">
        <v>8</v>
      </c>
      <c r="B844" t="s">
        <v>296</v>
      </c>
      <c r="C844" t="s">
        <v>413</v>
      </c>
      <c r="D844">
        <v>22774</v>
      </c>
      <c r="E844">
        <v>3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25">
      <c r="A845" t="s">
        <v>52</v>
      </c>
      <c r="B845" t="s">
        <v>281</v>
      </c>
      <c r="C845" t="s">
        <v>414</v>
      </c>
      <c r="D845">
        <v>11387</v>
      </c>
      <c r="E845">
        <v>9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25">
      <c r="A846" t="s">
        <v>5</v>
      </c>
      <c r="B846" t="s">
        <v>248</v>
      </c>
      <c r="C846" t="s">
        <v>414</v>
      </c>
      <c r="D846">
        <v>87315</v>
      </c>
      <c r="E846">
        <v>8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25">
      <c r="A847" t="s">
        <v>27</v>
      </c>
      <c r="B847" t="s">
        <v>75</v>
      </c>
      <c r="C847" t="s">
        <v>414</v>
      </c>
      <c r="D847">
        <v>57782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25">
      <c r="A848" t="s">
        <v>23</v>
      </c>
      <c r="B848" t="s">
        <v>131</v>
      </c>
      <c r="C848" t="s">
        <v>414</v>
      </c>
      <c r="D848">
        <v>65897</v>
      </c>
      <c r="E848">
        <v>9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25">
      <c r="A849" t="s">
        <v>10</v>
      </c>
      <c r="B849" t="s">
        <v>84</v>
      </c>
      <c r="C849" t="s">
        <v>414</v>
      </c>
      <c r="D849">
        <v>76661</v>
      </c>
      <c r="E849">
        <v>9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25">
      <c r="A850" t="s">
        <v>27</v>
      </c>
      <c r="B850" t="s">
        <v>216</v>
      </c>
      <c r="C850" t="s">
        <v>415</v>
      </c>
      <c r="D850">
        <v>67459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25">
      <c r="A851" t="s">
        <v>36</v>
      </c>
      <c r="B851" t="s">
        <v>122</v>
      </c>
      <c r="C851" t="s">
        <v>415</v>
      </c>
      <c r="D851">
        <v>52380</v>
      </c>
      <c r="E851">
        <v>10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25">
      <c r="A852" t="s">
        <v>23</v>
      </c>
      <c r="B852" t="s">
        <v>153</v>
      </c>
      <c r="C852" t="s">
        <v>415</v>
      </c>
      <c r="D852">
        <v>93379</v>
      </c>
      <c r="E852">
        <v>9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25">
      <c r="A853" t="s">
        <v>46</v>
      </c>
      <c r="B853" t="s">
        <v>86</v>
      </c>
      <c r="C853" t="s">
        <v>416</v>
      </c>
      <c r="D853">
        <v>93351</v>
      </c>
      <c r="E853">
        <v>6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25">
      <c r="A854" t="s">
        <v>10</v>
      </c>
      <c r="B854" t="s">
        <v>184</v>
      </c>
      <c r="C854" t="s">
        <v>416</v>
      </c>
      <c r="D854">
        <v>39012</v>
      </c>
      <c r="E854">
        <v>6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25">
      <c r="A855" t="s">
        <v>52</v>
      </c>
      <c r="B855" t="s">
        <v>116</v>
      </c>
      <c r="C855" t="s">
        <v>416</v>
      </c>
      <c r="D855">
        <v>30789</v>
      </c>
      <c r="E855">
        <v>9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25">
      <c r="A856" t="s">
        <v>27</v>
      </c>
      <c r="B856" t="s">
        <v>118</v>
      </c>
      <c r="C856" t="s">
        <v>416</v>
      </c>
      <c r="D856">
        <v>80062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25">
      <c r="A857" t="s">
        <v>23</v>
      </c>
      <c r="B857" t="s">
        <v>184</v>
      </c>
      <c r="C857" t="s">
        <v>416</v>
      </c>
      <c r="D857">
        <v>25154</v>
      </c>
      <c r="E857">
        <v>6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25">
      <c r="A858" t="s">
        <v>15</v>
      </c>
      <c r="B858" t="s">
        <v>325</v>
      </c>
      <c r="C858" t="s">
        <v>416</v>
      </c>
      <c r="D858">
        <v>25650</v>
      </c>
      <c r="E858">
        <v>8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25">
      <c r="A859" t="s">
        <v>15</v>
      </c>
      <c r="B859" t="s">
        <v>74</v>
      </c>
      <c r="C859" t="s">
        <v>416</v>
      </c>
      <c r="D859">
        <v>54288</v>
      </c>
      <c r="E859">
        <v>8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25">
      <c r="A860" t="s">
        <v>52</v>
      </c>
      <c r="B860" t="s">
        <v>105</v>
      </c>
      <c r="C860" t="s">
        <v>416</v>
      </c>
      <c r="D860">
        <v>69547</v>
      </c>
      <c r="E860">
        <v>3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25">
      <c r="A861" t="s">
        <v>17</v>
      </c>
      <c r="B861" t="s">
        <v>40</v>
      </c>
      <c r="C861" t="s">
        <v>416</v>
      </c>
      <c r="D861">
        <v>56003</v>
      </c>
      <c r="E861">
        <v>8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25">
      <c r="A862" t="s">
        <v>52</v>
      </c>
      <c r="B862" t="s">
        <v>107</v>
      </c>
      <c r="C862" t="s">
        <v>416</v>
      </c>
      <c r="D862">
        <v>22453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25">
      <c r="A863" t="s">
        <v>17</v>
      </c>
      <c r="B863" t="s">
        <v>417</v>
      </c>
      <c r="C863" t="s">
        <v>416</v>
      </c>
      <c r="D863">
        <v>26201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25">
      <c r="A864" t="s">
        <v>23</v>
      </c>
      <c r="B864" t="s">
        <v>129</v>
      </c>
      <c r="C864" t="s">
        <v>418</v>
      </c>
      <c r="D864">
        <v>72535</v>
      </c>
      <c r="E864">
        <v>2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25">
      <c r="A865" t="s">
        <v>48</v>
      </c>
      <c r="B865" t="s">
        <v>235</v>
      </c>
      <c r="C865" t="s">
        <v>418</v>
      </c>
      <c r="D865">
        <v>85536</v>
      </c>
      <c r="E865">
        <v>8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25">
      <c r="A866" t="s">
        <v>46</v>
      </c>
      <c r="B866" t="s">
        <v>131</v>
      </c>
      <c r="C866" t="s">
        <v>418</v>
      </c>
      <c r="D866">
        <v>64130</v>
      </c>
      <c r="E866">
        <v>7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25">
      <c r="A867" t="s">
        <v>15</v>
      </c>
      <c r="B867" t="s">
        <v>73</v>
      </c>
      <c r="C867" t="s">
        <v>418</v>
      </c>
      <c r="D867">
        <v>60645</v>
      </c>
      <c r="E867">
        <v>3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25">
      <c r="A868" t="s">
        <v>46</v>
      </c>
      <c r="B868" t="s">
        <v>203</v>
      </c>
      <c r="C868" t="s">
        <v>418</v>
      </c>
      <c r="D868">
        <v>74559</v>
      </c>
      <c r="E868">
        <v>5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25">
      <c r="A869" t="s">
        <v>46</v>
      </c>
      <c r="B869" t="s">
        <v>126</v>
      </c>
      <c r="C869" t="s">
        <v>418</v>
      </c>
      <c r="D869">
        <v>77194</v>
      </c>
      <c r="E869">
        <v>8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25">
      <c r="A870" t="s">
        <v>36</v>
      </c>
      <c r="B870" t="s">
        <v>184</v>
      </c>
      <c r="C870" t="s">
        <v>418</v>
      </c>
      <c r="D870">
        <v>80076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25">
      <c r="A871" t="s">
        <v>36</v>
      </c>
      <c r="B871" t="s">
        <v>181</v>
      </c>
      <c r="C871" t="s">
        <v>419</v>
      </c>
      <c r="D871">
        <v>44325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25">
      <c r="A872" t="s">
        <v>5</v>
      </c>
      <c r="B872" t="s">
        <v>197</v>
      </c>
      <c r="C872" t="s">
        <v>420</v>
      </c>
      <c r="D872">
        <v>94542</v>
      </c>
      <c r="E872">
        <v>8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25">
      <c r="A873" t="s">
        <v>23</v>
      </c>
      <c r="B873" t="s">
        <v>316</v>
      </c>
      <c r="C873" t="s">
        <v>420</v>
      </c>
      <c r="D873">
        <v>40949</v>
      </c>
      <c r="E873">
        <v>8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25">
      <c r="A874" t="s">
        <v>36</v>
      </c>
      <c r="B874" t="s">
        <v>161</v>
      </c>
      <c r="C874" t="s">
        <v>421</v>
      </c>
      <c r="D874">
        <v>98954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25">
      <c r="A875" t="s">
        <v>23</v>
      </c>
      <c r="B875" t="s">
        <v>57</v>
      </c>
      <c r="C875" t="s">
        <v>421</v>
      </c>
      <c r="D875">
        <v>55856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25">
      <c r="A876" t="s">
        <v>5</v>
      </c>
      <c r="B876" t="s">
        <v>146</v>
      </c>
      <c r="C876" t="s">
        <v>421</v>
      </c>
      <c r="D876">
        <v>62381</v>
      </c>
      <c r="E876">
        <v>7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25">
      <c r="A877" t="s">
        <v>12</v>
      </c>
      <c r="B877" t="s">
        <v>172</v>
      </c>
      <c r="C877" t="s">
        <v>421</v>
      </c>
      <c r="D877">
        <v>44099</v>
      </c>
      <c r="E877">
        <v>8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25">
      <c r="A878" t="s">
        <v>36</v>
      </c>
      <c r="B878" t="s">
        <v>364</v>
      </c>
      <c r="C878" t="s">
        <v>422</v>
      </c>
      <c r="D878">
        <v>65215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25">
      <c r="A879" t="s">
        <v>48</v>
      </c>
      <c r="B879" t="s">
        <v>184</v>
      </c>
      <c r="C879" t="s">
        <v>422</v>
      </c>
      <c r="D879">
        <v>21314</v>
      </c>
      <c r="E879">
        <v>5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25">
      <c r="A880" t="s">
        <v>12</v>
      </c>
      <c r="B880" t="s">
        <v>97</v>
      </c>
      <c r="C880" t="s">
        <v>422</v>
      </c>
      <c r="D880">
        <v>76168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25">
      <c r="A881" t="s">
        <v>36</v>
      </c>
      <c r="B881" t="s">
        <v>195</v>
      </c>
      <c r="C881" t="s">
        <v>422</v>
      </c>
      <c r="D881">
        <v>39211</v>
      </c>
      <c r="E881">
        <v>7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25">
      <c r="A882" t="s">
        <v>17</v>
      </c>
      <c r="B882" t="s">
        <v>120</v>
      </c>
      <c r="C882" t="s">
        <v>422</v>
      </c>
      <c r="D882">
        <v>11013</v>
      </c>
      <c r="E882">
        <v>3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25">
      <c r="A883" t="s">
        <v>12</v>
      </c>
      <c r="B883" t="s">
        <v>151</v>
      </c>
      <c r="C883" t="s">
        <v>422</v>
      </c>
      <c r="D883">
        <v>61706</v>
      </c>
      <c r="E883">
        <v>9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25">
      <c r="A884" t="s">
        <v>12</v>
      </c>
      <c r="B884" t="s">
        <v>139</v>
      </c>
      <c r="C884" t="s">
        <v>422</v>
      </c>
      <c r="D884">
        <v>81800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25">
      <c r="A885" t="s">
        <v>8</v>
      </c>
      <c r="B885" t="s">
        <v>207</v>
      </c>
      <c r="C885" t="s">
        <v>422</v>
      </c>
      <c r="D885">
        <v>48366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25">
      <c r="A886" t="s">
        <v>52</v>
      </c>
      <c r="B886" t="s">
        <v>73</v>
      </c>
      <c r="C886" t="s">
        <v>423</v>
      </c>
      <c r="D886">
        <v>35939</v>
      </c>
      <c r="E886">
        <v>5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25">
      <c r="A887" t="s">
        <v>8</v>
      </c>
      <c r="B887" t="s">
        <v>170</v>
      </c>
      <c r="C887" t="s">
        <v>423</v>
      </c>
      <c r="D887">
        <v>49520</v>
      </c>
      <c r="E887">
        <v>3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25">
      <c r="A888" t="s">
        <v>15</v>
      </c>
      <c r="B888" t="s">
        <v>212</v>
      </c>
      <c r="C888" t="s">
        <v>423</v>
      </c>
      <c r="D888">
        <v>72280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25">
      <c r="A889" t="s">
        <v>12</v>
      </c>
      <c r="B889" t="s">
        <v>359</v>
      </c>
      <c r="C889" t="s">
        <v>423</v>
      </c>
      <c r="D889">
        <v>47364</v>
      </c>
      <c r="E889">
        <v>8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25">
      <c r="A890" t="s">
        <v>8</v>
      </c>
      <c r="B890" t="s">
        <v>22</v>
      </c>
      <c r="C890" t="s">
        <v>424</v>
      </c>
      <c r="D890">
        <v>95701</v>
      </c>
      <c r="E890">
        <v>8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25">
      <c r="A891" t="s">
        <v>12</v>
      </c>
      <c r="B891" t="s">
        <v>181</v>
      </c>
      <c r="C891" t="s">
        <v>424</v>
      </c>
      <c r="D891">
        <v>65877</v>
      </c>
      <c r="E891">
        <v>7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25">
      <c r="A892" t="s">
        <v>23</v>
      </c>
      <c r="B892" t="s">
        <v>105</v>
      </c>
      <c r="C892" t="s">
        <v>424</v>
      </c>
      <c r="D892">
        <v>27095</v>
      </c>
      <c r="E892">
        <v>10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25">
      <c r="A893" t="s">
        <v>46</v>
      </c>
      <c r="B893" t="s">
        <v>275</v>
      </c>
      <c r="C893" t="s">
        <v>424</v>
      </c>
      <c r="D893">
        <v>13986</v>
      </c>
      <c r="E893">
        <v>0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25">
      <c r="A894" t="s">
        <v>10</v>
      </c>
      <c r="B894" t="s">
        <v>87</v>
      </c>
      <c r="C894" t="s">
        <v>424</v>
      </c>
      <c r="D894">
        <v>90560</v>
      </c>
      <c r="E894">
        <v>0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25">
      <c r="A895" t="s">
        <v>5</v>
      </c>
      <c r="B895" t="s">
        <v>141</v>
      </c>
      <c r="C895" t="s">
        <v>424</v>
      </c>
      <c r="D895">
        <v>84863</v>
      </c>
      <c r="E895">
        <v>4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25">
      <c r="A896" t="s">
        <v>27</v>
      </c>
      <c r="B896" t="s">
        <v>13</v>
      </c>
      <c r="C896" t="s">
        <v>424</v>
      </c>
      <c r="D896">
        <v>99280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25">
      <c r="A897" t="s">
        <v>48</v>
      </c>
      <c r="B897" t="s">
        <v>66</v>
      </c>
      <c r="C897" t="s">
        <v>425</v>
      </c>
      <c r="D897">
        <v>56569</v>
      </c>
      <c r="E897">
        <v>10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25">
      <c r="A898" t="s">
        <v>10</v>
      </c>
      <c r="B898" t="s">
        <v>84</v>
      </c>
      <c r="C898" t="s">
        <v>426</v>
      </c>
      <c r="D898">
        <v>66407</v>
      </c>
      <c r="E898">
        <v>0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25">
      <c r="A899" t="s">
        <v>8</v>
      </c>
      <c r="B899" t="s">
        <v>256</v>
      </c>
      <c r="C899" t="s">
        <v>426</v>
      </c>
      <c r="D899">
        <v>81722</v>
      </c>
      <c r="E899">
        <v>8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25">
      <c r="A900" t="s">
        <v>10</v>
      </c>
      <c r="B900" t="s">
        <v>107</v>
      </c>
      <c r="C900" t="s">
        <v>427</v>
      </c>
      <c r="D900">
        <v>54287</v>
      </c>
      <c r="E900">
        <v>7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25">
      <c r="A901" t="s">
        <v>48</v>
      </c>
      <c r="B901" t="s">
        <v>304</v>
      </c>
      <c r="C901" t="s">
        <v>427</v>
      </c>
      <c r="D901">
        <v>47962</v>
      </c>
      <c r="E901">
        <v>10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25">
      <c r="A902" t="s">
        <v>17</v>
      </c>
      <c r="B902" t="s">
        <v>38</v>
      </c>
      <c r="C902" t="s">
        <v>427</v>
      </c>
      <c r="D902">
        <v>70133</v>
      </c>
      <c r="E902">
        <v>8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25">
      <c r="A903" t="s">
        <v>15</v>
      </c>
      <c r="B903" t="s">
        <v>116</v>
      </c>
      <c r="C903" t="s">
        <v>427</v>
      </c>
      <c r="D903">
        <v>67617</v>
      </c>
      <c r="E903">
        <v>9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25">
      <c r="A904" t="s">
        <v>10</v>
      </c>
      <c r="B904" t="s">
        <v>428</v>
      </c>
      <c r="C904" t="s">
        <v>427</v>
      </c>
      <c r="D904">
        <v>25463</v>
      </c>
      <c r="E904">
        <v>7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25">
      <c r="A905" t="s">
        <v>36</v>
      </c>
      <c r="B905" t="s">
        <v>429</v>
      </c>
      <c r="C905" t="s">
        <v>427</v>
      </c>
      <c r="D905">
        <v>51752</v>
      </c>
      <c r="E905">
        <v>6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25">
      <c r="A906" t="s">
        <v>8</v>
      </c>
      <c r="B906" t="s">
        <v>281</v>
      </c>
      <c r="C906" t="s">
        <v>427</v>
      </c>
      <c r="D906">
        <v>20652</v>
      </c>
      <c r="E906">
        <v>8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25">
      <c r="A907" t="s">
        <v>5</v>
      </c>
      <c r="B907" t="s">
        <v>190</v>
      </c>
      <c r="C907" t="s">
        <v>427</v>
      </c>
      <c r="D907">
        <v>57037</v>
      </c>
      <c r="E907">
        <v>9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25">
      <c r="A908" t="s">
        <v>46</v>
      </c>
      <c r="B908" t="s">
        <v>131</v>
      </c>
      <c r="C908" t="s">
        <v>427</v>
      </c>
      <c r="D908">
        <v>37509</v>
      </c>
      <c r="E908">
        <v>7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25">
      <c r="A909" t="s">
        <v>27</v>
      </c>
      <c r="B909" t="s">
        <v>75</v>
      </c>
      <c r="C909" t="s">
        <v>427</v>
      </c>
      <c r="D909">
        <v>73650</v>
      </c>
      <c r="E909">
        <v>10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25">
      <c r="A910" t="s">
        <v>48</v>
      </c>
      <c r="B910" t="s">
        <v>146</v>
      </c>
      <c r="C910" t="s">
        <v>427</v>
      </c>
      <c r="D910">
        <v>87433</v>
      </c>
      <c r="E910">
        <v>6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25">
      <c r="A911" t="s">
        <v>5</v>
      </c>
      <c r="B911" t="s">
        <v>53</v>
      </c>
      <c r="C911" t="s">
        <v>427</v>
      </c>
      <c r="D911">
        <v>12937</v>
      </c>
      <c r="E911">
        <v>9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25">
      <c r="A912" t="s">
        <v>36</v>
      </c>
      <c r="B912" t="s">
        <v>184</v>
      </c>
      <c r="C912" t="s">
        <v>430</v>
      </c>
      <c r="D912">
        <v>28435</v>
      </c>
      <c r="E912">
        <v>7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25">
      <c r="A913" t="s">
        <v>46</v>
      </c>
      <c r="B913" t="s">
        <v>300</v>
      </c>
      <c r="C913" t="s">
        <v>430</v>
      </c>
      <c r="D913">
        <v>32802</v>
      </c>
      <c r="E913">
        <v>5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25">
      <c r="A914" t="s">
        <v>27</v>
      </c>
      <c r="B914" t="s">
        <v>296</v>
      </c>
      <c r="C914" t="s">
        <v>431</v>
      </c>
      <c r="D914">
        <v>39455</v>
      </c>
      <c r="E914">
        <v>8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25">
      <c r="A915" t="s">
        <v>48</v>
      </c>
      <c r="B915" t="s">
        <v>133</v>
      </c>
      <c r="C915" t="s">
        <v>431</v>
      </c>
      <c r="D915">
        <v>14560</v>
      </c>
      <c r="E915">
        <v>3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25">
      <c r="A916" t="s">
        <v>17</v>
      </c>
      <c r="B916" t="s">
        <v>175</v>
      </c>
      <c r="C916" t="s">
        <v>431</v>
      </c>
      <c r="D916">
        <v>75049</v>
      </c>
      <c r="E916">
        <v>1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25">
      <c r="A917" t="s">
        <v>52</v>
      </c>
      <c r="B917" t="s">
        <v>70</v>
      </c>
      <c r="C917" t="s">
        <v>431</v>
      </c>
      <c r="D917">
        <v>18561</v>
      </c>
      <c r="E917">
        <v>7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25">
      <c r="A918" t="s">
        <v>48</v>
      </c>
      <c r="B918" t="s">
        <v>238</v>
      </c>
      <c r="C918" t="s">
        <v>432</v>
      </c>
      <c r="D918">
        <v>99008</v>
      </c>
      <c r="E918">
        <v>0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x14ac:dyDescent="0.25">
      <c r="A919" t="s">
        <v>8</v>
      </c>
      <c r="B919" t="s">
        <v>109</v>
      </c>
      <c r="C919" t="s">
        <v>432</v>
      </c>
      <c r="D919">
        <v>85593</v>
      </c>
      <c r="E919">
        <v>4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x14ac:dyDescent="0.25">
      <c r="A920" t="s">
        <v>5</v>
      </c>
      <c r="B920" t="s">
        <v>232</v>
      </c>
      <c r="C920" t="s">
        <v>432</v>
      </c>
      <c r="D920">
        <v>41725</v>
      </c>
      <c r="E920">
        <v>9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25">
      <c r="A921" t="s">
        <v>36</v>
      </c>
      <c r="B921" t="s">
        <v>55</v>
      </c>
      <c r="C921" t="s">
        <v>433</v>
      </c>
      <c r="D921">
        <v>41247</v>
      </c>
      <c r="E921">
        <v>9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25">
      <c r="A922" t="s">
        <v>46</v>
      </c>
      <c r="B922" t="s">
        <v>281</v>
      </c>
      <c r="C922" t="s">
        <v>433</v>
      </c>
      <c r="D922">
        <v>69424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25">
      <c r="A923" t="s">
        <v>5</v>
      </c>
      <c r="B923" t="s">
        <v>112</v>
      </c>
      <c r="C923" t="s">
        <v>434</v>
      </c>
      <c r="D923">
        <v>62559</v>
      </c>
      <c r="E923">
        <v>3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25">
      <c r="A924" t="s">
        <v>46</v>
      </c>
      <c r="B924" t="s">
        <v>6</v>
      </c>
      <c r="C924" t="s">
        <v>434</v>
      </c>
      <c r="D924">
        <v>44625</v>
      </c>
      <c r="E924">
        <v>7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25">
      <c r="A925" t="s">
        <v>17</v>
      </c>
      <c r="B925" t="s">
        <v>59</v>
      </c>
      <c r="C925" t="s">
        <v>434</v>
      </c>
      <c r="D925">
        <v>73565</v>
      </c>
      <c r="E925">
        <v>10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25">
      <c r="A926" t="s">
        <v>46</v>
      </c>
      <c r="B926" t="s">
        <v>191</v>
      </c>
      <c r="C926" t="s">
        <v>434</v>
      </c>
      <c r="D926">
        <v>26685</v>
      </c>
      <c r="E926">
        <v>4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25">
      <c r="A927" t="s">
        <v>17</v>
      </c>
      <c r="B927" t="s">
        <v>16</v>
      </c>
      <c r="C927" t="s">
        <v>434</v>
      </c>
      <c r="D927">
        <v>17230</v>
      </c>
      <c r="E927">
        <v>3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25">
      <c r="A928" t="s">
        <v>52</v>
      </c>
      <c r="B928" t="s">
        <v>292</v>
      </c>
      <c r="C928" t="s">
        <v>434</v>
      </c>
      <c r="D928">
        <v>75565</v>
      </c>
      <c r="E928">
        <v>8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25">
      <c r="A929" t="s">
        <v>17</v>
      </c>
      <c r="B929" t="s">
        <v>134</v>
      </c>
      <c r="C929" t="s">
        <v>435</v>
      </c>
      <c r="D929">
        <v>54611</v>
      </c>
      <c r="E929">
        <v>10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25">
      <c r="A930" t="s">
        <v>48</v>
      </c>
      <c r="B930" t="s">
        <v>51</v>
      </c>
      <c r="C930" t="s">
        <v>436</v>
      </c>
      <c r="D930">
        <v>93268</v>
      </c>
      <c r="E930">
        <v>8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25">
      <c r="A931" t="s">
        <v>12</v>
      </c>
      <c r="B931" t="s">
        <v>107</v>
      </c>
      <c r="C931" t="s">
        <v>436</v>
      </c>
      <c r="D931">
        <v>74820</v>
      </c>
      <c r="E931">
        <v>4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25">
      <c r="A932" t="s">
        <v>12</v>
      </c>
      <c r="B932" t="s">
        <v>256</v>
      </c>
      <c r="C932" t="s">
        <v>437</v>
      </c>
      <c r="D932">
        <v>72791</v>
      </c>
      <c r="E932">
        <v>10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25">
      <c r="A933" t="s">
        <v>17</v>
      </c>
      <c r="B933" t="s">
        <v>438</v>
      </c>
      <c r="C933" t="s">
        <v>437</v>
      </c>
      <c r="D933">
        <v>74845</v>
      </c>
      <c r="E933">
        <v>8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25">
      <c r="A934" t="s">
        <v>36</v>
      </c>
      <c r="B934" t="s">
        <v>293</v>
      </c>
      <c r="C934" t="s">
        <v>437</v>
      </c>
      <c r="D934">
        <v>70252</v>
      </c>
      <c r="E934">
        <v>2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25">
      <c r="A935" t="s">
        <v>23</v>
      </c>
      <c r="B935" t="s">
        <v>195</v>
      </c>
      <c r="C935" t="s">
        <v>437</v>
      </c>
      <c r="D935">
        <v>86621</v>
      </c>
      <c r="E935">
        <v>4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25">
      <c r="A936" t="s">
        <v>48</v>
      </c>
      <c r="B936" t="s">
        <v>118</v>
      </c>
      <c r="C936" t="s">
        <v>437</v>
      </c>
      <c r="D936">
        <v>13781</v>
      </c>
      <c r="E936">
        <v>5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25">
      <c r="A937" t="s">
        <v>10</v>
      </c>
      <c r="B937" t="s">
        <v>148</v>
      </c>
      <c r="C937" t="s">
        <v>437</v>
      </c>
      <c r="D937">
        <v>10871</v>
      </c>
      <c r="E937">
        <v>7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25">
      <c r="A938" t="s">
        <v>10</v>
      </c>
      <c r="B938" t="s">
        <v>428</v>
      </c>
      <c r="C938" t="s">
        <v>437</v>
      </c>
      <c r="D938">
        <v>83422</v>
      </c>
      <c r="E938">
        <v>10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25">
      <c r="A939" t="s">
        <v>17</v>
      </c>
      <c r="B939" t="s">
        <v>175</v>
      </c>
      <c r="C939" t="s">
        <v>437</v>
      </c>
      <c r="D939">
        <v>66265</v>
      </c>
      <c r="E939">
        <v>9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25">
      <c r="A940" t="s">
        <v>48</v>
      </c>
      <c r="B940" t="s">
        <v>47</v>
      </c>
      <c r="C940" t="s">
        <v>437</v>
      </c>
      <c r="D940">
        <v>37751</v>
      </c>
      <c r="E940">
        <v>6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25">
      <c r="A941" t="s">
        <v>12</v>
      </c>
      <c r="B941" t="s">
        <v>149</v>
      </c>
      <c r="C941" t="s">
        <v>437</v>
      </c>
      <c r="D941">
        <v>65273</v>
      </c>
      <c r="E941">
        <v>10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25">
      <c r="A942" t="s">
        <v>17</v>
      </c>
      <c r="B942" t="s">
        <v>268</v>
      </c>
      <c r="C942" t="s">
        <v>437</v>
      </c>
      <c r="D942">
        <v>80296</v>
      </c>
      <c r="E942">
        <v>9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25">
      <c r="A943" t="s">
        <v>46</v>
      </c>
      <c r="B943" t="s">
        <v>281</v>
      </c>
      <c r="C943" t="s">
        <v>439</v>
      </c>
      <c r="D943">
        <v>63234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25">
      <c r="A944" t="s">
        <v>15</v>
      </c>
      <c r="B944" t="s">
        <v>243</v>
      </c>
      <c r="C944" t="s">
        <v>439</v>
      </c>
      <c r="D944">
        <v>47731</v>
      </c>
      <c r="E944">
        <v>8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25">
      <c r="A945" t="s">
        <v>23</v>
      </c>
      <c r="B945" t="s">
        <v>89</v>
      </c>
      <c r="C945" t="s">
        <v>439</v>
      </c>
      <c r="D945">
        <v>29376</v>
      </c>
      <c r="E945">
        <v>6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25">
      <c r="A946" t="s">
        <v>8</v>
      </c>
      <c r="B946" t="s">
        <v>235</v>
      </c>
      <c r="C946" t="s">
        <v>439</v>
      </c>
      <c r="D946">
        <v>54465</v>
      </c>
      <c r="E946">
        <v>3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25">
      <c r="A947" t="s">
        <v>48</v>
      </c>
      <c r="B947" t="s">
        <v>158</v>
      </c>
      <c r="C947" t="s">
        <v>439</v>
      </c>
      <c r="D947">
        <v>43365</v>
      </c>
      <c r="E947">
        <v>9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25">
      <c r="A948" t="s">
        <v>8</v>
      </c>
      <c r="B948" t="s">
        <v>330</v>
      </c>
      <c r="C948" t="s">
        <v>439</v>
      </c>
      <c r="D948">
        <v>37825</v>
      </c>
      <c r="E948">
        <v>5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25">
      <c r="A949" t="s">
        <v>12</v>
      </c>
      <c r="B949" t="s">
        <v>171</v>
      </c>
      <c r="C949" t="s">
        <v>440</v>
      </c>
      <c r="D949">
        <v>54818</v>
      </c>
      <c r="E949">
        <v>4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25">
      <c r="A950" t="s">
        <v>46</v>
      </c>
      <c r="B950" t="s">
        <v>85</v>
      </c>
      <c r="C950" t="s">
        <v>440</v>
      </c>
      <c r="D950">
        <v>92404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25">
      <c r="A951" t="s">
        <v>36</v>
      </c>
      <c r="B951" t="s">
        <v>271</v>
      </c>
      <c r="C951" t="s">
        <v>441</v>
      </c>
      <c r="D951">
        <v>81300</v>
      </c>
      <c r="E951">
        <v>2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25">
      <c r="A952" t="s">
        <v>23</v>
      </c>
      <c r="B952" t="s">
        <v>330</v>
      </c>
      <c r="C952" t="s">
        <v>442</v>
      </c>
      <c r="D952">
        <v>78788</v>
      </c>
      <c r="E952">
        <v>5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25">
      <c r="A953" t="s">
        <v>15</v>
      </c>
      <c r="B953" t="s">
        <v>316</v>
      </c>
      <c r="C953" t="s">
        <v>442</v>
      </c>
      <c r="D953">
        <v>57256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25">
      <c r="A954" t="s">
        <v>48</v>
      </c>
      <c r="B954" t="s">
        <v>335</v>
      </c>
      <c r="C954" t="s">
        <v>442</v>
      </c>
      <c r="D954">
        <v>71901</v>
      </c>
      <c r="E954">
        <v>4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25">
      <c r="A955" t="s">
        <v>10</v>
      </c>
      <c r="B955" t="s">
        <v>202</v>
      </c>
      <c r="C955" t="s">
        <v>442</v>
      </c>
      <c r="D955">
        <v>43734</v>
      </c>
      <c r="E955">
        <v>8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25">
      <c r="A956" t="s">
        <v>10</v>
      </c>
      <c r="B956" t="s">
        <v>53</v>
      </c>
      <c r="C956" t="s">
        <v>443</v>
      </c>
      <c r="D956">
        <v>24198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25">
      <c r="A957" t="s">
        <v>17</v>
      </c>
      <c r="B957" t="s">
        <v>9</v>
      </c>
      <c r="C957" t="s">
        <v>443</v>
      </c>
      <c r="D957">
        <v>11747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25">
      <c r="A958" t="s">
        <v>15</v>
      </c>
      <c r="B958" t="s">
        <v>302</v>
      </c>
      <c r="C958" t="s">
        <v>443</v>
      </c>
      <c r="D958">
        <v>80013</v>
      </c>
      <c r="E958">
        <v>6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25">
      <c r="A959" t="s">
        <v>27</v>
      </c>
      <c r="B959" t="s">
        <v>287</v>
      </c>
      <c r="C959" t="s">
        <v>443</v>
      </c>
      <c r="D959">
        <v>13026</v>
      </c>
      <c r="E959">
        <v>10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25">
      <c r="A960" t="s">
        <v>27</v>
      </c>
      <c r="B960" t="s">
        <v>77</v>
      </c>
      <c r="C960" t="s">
        <v>443</v>
      </c>
      <c r="D960">
        <v>57612</v>
      </c>
      <c r="E960">
        <v>9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25">
      <c r="A961" t="s">
        <v>12</v>
      </c>
      <c r="B961" t="s">
        <v>98</v>
      </c>
      <c r="C961" t="s">
        <v>443</v>
      </c>
      <c r="D961">
        <v>56574</v>
      </c>
      <c r="E961">
        <v>7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25">
      <c r="A962" t="s">
        <v>46</v>
      </c>
      <c r="B962" t="s">
        <v>82</v>
      </c>
      <c r="C962" t="s">
        <v>443</v>
      </c>
      <c r="D962">
        <v>25646</v>
      </c>
      <c r="E962">
        <v>5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25">
      <c r="A963" t="s">
        <v>5</v>
      </c>
      <c r="B963" t="s">
        <v>153</v>
      </c>
      <c r="C963" t="s">
        <v>443</v>
      </c>
      <c r="D963">
        <v>50417</v>
      </c>
      <c r="E963">
        <v>8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25">
      <c r="A964" t="s">
        <v>17</v>
      </c>
      <c r="B964" t="s">
        <v>195</v>
      </c>
      <c r="C964" t="s">
        <v>443</v>
      </c>
      <c r="D964">
        <v>92493</v>
      </c>
      <c r="E964">
        <v>5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25">
      <c r="A965" t="s">
        <v>15</v>
      </c>
      <c r="B965" t="s">
        <v>252</v>
      </c>
      <c r="C965" t="s">
        <v>444</v>
      </c>
      <c r="D965">
        <v>16970</v>
      </c>
      <c r="E965">
        <v>2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25">
      <c r="A966" t="s">
        <v>23</v>
      </c>
      <c r="B966" t="s">
        <v>144</v>
      </c>
      <c r="C966" t="s">
        <v>444</v>
      </c>
      <c r="D966">
        <v>49485</v>
      </c>
      <c r="E966">
        <v>9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25">
      <c r="A967" t="s">
        <v>15</v>
      </c>
      <c r="B967" t="s">
        <v>187</v>
      </c>
      <c r="C967" t="s">
        <v>445</v>
      </c>
      <c r="D967">
        <v>28746</v>
      </c>
      <c r="E967">
        <v>7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25">
      <c r="A968" t="s">
        <v>46</v>
      </c>
      <c r="B968" t="s">
        <v>66</v>
      </c>
      <c r="C968" t="s">
        <v>445</v>
      </c>
      <c r="D968">
        <v>19289</v>
      </c>
      <c r="E968">
        <v>4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25">
      <c r="A969" t="s">
        <v>48</v>
      </c>
      <c r="B969" t="s">
        <v>270</v>
      </c>
      <c r="C969" t="s">
        <v>445</v>
      </c>
      <c r="D969">
        <v>48360</v>
      </c>
      <c r="E969">
        <v>5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25">
      <c r="A970" t="s">
        <v>8</v>
      </c>
      <c r="B970" t="s">
        <v>79</v>
      </c>
      <c r="C970" t="s">
        <v>445</v>
      </c>
      <c r="D970">
        <v>19999</v>
      </c>
      <c r="E970">
        <v>10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25">
      <c r="A971" t="s">
        <v>5</v>
      </c>
      <c r="B971" t="s">
        <v>287</v>
      </c>
      <c r="C971" t="s">
        <v>445</v>
      </c>
      <c r="D971">
        <v>90621</v>
      </c>
      <c r="E971">
        <v>8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25">
      <c r="A972" t="s">
        <v>27</v>
      </c>
      <c r="B972" t="s">
        <v>240</v>
      </c>
      <c r="C972" t="s">
        <v>445</v>
      </c>
      <c r="D972">
        <v>89915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25">
      <c r="A973" t="s">
        <v>52</v>
      </c>
      <c r="B973" t="s">
        <v>316</v>
      </c>
      <c r="C973" t="s">
        <v>446</v>
      </c>
      <c r="D973">
        <v>34543</v>
      </c>
      <c r="E973">
        <v>6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25">
      <c r="A974" t="s">
        <v>10</v>
      </c>
      <c r="B974" t="s">
        <v>87</v>
      </c>
      <c r="C974" t="s">
        <v>447</v>
      </c>
      <c r="D974">
        <v>83435</v>
      </c>
      <c r="E974">
        <v>6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25">
      <c r="A975" t="s">
        <v>15</v>
      </c>
      <c r="B975" t="s">
        <v>136</v>
      </c>
      <c r="C975" t="s">
        <v>447</v>
      </c>
      <c r="D975">
        <v>44936</v>
      </c>
      <c r="E975">
        <v>6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25">
      <c r="A976" t="s">
        <v>27</v>
      </c>
      <c r="B976" t="s">
        <v>151</v>
      </c>
      <c r="C976" t="s">
        <v>448</v>
      </c>
      <c r="D976">
        <v>83465</v>
      </c>
      <c r="E976">
        <v>9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25">
      <c r="A977" t="s">
        <v>27</v>
      </c>
      <c r="B977" t="s">
        <v>115</v>
      </c>
      <c r="C977" t="s">
        <v>448</v>
      </c>
      <c r="D977">
        <v>32420</v>
      </c>
      <c r="E977">
        <v>7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25">
      <c r="A978" t="s">
        <v>17</v>
      </c>
      <c r="B978" t="s">
        <v>449</v>
      </c>
      <c r="C978" t="s">
        <v>448</v>
      </c>
      <c r="D978">
        <v>53169</v>
      </c>
      <c r="E978">
        <v>9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25">
      <c r="A979" t="s">
        <v>10</v>
      </c>
      <c r="B979" t="s">
        <v>281</v>
      </c>
      <c r="C979" t="s">
        <v>448</v>
      </c>
      <c r="D979">
        <v>48028</v>
      </c>
      <c r="E979">
        <v>7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25">
      <c r="A980" t="s">
        <v>52</v>
      </c>
      <c r="B980" t="s">
        <v>59</v>
      </c>
      <c r="C980" t="s">
        <v>448</v>
      </c>
      <c r="D980">
        <v>89672</v>
      </c>
      <c r="E980">
        <v>2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25">
      <c r="A981" t="s">
        <v>23</v>
      </c>
      <c r="B981" t="s">
        <v>38</v>
      </c>
      <c r="C981" t="s">
        <v>448</v>
      </c>
      <c r="D981">
        <v>53939</v>
      </c>
      <c r="E981">
        <v>4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25">
      <c r="A982" t="s">
        <v>48</v>
      </c>
      <c r="B982" t="s">
        <v>93</v>
      </c>
      <c r="C982" t="s">
        <v>448</v>
      </c>
      <c r="D982">
        <v>92972</v>
      </c>
      <c r="E982">
        <v>9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25">
      <c r="A983" t="s">
        <v>12</v>
      </c>
      <c r="B983" t="s">
        <v>272</v>
      </c>
      <c r="C983" t="s">
        <v>448</v>
      </c>
      <c r="D983">
        <v>52601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25">
      <c r="A984" t="s">
        <v>27</v>
      </c>
      <c r="B984" t="s">
        <v>248</v>
      </c>
      <c r="C984" t="s">
        <v>448</v>
      </c>
      <c r="D984">
        <v>28841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25">
      <c r="A985" t="s">
        <v>52</v>
      </c>
      <c r="B985" t="s">
        <v>116</v>
      </c>
      <c r="C985" t="s">
        <v>450</v>
      </c>
      <c r="D985">
        <v>84634</v>
      </c>
      <c r="E985">
        <v>9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25">
      <c r="A986" t="s">
        <v>46</v>
      </c>
      <c r="B986" t="s">
        <v>95</v>
      </c>
      <c r="C986" t="s">
        <v>450</v>
      </c>
      <c r="D986">
        <v>18743</v>
      </c>
      <c r="E986">
        <v>10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25">
      <c r="A987" t="s">
        <v>5</v>
      </c>
      <c r="B987" t="s">
        <v>304</v>
      </c>
      <c r="C987" t="s">
        <v>450</v>
      </c>
      <c r="D987">
        <v>17166</v>
      </c>
      <c r="E987">
        <v>2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25">
      <c r="A988" t="s">
        <v>17</v>
      </c>
      <c r="B988" t="s">
        <v>105</v>
      </c>
      <c r="C988" t="s">
        <v>450</v>
      </c>
      <c r="D988">
        <v>46150</v>
      </c>
      <c r="E988">
        <v>6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25">
      <c r="A989" t="s">
        <v>23</v>
      </c>
      <c r="B989" t="s">
        <v>129</v>
      </c>
      <c r="C989" t="s">
        <v>451</v>
      </c>
      <c r="D989">
        <v>45590</v>
      </c>
      <c r="E989">
        <v>6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25">
      <c r="A990" t="s">
        <v>23</v>
      </c>
      <c r="B990" t="s">
        <v>281</v>
      </c>
      <c r="C990" t="s">
        <v>452</v>
      </c>
      <c r="D990">
        <v>87292</v>
      </c>
      <c r="E990">
        <v>10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25">
      <c r="A991" t="s">
        <v>17</v>
      </c>
      <c r="B991" t="s">
        <v>232</v>
      </c>
      <c r="C991" t="s">
        <v>452</v>
      </c>
      <c r="D991">
        <v>84783</v>
      </c>
      <c r="E991">
        <v>5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25">
      <c r="A992" t="s">
        <v>15</v>
      </c>
      <c r="B992" t="s">
        <v>229</v>
      </c>
      <c r="C992" t="s">
        <v>452</v>
      </c>
      <c r="D992">
        <v>34889</v>
      </c>
      <c r="E992">
        <v>6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25">
      <c r="A993" t="s">
        <v>5</v>
      </c>
      <c r="B993" t="s">
        <v>62</v>
      </c>
      <c r="C993" t="s">
        <v>452</v>
      </c>
      <c r="D993">
        <v>37207</v>
      </c>
      <c r="E993">
        <v>9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25">
      <c r="A994" t="s">
        <v>23</v>
      </c>
      <c r="B994" t="s">
        <v>244</v>
      </c>
      <c r="C994" t="s">
        <v>452</v>
      </c>
      <c r="D994">
        <v>12559</v>
      </c>
      <c r="E994">
        <v>1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25">
      <c r="A995" t="s">
        <v>48</v>
      </c>
      <c r="B995" t="s">
        <v>281</v>
      </c>
      <c r="C995" t="s">
        <v>452</v>
      </c>
      <c r="D995">
        <v>90875</v>
      </c>
      <c r="E995">
        <v>1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25">
      <c r="A996" t="s">
        <v>10</v>
      </c>
      <c r="B996" t="s">
        <v>20</v>
      </c>
      <c r="C996" t="s">
        <v>453</v>
      </c>
      <c r="D996">
        <v>90116</v>
      </c>
      <c r="E996">
        <v>8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25">
      <c r="A997" t="s">
        <v>10</v>
      </c>
      <c r="B997" t="s">
        <v>244</v>
      </c>
      <c r="C997" t="s">
        <v>453</v>
      </c>
      <c r="D997">
        <v>68850</v>
      </c>
      <c r="E997">
        <v>6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25">
      <c r="A998" t="s">
        <v>52</v>
      </c>
      <c r="B998" t="s">
        <v>63</v>
      </c>
      <c r="C998" t="s">
        <v>453</v>
      </c>
      <c r="D998">
        <v>39952</v>
      </c>
      <c r="E998">
        <v>2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25">
      <c r="A999" t="s">
        <v>48</v>
      </c>
      <c r="B999" t="s">
        <v>195</v>
      </c>
      <c r="C999" t="s">
        <v>454</v>
      </c>
      <c r="D999">
        <v>38415</v>
      </c>
      <c r="E999">
        <v>8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25">
      <c r="A1000" t="s">
        <v>48</v>
      </c>
      <c r="B1000" t="s">
        <v>185</v>
      </c>
      <c r="C1000" t="s">
        <v>454</v>
      </c>
      <c r="D1000">
        <v>12429</v>
      </c>
      <c r="E1000">
        <v>8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25">
      <c r="A1001" t="s">
        <v>5</v>
      </c>
      <c r="B1001" t="s">
        <v>264</v>
      </c>
      <c r="C1001" t="s">
        <v>454</v>
      </c>
      <c r="D1001">
        <v>72906</v>
      </c>
      <c r="E1001">
        <v>7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61858B39-8153-4E9A-B4AE-57F5F4D2EFC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7B23-F9C8-4847-89F6-2F60BE52496F}">
  <dimension ref="A1:N13"/>
  <sheetViews>
    <sheetView workbookViewId="0">
      <selection sqref="A1:N13"/>
    </sheetView>
  </sheetViews>
  <sheetFormatPr defaultRowHeight="15" x14ac:dyDescent="0.25"/>
  <cols>
    <col min="1" max="1" width="30.5703125" bestFit="1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 s="26">
        <f>IFERROR(
(COUNTIFS('задача 3. данные'!$A:$A,'задача 3.2'!$A2,'задача 3. данные'!$H:$H,'задача 3.2'!B$1,'задача 3. данные'!$E:$E,"&gt;=9")-
COUNTIFS('задача 3. данные'!$A:$A,'задача 3.2'!$A2,'задача 3. данные'!$H:$H,'задача 3.2'!B$1,'задача 3. данные'!$E:$E,"&lt;=6"))/
COUNTIFS('задача 3. данные'!$A:$A,'задача 3.2'!$A2,'задача 3. данные'!$H:$H,'задача 3.2'!B$1,'задача 3. данные'!$E:$E,"&gt;=0"),"")</f>
        <v>0.125</v>
      </c>
      <c r="C2" s="26">
        <f>IFERROR(
(COUNTIFS('задача 3. данные'!$A:$A,'задача 3.2'!$A2,'задача 3. данные'!$H:$H,'задача 3.2'!C$1,'задача 3. данные'!$E:$E,"&gt;=9")-
COUNTIFS('задача 3. данные'!$A:$A,'задача 3.2'!$A2,'задача 3. данные'!$H:$H,'задача 3.2'!C$1,'задача 3. данные'!$E:$E,"&lt;=6"))/
COUNTIFS('задача 3. данные'!$A:$A,'задача 3.2'!$A2,'задача 3. данные'!$H:$H,'задача 3.2'!C$1,'задача 3. данные'!$E:$E,"&gt;=0"),"")</f>
        <v>-0.4</v>
      </c>
      <c r="D2" s="26">
        <f>IFERROR(
(COUNTIFS('задача 3. данные'!$A:$A,'задача 3.2'!$A2,'задача 3. данные'!$H:$H,'задача 3.2'!D$1,'задача 3. данные'!$E:$E,"&gt;=9")-
COUNTIFS('задача 3. данные'!$A:$A,'задача 3.2'!$A2,'задача 3. данные'!$H:$H,'задача 3.2'!D$1,'задача 3. данные'!$E:$E,"&lt;=6"))/
COUNTIFS('задача 3. данные'!$A:$A,'задача 3.2'!$A2,'задача 3. данные'!$H:$H,'задача 3.2'!D$1,'задача 3. данные'!$E:$E,"&gt;=0"),"")</f>
        <v>-0.44444444444444442</v>
      </c>
      <c r="E2" s="26">
        <f>IFERROR(
(COUNTIFS('задача 3. данные'!$A:$A,'задача 3.2'!$A2,'задача 3. данные'!$H:$H,'задача 3.2'!E$1,'задача 3. данные'!$E:$E,"&gt;=9")-
COUNTIFS('задача 3. данные'!$A:$A,'задача 3.2'!$A2,'задача 3. данные'!$H:$H,'задача 3.2'!E$1,'задача 3. данные'!$E:$E,"&lt;=6"))/
COUNTIFS('задача 3. данные'!$A:$A,'задача 3.2'!$A2,'задача 3. данные'!$H:$H,'задача 3.2'!E$1,'задача 3. данные'!$E:$E,"&gt;=0"),"")</f>
        <v>-1</v>
      </c>
      <c r="F2" s="26">
        <f>IFERROR(
(COUNTIFS('задача 3. данные'!$A:$A,'задача 3.2'!$A2,'задача 3. данные'!$H:$H,'задача 3.2'!F$1,'задача 3. данные'!$E:$E,"&gt;=9")-
COUNTIFS('задача 3. данные'!$A:$A,'задача 3.2'!$A2,'задача 3. данные'!$H:$H,'задача 3.2'!F$1,'задача 3. данные'!$E:$E,"&lt;=6"))/
COUNTIFS('задача 3. данные'!$A:$A,'задача 3.2'!$A2,'задача 3. данные'!$H:$H,'задача 3.2'!F$1,'задача 3. данные'!$E:$E,"&gt;=0"),"")</f>
        <v>-0.33333333333333331</v>
      </c>
      <c r="G2" s="26">
        <f>IFERROR(
(COUNTIFS('задача 3. данные'!$A:$A,'задача 3.2'!$A2,'задача 3. данные'!$H:$H,'задача 3.2'!G$1,'задача 3. данные'!$E:$E,"&gt;=9")-
COUNTIFS('задача 3. данные'!$A:$A,'задача 3.2'!$A2,'задача 3. данные'!$H:$H,'задача 3.2'!G$1,'задача 3. данные'!$E:$E,"&lt;=6"))/
COUNTIFS('задача 3. данные'!$A:$A,'задача 3.2'!$A2,'задача 3. данные'!$H:$H,'задача 3.2'!G$1,'задача 3. данные'!$E:$E,"&gt;=0"),"")</f>
        <v>-0.5</v>
      </c>
      <c r="H2" s="26">
        <f>IFERROR(
(COUNTIFS('задача 3. данные'!$A:$A,'задача 3.2'!$A2,'задача 3. данные'!$H:$H,'задача 3.2'!H$1,'задача 3. данные'!$E:$E,"&gt;=9")-
COUNTIFS('задача 3. данные'!$A:$A,'задача 3.2'!$A2,'задача 3. данные'!$H:$H,'задача 3.2'!H$1,'задача 3. данные'!$E:$E,"&lt;=6"))/
COUNTIFS('задача 3. данные'!$A:$A,'задача 3.2'!$A2,'задача 3. данные'!$H:$H,'задача 3.2'!H$1,'задача 3. данные'!$E:$E,"&gt;=0"),"")</f>
        <v>-0.1111111111111111</v>
      </c>
      <c r="I2" s="26">
        <f>IFERROR(
(COUNTIFS('задача 3. данные'!$A:$A,'задача 3.2'!$A2,'задача 3. данные'!$H:$H,'задача 3.2'!I$1,'задача 3. данные'!$E:$E,"&gt;=9")-
COUNTIFS('задача 3. данные'!$A:$A,'задача 3.2'!$A2,'задача 3. данные'!$H:$H,'задача 3.2'!I$1,'задача 3. данные'!$E:$E,"&lt;=6"))/
COUNTIFS('задача 3. данные'!$A:$A,'задача 3.2'!$A2,'задача 3. данные'!$H:$H,'задача 3.2'!I$1,'задача 3. данные'!$E:$E,"&gt;=0"),"")</f>
        <v>-0.6</v>
      </c>
      <c r="J2" s="26">
        <f>IFERROR(
(COUNTIFS('задача 3. данные'!$A:$A,'задача 3.2'!$A2,'задача 3. данные'!$H:$H,'задача 3.2'!J$1,'задача 3. данные'!$E:$E,"&gt;=9")-
COUNTIFS('задача 3. данные'!$A:$A,'задача 3.2'!$A2,'задача 3. данные'!$H:$H,'задача 3.2'!J$1,'задача 3. данные'!$E:$E,"&lt;=6"))/
COUNTIFS('задача 3. данные'!$A:$A,'задача 3.2'!$A2,'задача 3. данные'!$H:$H,'задача 3.2'!J$1,'задача 3. данные'!$E:$E,"&gt;=0"),"")</f>
        <v>-0.16666666666666666</v>
      </c>
      <c r="K2" s="26">
        <f>IFERROR(
(COUNTIFS('задача 3. данные'!$A:$A,'задача 3.2'!$A2,'задача 3. данные'!$H:$H,'задача 3.2'!K$1,'задача 3. данные'!$E:$E,"&gt;=9")-
COUNTIFS('задача 3. данные'!$A:$A,'задача 3.2'!$A2,'задача 3. данные'!$H:$H,'задача 3.2'!K$1,'задача 3. данные'!$E:$E,"&lt;=6"))/
COUNTIFS('задача 3. данные'!$A:$A,'задача 3.2'!$A2,'задача 3. данные'!$H:$H,'задача 3.2'!K$1,'задача 3. данные'!$E:$E,"&gt;=0"),"")</f>
        <v>-0.5</v>
      </c>
      <c r="L2" s="26">
        <f>IFERROR(
(COUNTIFS('задача 3. данные'!$A:$A,'задача 3.2'!$A2,'задача 3. данные'!$H:$H,'задача 3.2'!L$1,'задача 3. данные'!$E:$E,"&gt;=9")-
COUNTIFS('задача 3. данные'!$A:$A,'задача 3.2'!$A2,'задача 3. данные'!$H:$H,'задача 3.2'!L$1,'задача 3. данные'!$E:$E,"&lt;=6"))/
COUNTIFS('задача 3. данные'!$A:$A,'задача 3.2'!$A2,'задача 3. данные'!$H:$H,'задача 3.2'!L$1,'задача 3. данные'!$E:$E,"&gt;=0"),"")</f>
        <v>-0.42857142857142855</v>
      </c>
      <c r="M2" s="26">
        <f>IFERROR(
(COUNTIFS('задача 3. данные'!$A:$A,'задача 3.2'!$A2,'задача 3. данные'!$H:$H,'задача 3.2'!M$1,'задача 3. данные'!$E:$E,"&gt;=9")-
COUNTIFS('задача 3. данные'!$A:$A,'задача 3.2'!$A2,'задача 3. данные'!$H:$H,'задача 3.2'!M$1,'задача 3. данные'!$E:$E,"&lt;=6"))/
COUNTIFS('задача 3. данные'!$A:$A,'задача 3.2'!$A2,'задача 3. данные'!$H:$H,'задача 3.2'!M$1,'задача 3. данные'!$E:$E,"&gt;=0"),"")</f>
        <v>-0.5</v>
      </c>
      <c r="N2" s="26" t="str">
        <f>IFERROR(
(COUNTIFS('задача 3. данные'!$A:$A,'задача 3.2'!$A2,'задача 3. данные'!$H:$H,'задача 3.2'!N$1,'задача 3. данные'!$E:$E,"&gt;=9")-
COUNTIFS('задача 3. данные'!$A:$A,'задача 3.2'!$A2,'задача 3. данные'!$H:$H,'задача 3.2'!N$1,'задача 3. данные'!$E:$E,"&lt;=6"))/
COUNTIFS('задача 3. данные'!$A:$A,'задача 3.2'!$A2,'задача 3. данные'!$H:$H,'задача 3.2'!N$1,'задача 3. данные'!$E:$E,"&gt;=0"),"")</f>
        <v/>
      </c>
    </row>
    <row r="3" spans="1:14" x14ac:dyDescent="0.25">
      <c r="A3" s="7" t="s">
        <v>15</v>
      </c>
      <c r="B3" s="26">
        <f>IFERROR(
(COUNTIFS('задача 3. данные'!$A:$A,'задача 3.2'!$A3,'задача 3. данные'!$H:$H,'задача 3.2'!B$1,'задача 3. данные'!$E:$E,"&gt;=9")-
COUNTIFS('задача 3. данные'!$A:$A,'задача 3.2'!$A3,'задача 3. данные'!$H:$H,'задача 3.2'!B$1,'задача 3. данные'!$E:$E,"&lt;=6"))/
COUNTIFS('задача 3. данные'!$A:$A,'задача 3.2'!$A3,'задача 3. данные'!$H:$H,'задача 3.2'!B$1,'задача 3. данные'!$E:$E,"&gt;=0"),"")</f>
        <v>-0.33333333333333331</v>
      </c>
      <c r="C3" s="26">
        <f>IFERROR(
(COUNTIFS('задача 3. данные'!$A:$A,'задача 3.2'!$A3,'задача 3. данные'!$H:$H,'задача 3.2'!C$1,'задача 3. данные'!$E:$E,"&gt;=9")-
COUNTIFS('задача 3. данные'!$A:$A,'задача 3.2'!$A3,'задача 3. данные'!$H:$H,'задача 3.2'!C$1,'задача 3. данные'!$E:$E,"&lt;=6"))/
COUNTIFS('задача 3. данные'!$A:$A,'задача 3.2'!$A3,'задача 3. данные'!$H:$H,'задача 3.2'!C$1,'задача 3. данные'!$E:$E,"&gt;=0"),"")</f>
        <v>-0.16666666666666666</v>
      </c>
      <c r="D3" s="26">
        <f>IFERROR(
(COUNTIFS('задача 3. данные'!$A:$A,'задача 3.2'!$A3,'задача 3. данные'!$H:$H,'задача 3.2'!D$1,'задача 3. данные'!$E:$E,"&gt;=9")-
COUNTIFS('задача 3. данные'!$A:$A,'задача 3.2'!$A3,'задача 3. данные'!$H:$H,'задача 3.2'!D$1,'задача 3. данные'!$E:$E,"&lt;=6"))/
COUNTIFS('задача 3. данные'!$A:$A,'задача 3.2'!$A3,'задача 3. данные'!$H:$H,'задача 3.2'!D$1,'задача 3. данные'!$E:$E,"&gt;=0"),"")</f>
        <v>-0.16666666666666666</v>
      </c>
      <c r="E3" s="26">
        <f>IFERROR(
(COUNTIFS('задача 3. данные'!$A:$A,'задача 3.2'!$A3,'задача 3. данные'!$H:$H,'задача 3.2'!E$1,'задача 3. данные'!$E:$E,"&gt;=9")-
COUNTIFS('задача 3. данные'!$A:$A,'задача 3.2'!$A3,'задача 3. данные'!$H:$H,'задача 3.2'!E$1,'задача 3. данные'!$E:$E,"&lt;=6"))/
COUNTIFS('задача 3. данные'!$A:$A,'задача 3.2'!$A3,'задача 3. данные'!$H:$H,'задача 3.2'!E$1,'задача 3. данные'!$E:$E,"&gt;=0"),"")</f>
        <v>-0.16666666666666666</v>
      </c>
      <c r="F3" s="26">
        <f>IFERROR(
(COUNTIFS('задача 3. данные'!$A:$A,'задача 3.2'!$A3,'задача 3. данные'!$H:$H,'задача 3.2'!F$1,'задача 3. данные'!$E:$E,"&gt;=9")-
COUNTIFS('задача 3. данные'!$A:$A,'задача 3.2'!$A3,'задача 3. данные'!$H:$H,'задача 3.2'!F$1,'задача 3. данные'!$E:$E,"&lt;=6"))/
COUNTIFS('задача 3. данные'!$A:$A,'задача 3.2'!$A3,'задача 3. данные'!$H:$H,'задача 3.2'!F$1,'задача 3. данные'!$E:$E,"&gt;=0"),"")</f>
        <v>-0.14285714285714285</v>
      </c>
      <c r="G3" s="26">
        <f>IFERROR(
(COUNTIFS('задача 3. данные'!$A:$A,'задача 3.2'!$A3,'задача 3. данные'!$H:$H,'задача 3.2'!G$1,'задача 3. данные'!$E:$E,"&gt;=9")-
COUNTIFS('задача 3. данные'!$A:$A,'задача 3.2'!$A3,'задача 3. данные'!$H:$H,'задача 3.2'!G$1,'задача 3. данные'!$E:$E,"&lt;=6"))/
COUNTIFS('задача 3. данные'!$A:$A,'задача 3.2'!$A3,'задача 3. данные'!$H:$H,'задача 3.2'!G$1,'задача 3. данные'!$E:$E,"&gt;=0"),"")</f>
        <v>-0.25</v>
      </c>
      <c r="H3" s="26">
        <f>IFERROR(
(COUNTIFS('задача 3. данные'!$A:$A,'задача 3.2'!$A3,'задача 3. данные'!$H:$H,'задача 3.2'!H$1,'задача 3. данные'!$E:$E,"&gt;=9")-
COUNTIFS('задача 3. данные'!$A:$A,'задача 3.2'!$A3,'задача 3. данные'!$H:$H,'задача 3.2'!H$1,'задача 3. данные'!$E:$E,"&lt;=6"))/
COUNTIFS('задача 3. данные'!$A:$A,'задача 3.2'!$A3,'задача 3. данные'!$H:$H,'задача 3.2'!H$1,'задача 3. данные'!$E:$E,"&gt;=0"),"")</f>
        <v>-0.5714285714285714</v>
      </c>
      <c r="I3" s="26">
        <f>IFERROR(
(COUNTIFS('задача 3. данные'!$A:$A,'задача 3.2'!$A3,'задача 3. данные'!$H:$H,'задача 3.2'!I$1,'задача 3. данные'!$E:$E,"&gt;=9")-
COUNTIFS('задача 3. данные'!$A:$A,'задача 3.2'!$A3,'задача 3. данные'!$H:$H,'задача 3.2'!I$1,'задача 3. данные'!$E:$E,"&lt;=6"))/
COUNTIFS('задача 3. данные'!$A:$A,'задача 3.2'!$A3,'задача 3. данные'!$H:$H,'задача 3.2'!I$1,'задача 3. данные'!$E:$E,"&gt;=0"),"")</f>
        <v>-0.2</v>
      </c>
      <c r="J3" s="26">
        <f>IFERROR(
(COUNTIFS('задача 3. данные'!$A:$A,'задача 3.2'!$A3,'задача 3. данные'!$H:$H,'задача 3.2'!J$1,'задача 3. данные'!$E:$E,"&gt;=9")-
COUNTIFS('задача 3. данные'!$A:$A,'задача 3.2'!$A3,'задача 3. данные'!$H:$H,'задача 3.2'!J$1,'задача 3. данные'!$E:$E,"&lt;=6"))/
COUNTIFS('задача 3. данные'!$A:$A,'задача 3.2'!$A3,'задача 3. данные'!$H:$H,'задача 3.2'!J$1,'задача 3. данные'!$E:$E,"&gt;=0"),"")</f>
        <v>0</v>
      </c>
      <c r="K3" s="26">
        <f>IFERROR(
(COUNTIFS('задача 3. данные'!$A:$A,'задача 3.2'!$A3,'задача 3. данные'!$H:$H,'задача 3.2'!K$1,'задача 3. данные'!$E:$E,"&gt;=9")-
COUNTIFS('задача 3. данные'!$A:$A,'задача 3.2'!$A3,'задача 3. данные'!$H:$H,'задача 3.2'!K$1,'задача 3. данные'!$E:$E,"&lt;=6"))/
COUNTIFS('задача 3. данные'!$A:$A,'задача 3.2'!$A3,'задача 3. данные'!$H:$H,'задача 3.2'!K$1,'задача 3. данные'!$E:$E,"&gt;=0"),"")</f>
        <v>-0.33333333333333331</v>
      </c>
      <c r="L3" s="26">
        <f>IFERROR(
(COUNTIFS('задача 3. данные'!$A:$A,'задача 3.2'!$A3,'задача 3. данные'!$H:$H,'задача 3.2'!L$1,'задача 3. данные'!$E:$E,"&gt;=9")-
COUNTIFS('задача 3. данные'!$A:$A,'задача 3.2'!$A3,'задача 3. данные'!$H:$H,'задача 3.2'!L$1,'задача 3. данные'!$E:$E,"&lt;=6"))/
COUNTIFS('задача 3. данные'!$A:$A,'задача 3.2'!$A3,'задача 3. данные'!$H:$H,'задача 3.2'!L$1,'задача 3. данные'!$E:$E,"&gt;=0"),"")</f>
        <v>-0.2</v>
      </c>
      <c r="M3" s="26">
        <f>IFERROR(
(COUNTIFS('задача 3. данные'!$A:$A,'задача 3.2'!$A3,'задача 3. данные'!$H:$H,'задача 3.2'!M$1,'задача 3. данные'!$E:$E,"&gt;=9")-
COUNTIFS('задача 3. данные'!$A:$A,'задача 3.2'!$A3,'задача 3. данные'!$H:$H,'задача 3.2'!M$1,'задача 3. данные'!$E:$E,"&lt;=6"))/
COUNTIFS('задача 3. данные'!$A:$A,'задача 3.2'!$A3,'задача 3. данные'!$H:$H,'задача 3.2'!M$1,'задача 3. данные'!$E:$E,"&gt;=0"),"")</f>
        <v>-0.5714285714285714</v>
      </c>
      <c r="N3" s="26" t="str">
        <f>IFERROR(
(COUNTIFS('задача 3. данные'!$A:$A,'задача 3.2'!$A3,'задача 3. данные'!$H:$H,'задача 3.2'!N$1,'задача 3. данные'!$E:$E,"&gt;=9")-
COUNTIFS('задача 3. данные'!$A:$A,'задача 3.2'!$A3,'задача 3. данные'!$H:$H,'задача 3.2'!N$1,'задача 3. данные'!$E:$E,"&lt;=6"))/
COUNTIFS('задача 3. данные'!$A:$A,'задача 3.2'!$A3,'задача 3. данные'!$H:$H,'задача 3.2'!N$1,'задача 3. данные'!$E:$E,"&gt;=0"),"")</f>
        <v/>
      </c>
    </row>
    <row r="4" spans="1:14" x14ac:dyDescent="0.25">
      <c r="A4" s="7" t="s">
        <v>48</v>
      </c>
      <c r="B4" s="26">
        <f>IFERROR(
(COUNTIFS('задача 3. данные'!$A:$A,'задача 3.2'!$A4,'задача 3. данные'!$H:$H,'задача 3.2'!B$1,'задача 3. данные'!$E:$E,"&gt;=9")-
COUNTIFS('задача 3. данные'!$A:$A,'задача 3.2'!$A4,'задача 3. данные'!$H:$H,'задача 3.2'!B$1,'задача 3. данные'!$E:$E,"&lt;=6"))/
COUNTIFS('задача 3. данные'!$A:$A,'задача 3.2'!$A4,'задача 3. данные'!$H:$H,'задача 3.2'!B$1,'задача 3. данные'!$E:$E,"&gt;=0"),"")</f>
        <v>-0.8</v>
      </c>
      <c r="C4" s="26">
        <f>IFERROR(
(COUNTIFS('задача 3. данные'!$A:$A,'задача 3.2'!$A4,'задача 3. данные'!$H:$H,'задача 3.2'!C$1,'задача 3. данные'!$E:$E,"&gt;=9")-
COUNTIFS('задача 3. данные'!$A:$A,'задача 3.2'!$A4,'задача 3. данные'!$H:$H,'задача 3.2'!C$1,'задача 3. данные'!$E:$E,"&lt;=6"))/
COUNTIFS('задача 3. данные'!$A:$A,'задача 3.2'!$A4,'задача 3. данные'!$H:$H,'задача 3.2'!C$1,'задача 3. данные'!$E:$E,"&gt;=0"),"")</f>
        <v>-0.33333333333333331</v>
      </c>
      <c r="D4" s="26">
        <f>IFERROR(
(COUNTIFS('задача 3. данные'!$A:$A,'задача 3.2'!$A4,'задача 3. данные'!$H:$H,'задача 3.2'!D$1,'задача 3. данные'!$E:$E,"&gt;=9")-
COUNTIFS('задача 3. данные'!$A:$A,'задача 3.2'!$A4,'задача 3. данные'!$H:$H,'задача 3.2'!D$1,'задача 3. данные'!$E:$E,"&lt;=6"))/
COUNTIFS('задача 3. данные'!$A:$A,'задача 3.2'!$A4,'задача 3. данные'!$H:$H,'задача 3.2'!D$1,'задача 3. данные'!$E:$E,"&gt;=0"),"")</f>
        <v>-0.2</v>
      </c>
      <c r="E4" s="26">
        <f>IFERROR(
(COUNTIFS('задача 3. данные'!$A:$A,'задача 3.2'!$A4,'задача 3. данные'!$H:$H,'задача 3.2'!E$1,'задача 3. данные'!$E:$E,"&gt;=9")-
COUNTIFS('задача 3. данные'!$A:$A,'задача 3.2'!$A4,'задача 3. данные'!$H:$H,'задача 3.2'!E$1,'задача 3. данные'!$E:$E,"&lt;=6"))/
COUNTIFS('задача 3. данные'!$A:$A,'задача 3.2'!$A4,'задача 3. данные'!$H:$H,'задача 3.2'!E$1,'задача 3. данные'!$E:$E,"&gt;=0"),"")</f>
        <v>-0.22222222222222221</v>
      </c>
      <c r="F4" s="26">
        <f>IFERROR(
(COUNTIFS('задача 3. данные'!$A:$A,'задача 3.2'!$A4,'задача 3. данные'!$H:$H,'задача 3.2'!F$1,'задача 3. данные'!$E:$E,"&gt;=9")-
COUNTIFS('задача 3. данные'!$A:$A,'задача 3.2'!$A4,'задача 3. данные'!$H:$H,'задача 3.2'!F$1,'задача 3. данные'!$E:$E,"&lt;=6"))/
COUNTIFS('задача 3. данные'!$A:$A,'задача 3.2'!$A4,'задача 3. данные'!$H:$H,'задача 3.2'!F$1,'задача 3. данные'!$E:$E,"&gt;=0"),"")</f>
        <v>-0.66666666666666663</v>
      </c>
      <c r="G4" s="26">
        <f>IFERROR(
(COUNTIFS('задача 3. данные'!$A:$A,'задача 3.2'!$A4,'задача 3. данные'!$H:$H,'задача 3.2'!G$1,'задача 3. данные'!$E:$E,"&gt;=9")-
COUNTIFS('задача 3. данные'!$A:$A,'задача 3.2'!$A4,'задача 3. данные'!$H:$H,'задача 3.2'!G$1,'задача 3. данные'!$E:$E,"&lt;=6"))/
COUNTIFS('задача 3. данные'!$A:$A,'задача 3.2'!$A4,'задача 3. данные'!$H:$H,'задача 3.2'!G$1,'задача 3. данные'!$E:$E,"&gt;=0"),"")</f>
        <v>-0.2</v>
      </c>
      <c r="H4" s="26">
        <f>IFERROR(
(COUNTIFS('задача 3. данные'!$A:$A,'задача 3.2'!$A4,'задача 3. данные'!$H:$H,'задача 3.2'!H$1,'задача 3. данные'!$E:$E,"&gt;=9")-
COUNTIFS('задача 3. данные'!$A:$A,'задача 3.2'!$A4,'задача 3. данные'!$H:$H,'задача 3.2'!H$1,'задача 3. данные'!$E:$E,"&lt;=6"))/
COUNTIFS('задача 3. данные'!$A:$A,'задача 3.2'!$A4,'задача 3. данные'!$H:$H,'задача 3.2'!H$1,'задача 3. данные'!$E:$E,"&gt;=0"),"")</f>
        <v>-0.6</v>
      </c>
      <c r="I4" s="26">
        <f>IFERROR(
(COUNTIFS('задача 3. данные'!$A:$A,'задача 3.2'!$A4,'задача 3. данные'!$H:$H,'задача 3.2'!I$1,'задача 3. данные'!$E:$E,"&gt;=9")-
COUNTIFS('задача 3. данные'!$A:$A,'задача 3.2'!$A4,'задача 3. данные'!$H:$H,'задача 3.2'!I$1,'задача 3. данные'!$E:$E,"&lt;=6"))/
COUNTIFS('задача 3. данные'!$A:$A,'задача 3.2'!$A4,'задача 3. данные'!$H:$H,'задача 3.2'!I$1,'задача 3. данные'!$E:$E,"&gt;=0"),"")</f>
        <v>-0.33333333333333331</v>
      </c>
      <c r="J4" s="26">
        <f>IFERROR(
(COUNTIFS('задача 3. данные'!$A:$A,'задача 3.2'!$A4,'задача 3. данные'!$H:$H,'задача 3.2'!J$1,'задача 3. данные'!$E:$E,"&gt;=9")-
COUNTIFS('задача 3. данные'!$A:$A,'задача 3.2'!$A4,'задача 3. данные'!$H:$H,'задача 3.2'!J$1,'задача 3. данные'!$E:$E,"&lt;=6"))/
COUNTIFS('задача 3. данные'!$A:$A,'задача 3.2'!$A4,'задача 3. данные'!$H:$H,'задача 3.2'!J$1,'задача 3. данные'!$E:$E,"&gt;=0"),"")</f>
        <v>-0.33333333333333331</v>
      </c>
      <c r="K4" s="26">
        <f>IFERROR(
(COUNTIFS('задача 3. данные'!$A:$A,'задача 3.2'!$A4,'задача 3. данные'!$H:$H,'задача 3.2'!K$1,'задача 3. данные'!$E:$E,"&gt;=9")-
COUNTIFS('задача 3. данные'!$A:$A,'задача 3.2'!$A4,'задача 3. данные'!$H:$H,'задача 3.2'!K$1,'задача 3. данные'!$E:$E,"&lt;=6"))/
COUNTIFS('задача 3. данные'!$A:$A,'задача 3.2'!$A4,'задача 3. данные'!$H:$H,'задача 3.2'!K$1,'задача 3. данные'!$E:$E,"&gt;=0"),"")</f>
        <v>-0.5</v>
      </c>
      <c r="L4" s="26">
        <f>IFERROR(
(COUNTIFS('задача 3. данные'!$A:$A,'задача 3.2'!$A4,'задача 3. данные'!$H:$H,'задача 3.2'!L$1,'задача 3. данные'!$E:$E,"&gt;=9")-
COUNTIFS('задача 3. данные'!$A:$A,'задача 3.2'!$A4,'задача 3. данные'!$H:$H,'задача 3.2'!L$1,'задача 3. данные'!$E:$E,"&lt;=6"))/
COUNTIFS('задача 3. данные'!$A:$A,'задача 3.2'!$A4,'задача 3. данные'!$H:$H,'задача 3.2'!L$1,'задача 3. данные'!$E:$E,"&gt;=0"),"")</f>
        <v>-0.375</v>
      </c>
      <c r="M4" s="26">
        <f>IFERROR(
(COUNTIFS('задача 3. данные'!$A:$A,'задача 3.2'!$A4,'задача 3. данные'!$H:$H,'задача 3.2'!M$1,'задача 3. данные'!$E:$E,"&gt;=9")-
COUNTIFS('задача 3. данные'!$A:$A,'задача 3.2'!$A4,'задача 3. данные'!$H:$H,'задача 3.2'!M$1,'задача 3. данные'!$E:$E,"&lt;=6"))/
COUNTIFS('задача 3. данные'!$A:$A,'задача 3.2'!$A4,'задача 3. данные'!$H:$H,'задача 3.2'!M$1,'задача 3. данные'!$E:$E,"&gt;=0"),"")</f>
        <v>-0.44444444444444442</v>
      </c>
      <c r="N4" s="26">
        <f>IFERROR(
(COUNTIFS('задача 3. данные'!$A:$A,'задача 3.2'!$A4,'задача 3. данные'!$H:$H,'задача 3.2'!N$1,'задача 3. данные'!$E:$E,"&gt;=9")-
COUNTIFS('задача 3. данные'!$A:$A,'задача 3.2'!$A4,'задача 3. данные'!$H:$H,'задача 3.2'!N$1,'задача 3. данные'!$E:$E,"&lt;=6"))/
COUNTIFS('задача 3. данные'!$A:$A,'задача 3.2'!$A4,'задача 3. данные'!$H:$H,'задача 3.2'!N$1,'задача 3. данные'!$E:$E,"&gt;=0"),"")</f>
        <v>0</v>
      </c>
    </row>
    <row r="5" spans="1:14" x14ac:dyDescent="0.25">
      <c r="A5" s="7" t="s">
        <v>23</v>
      </c>
      <c r="B5" s="26">
        <f>IFERROR(
(COUNTIFS('задача 3. данные'!$A:$A,'задача 3.2'!$A5,'задача 3. данные'!$H:$H,'задача 3.2'!B$1,'задача 3. данные'!$E:$E,"&gt;=9")-
COUNTIFS('задача 3. данные'!$A:$A,'задача 3.2'!$A5,'задача 3. данные'!$H:$H,'задача 3.2'!B$1,'задача 3. данные'!$E:$E,"&lt;=6"))/
COUNTIFS('задача 3. данные'!$A:$A,'задача 3.2'!$A5,'задача 3. данные'!$H:$H,'задача 3.2'!B$1,'задача 3. данные'!$E:$E,"&gt;=0"),"")</f>
        <v>-0.2857142857142857</v>
      </c>
      <c r="C5" s="26">
        <f>IFERROR(
(COUNTIFS('задача 3. данные'!$A:$A,'задача 3.2'!$A5,'задача 3. данные'!$H:$H,'задача 3.2'!C$1,'задача 3. данные'!$E:$E,"&gt;=9")-
COUNTIFS('задача 3. данные'!$A:$A,'задача 3.2'!$A5,'задача 3. данные'!$H:$H,'задача 3.2'!C$1,'задача 3. данные'!$E:$E,"&lt;=6"))/
COUNTIFS('задача 3. данные'!$A:$A,'задача 3.2'!$A5,'задача 3. данные'!$H:$H,'задача 3.2'!C$1,'задача 3. данные'!$E:$E,"&gt;=0"),"")</f>
        <v>-0.4</v>
      </c>
      <c r="D5" s="26">
        <f>IFERROR(
(COUNTIFS('задача 3. данные'!$A:$A,'задача 3.2'!$A5,'задача 3. данные'!$H:$H,'задача 3.2'!D$1,'задача 3. данные'!$E:$E,"&gt;=9")-
COUNTIFS('задача 3. данные'!$A:$A,'задача 3.2'!$A5,'задача 3. данные'!$H:$H,'задача 3.2'!D$1,'задача 3. данные'!$E:$E,"&lt;=6"))/
COUNTIFS('задача 3. данные'!$A:$A,'задача 3.2'!$A5,'задача 3. данные'!$H:$H,'задача 3.2'!D$1,'задача 3. данные'!$E:$E,"&gt;=0"),"")</f>
        <v>-0.46153846153846156</v>
      </c>
      <c r="E5" s="26">
        <f>IFERROR(
(COUNTIFS('задача 3. данные'!$A:$A,'задача 3.2'!$A5,'задача 3. данные'!$H:$H,'задача 3.2'!E$1,'задача 3. данные'!$E:$E,"&gt;=9")-
COUNTIFS('задача 3. данные'!$A:$A,'задача 3.2'!$A5,'задача 3. данные'!$H:$H,'задача 3.2'!E$1,'задача 3. данные'!$E:$E,"&lt;=6"))/
COUNTIFS('задача 3. данные'!$A:$A,'задача 3.2'!$A5,'задача 3. данные'!$H:$H,'задача 3.2'!E$1,'задача 3. данные'!$E:$E,"&gt;=0"),"")</f>
        <v>-0.91666666666666663</v>
      </c>
      <c r="F5" s="26">
        <f>IFERROR(
(COUNTIFS('задача 3. данные'!$A:$A,'задача 3.2'!$A5,'задача 3. данные'!$H:$H,'задача 3.2'!F$1,'задача 3. данные'!$E:$E,"&gt;=9")-
COUNTIFS('задача 3. данные'!$A:$A,'задача 3.2'!$A5,'задача 3. данные'!$H:$H,'задача 3.2'!F$1,'задача 3. данные'!$E:$E,"&lt;=6"))/
COUNTIFS('задача 3. данные'!$A:$A,'задача 3.2'!$A5,'задача 3. данные'!$H:$H,'задача 3.2'!F$1,'задача 3. данные'!$E:$E,"&gt;=0"),"")</f>
        <v>-0.44444444444444442</v>
      </c>
      <c r="G5" s="26">
        <f>IFERROR(
(COUNTIFS('задача 3. данные'!$A:$A,'задача 3.2'!$A5,'задача 3. данные'!$H:$H,'задача 3.2'!G$1,'задача 3. данные'!$E:$E,"&gt;=9")-
COUNTIFS('задача 3. данные'!$A:$A,'задача 3.2'!$A5,'задача 3. данные'!$H:$H,'задача 3.2'!G$1,'задача 3. данные'!$E:$E,"&lt;=6"))/
COUNTIFS('задача 3. данные'!$A:$A,'задача 3.2'!$A5,'задача 3. данные'!$H:$H,'задача 3.2'!G$1,'задача 3. данные'!$E:$E,"&gt;=0"),"")</f>
        <v>-0.75</v>
      </c>
      <c r="H5" s="26">
        <f>IFERROR(
(COUNTIFS('задача 3. данные'!$A:$A,'задача 3.2'!$A5,'задача 3. данные'!$H:$H,'задача 3.2'!H$1,'задача 3. данные'!$E:$E,"&gt;=9")-
COUNTIFS('задача 3. данные'!$A:$A,'задача 3.2'!$A5,'задача 3. данные'!$H:$H,'задача 3.2'!H$1,'задача 3. данные'!$E:$E,"&lt;=6"))/
COUNTIFS('задача 3. данные'!$A:$A,'задача 3.2'!$A5,'задача 3. данные'!$H:$H,'задача 3.2'!H$1,'задача 3. данные'!$E:$E,"&gt;=0"),"")</f>
        <v>-0.83333333333333337</v>
      </c>
      <c r="I5" s="26">
        <f>IFERROR(
(COUNTIFS('задача 3. данные'!$A:$A,'задача 3.2'!$A5,'задача 3. данные'!$H:$H,'задача 3.2'!I$1,'задача 3. данные'!$E:$E,"&gt;=9")-
COUNTIFS('задача 3. данные'!$A:$A,'задача 3.2'!$A5,'задача 3. данные'!$H:$H,'задача 3.2'!I$1,'задача 3. данные'!$E:$E,"&lt;=6"))/
COUNTIFS('задача 3. данные'!$A:$A,'задача 3.2'!$A5,'задача 3. данные'!$H:$H,'задача 3.2'!I$1,'задача 3. данные'!$E:$E,"&gt;=0"),"")</f>
        <v>-0.83333333333333337</v>
      </c>
      <c r="J5" s="26">
        <f>IFERROR(
(COUNTIFS('задача 3. данные'!$A:$A,'задача 3.2'!$A5,'задача 3. данные'!$H:$H,'задача 3.2'!J$1,'задача 3. данные'!$E:$E,"&gt;=9")-
COUNTIFS('задача 3. данные'!$A:$A,'задача 3.2'!$A5,'задача 3. данные'!$H:$H,'задача 3.2'!J$1,'задача 3. данные'!$E:$E,"&lt;=6"))/
COUNTIFS('задача 3. данные'!$A:$A,'задача 3.2'!$A5,'задача 3. данные'!$H:$H,'задача 3.2'!J$1,'задача 3. данные'!$E:$E,"&gt;=0"),"")</f>
        <v>-0.2857142857142857</v>
      </c>
      <c r="K5" s="26">
        <f>IFERROR(
(COUNTIFS('задача 3. данные'!$A:$A,'задача 3.2'!$A5,'задача 3. данные'!$H:$H,'задача 3.2'!K$1,'задача 3. данные'!$E:$E,"&gt;=9")-
COUNTIFS('задача 3. данные'!$A:$A,'задача 3.2'!$A5,'задача 3. данные'!$H:$H,'задача 3.2'!K$1,'задача 3. данные'!$E:$E,"&lt;=6"))/
COUNTIFS('задача 3. данные'!$A:$A,'задача 3.2'!$A5,'задача 3. данные'!$H:$H,'задача 3.2'!K$1,'задача 3. данные'!$E:$E,"&gt;=0"),"")</f>
        <v>-0.2</v>
      </c>
      <c r="L5" s="26">
        <f>IFERROR(
(COUNTIFS('задача 3. данные'!$A:$A,'задача 3.2'!$A5,'задача 3. данные'!$H:$H,'задача 3.2'!L$1,'задача 3. данные'!$E:$E,"&gt;=9")-
COUNTIFS('задача 3. данные'!$A:$A,'задача 3.2'!$A5,'задача 3. данные'!$H:$H,'задача 3.2'!L$1,'задача 3. данные'!$E:$E,"&lt;=6"))/
COUNTIFS('задача 3. данные'!$A:$A,'задача 3.2'!$A5,'задача 3. данные'!$H:$H,'задача 3.2'!L$1,'задача 3. данные'!$E:$E,"&gt;=0"),"")</f>
        <v>0.1111111111111111</v>
      </c>
      <c r="M5" s="26">
        <f>IFERROR(
(COUNTIFS('задача 3. данные'!$A:$A,'задача 3.2'!$A5,'задача 3. данные'!$H:$H,'задача 3.2'!M$1,'задача 3. данные'!$E:$E,"&gt;=9")-
COUNTIFS('задача 3. данные'!$A:$A,'задача 3.2'!$A5,'задача 3. данные'!$H:$H,'задача 3.2'!M$1,'задача 3. данные'!$E:$E,"&lt;=6"))/
COUNTIFS('задача 3. данные'!$A:$A,'задача 3.2'!$A5,'задача 3. данные'!$H:$H,'задача 3.2'!M$1,'задача 3. данные'!$E:$E,"&gt;=0"),"")</f>
        <v>-0.5</v>
      </c>
      <c r="N5" s="26" t="str">
        <f>IFERROR(
(COUNTIFS('задача 3. данные'!$A:$A,'задача 3.2'!$A5,'задача 3. данные'!$H:$H,'задача 3.2'!N$1,'задача 3. данные'!$E:$E,"&gt;=9")-
COUNTIFS('задача 3. данные'!$A:$A,'задача 3.2'!$A5,'задача 3. данные'!$H:$H,'задача 3.2'!N$1,'задача 3. данные'!$E:$E,"&lt;=6"))/
COUNTIFS('задача 3. данные'!$A:$A,'задача 3.2'!$A5,'задача 3. данные'!$H:$H,'задача 3.2'!N$1,'задача 3. данные'!$E:$E,"&gt;=0"),"")</f>
        <v/>
      </c>
    </row>
    <row r="6" spans="1:14" x14ac:dyDescent="0.25">
      <c r="A6" s="7" t="s">
        <v>10</v>
      </c>
      <c r="B6" s="26">
        <f>IFERROR(
(COUNTIFS('задача 3. данные'!$A:$A,'задача 3.2'!$A6,'задача 3. данные'!$H:$H,'задача 3.2'!B$1,'задача 3. данные'!$E:$E,"&gt;=9")-
COUNTIFS('задача 3. данные'!$A:$A,'задача 3.2'!$A6,'задача 3. данные'!$H:$H,'задача 3.2'!B$1,'задача 3. данные'!$E:$E,"&lt;=6"))/
COUNTIFS('задача 3. данные'!$A:$A,'задача 3.2'!$A6,'задача 3. данные'!$H:$H,'задача 3.2'!B$1,'задача 3. данные'!$E:$E,"&gt;=0"),"")</f>
        <v>-0.4</v>
      </c>
      <c r="C6" s="26">
        <f>IFERROR(
(COUNTIFS('задача 3. данные'!$A:$A,'задача 3.2'!$A6,'задача 3. данные'!$H:$H,'задача 3.2'!C$1,'задача 3. данные'!$E:$E,"&gt;=9")-
COUNTIFS('задача 3. данные'!$A:$A,'задача 3.2'!$A6,'задача 3. данные'!$H:$H,'задача 3.2'!C$1,'задача 3. данные'!$E:$E,"&lt;=6"))/
COUNTIFS('задача 3. данные'!$A:$A,'задача 3.2'!$A6,'задача 3. данные'!$H:$H,'задача 3.2'!C$1,'задача 3. данные'!$E:$E,"&gt;=0"),"")</f>
        <v>0</v>
      </c>
      <c r="D6" s="26">
        <f>IFERROR(
(COUNTIFS('задача 3. данные'!$A:$A,'задача 3.2'!$A6,'задача 3. данные'!$H:$H,'задача 3.2'!D$1,'задача 3. данные'!$E:$E,"&gt;=9")-
COUNTIFS('задача 3. данные'!$A:$A,'задача 3.2'!$A6,'задача 3. данные'!$H:$H,'задача 3.2'!D$1,'задача 3. данные'!$E:$E,"&lt;=6"))/
COUNTIFS('задача 3. данные'!$A:$A,'задача 3.2'!$A6,'задача 3. данные'!$H:$H,'задача 3.2'!D$1,'задача 3. данные'!$E:$E,"&gt;=0"),"")</f>
        <v>-0.5</v>
      </c>
      <c r="E6" s="26">
        <f>IFERROR(
(COUNTIFS('задача 3. данные'!$A:$A,'задача 3.2'!$A6,'задача 3. данные'!$H:$H,'задача 3.2'!E$1,'задача 3. данные'!$E:$E,"&gt;=9")-
COUNTIFS('задача 3. данные'!$A:$A,'задача 3.2'!$A6,'задача 3. данные'!$H:$H,'задача 3.2'!E$1,'задача 3. данные'!$E:$E,"&lt;=6"))/
COUNTIFS('задача 3. данные'!$A:$A,'задача 3.2'!$A6,'задача 3. данные'!$H:$H,'задача 3.2'!E$1,'задача 3. данные'!$E:$E,"&gt;=0"),"")</f>
        <v>-0.5</v>
      </c>
      <c r="F6" s="26">
        <f>IFERROR(
(COUNTIFS('задача 3. данные'!$A:$A,'задача 3.2'!$A6,'задача 3. данные'!$H:$H,'задача 3.2'!F$1,'задача 3. данные'!$E:$E,"&gt;=9")-
COUNTIFS('задача 3. данные'!$A:$A,'задача 3.2'!$A6,'задача 3. данные'!$H:$H,'задача 3.2'!F$1,'задача 3. данные'!$E:$E,"&lt;=6"))/
COUNTIFS('задача 3. данные'!$A:$A,'задача 3.2'!$A6,'задача 3. данные'!$H:$H,'задача 3.2'!F$1,'задача 3. данные'!$E:$E,"&gt;=0"),"")</f>
        <v>-0.7142857142857143</v>
      </c>
      <c r="G6" s="26">
        <f>IFERROR(
(COUNTIFS('задача 3. данные'!$A:$A,'задача 3.2'!$A6,'задача 3. данные'!$H:$H,'задача 3.2'!G$1,'задача 3. данные'!$E:$E,"&gt;=9")-
COUNTIFS('задача 3. данные'!$A:$A,'задача 3.2'!$A6,'задача 3. данные'!$H:$H,'задача 3.2'!G$1,'задача 3. данные'!$E:$E,"&lt;=6"))/
COUNTIFS('задача 3. данные'!$A:$A,'задача 3.2'!$A6,'задача 3. данные'!$H:$H,'задача 3.2'!G$1,'задача 3. данные'!$E:$E,"&gt;=0"),"")</f>
        <v>-0.66666666666666663</v>
      </c>
      <c r="H6" s="26">
        <f>IFERROR(
(COUNTIFS('задача 3. данные'!$A:$A,'задача 3.2'!$A6,'задача 3. данные'!$H:$H,'задача 3.2'!H$1,'задача 3. данные'!$E:$E,"&gt;=9")-
COUNTIFS('задача 3. данные'!$A:$A,'задача 3.2'!$A6,'задача 3. данные'!$H:$H,'задача 3.2'!H$1,'задача 3. данные'!$E:$E,"&lt;=6"))/
COUNTIFS('задача 3. данные'!$A:$A,'задача 3.2'!$A6,'задача 3. данные'!$H:$H,'задача 3.2'!H$1,'задача 3. данные'!$E:$E,"&gt;=0"),"")</f>
        <v>-0.16666666666666666</v>
      </c>
      <c r="I6" s="26">
        <f>IFERROR(
(COUNTIFS('задача 3. данные'!$A:$A,'задача 3.2'!$A6,'задача 3. данные'!$H:$H,'задача 3.2'!I$1,'задача 3. данные'!$E:$E,"&gt;=9")-
COUNTIFS('задача 3. данные'!$A:$A,'задача 3.2'!$A6,'задача 3. данные'!$H:$H,'задача 3.2'!I$1,'задача 3. данные'!$E:$E,"&lt;=6"))/
COUNTIFS('задача 3. данные'!$A:$A,'задача 3.2'!$A6,'задача 3. данные'!$H:$H,'задача 3.2'!I$1,'задача 3. данные'!$E:$E,"&gt;=0"),"")</f>
        <v>-0.5</v>
      </c>
      <c r="J6" s="26">
        <f>IFERROR(
(COUNTIFS('задача 3. данные'!$A:$A,'задача 3.2'!$A6,'задача 3. данные'!$H:$H,'задача 3.2'!J$1,'задача 3. данные'!$E:$E,"&gt;=9")-
COUNTIFS('задача 3. данные'!$A:$A,'задача 3.2'!$A6,'задача 3. данные'!$H:$H,'задача 3.2'!J$1,'задача 3. данные'!$E:$E,"&lt;=6"))/
COUNTIFS('задача 3. данные'!$A:$A,'задача 3.2'!$A6,'задача 3. данные'!$H:$H,'задача 3.2'!J$1,'задача 3. данные'!$E:$E,"&gt;=0"),"")</f>
        <v>-0.25</v>
      </c>
      <c r="K6" s="26">
        <f>IFERROR(
(COUNTIFS('задача 3. данные'!$A:$A,'задача 3.2'!$A6,'задача 3. данные'!$H:$H,'задача 3.2'!K$1,'задача 3. данные'!$E:$E,"&gt;=9")-
COUNTIFS('задача 3. данные'!$A:$A,'задача 3.2'!$A6,'задача 3. данные'!$H:$H,'задача 3.2'!K$1,'задача 3. данные'!$E:$E,"&lt;=6"))/
COUNTIFS('задача 3. данные'!$A:$A,'задача 3.2'!$A6,'задача 3. данные'!$H:$H,'задача 3.2'!K$1,'задача 3. данные'!$E:$E,"&gt;=0"),"")</f>
        <v>-0.42857142857142855</v>
      </c>
      <c r="L6" s="26">
        <f>IFERROR(
(COUNTIFS('задача 3. данные'!$A:$A,'задача 3.2'!$A6,'задача 3. данные'!$H:$H,'задача 3.2'!L$1,'задача 3. данные'!$E:$E,"&gt;=9")-
COUNTIFS('задача 3. данные'!$A:$A,'задача 3.2'!$A6,'задача 3. данные'!$H:$H,'задача 3.2'!L$1,'задача 3. данные'!$E:$E,"&lt;=6"))/
COUNTIFS('задача 3. данные'!$A:$A,'задача 3.2'!$A6,'задача 3. данные'!$H:$H,'задача 3.2'!L$1,'задача 3. данные'!$E:$E,"&gt;=0"),"")</f>
        <v>-0.25</v>
      </c>
      <c r="M6" s="26">
        <f>IFERROR(
(COUNTIFS('задача 3. данные'!$A:$A,'задача 3.2'!$A6,'задача 3. данные'!$H:$H,'задача 3.2'!M$1,'задача 3. данные'!$E:$E,"&gt;=9")-
COUNTIFS('задача 3. данные'!$A:$A,'задача 3.2'!$A6,'задача 3. данные'!$H:$H,'задача 3.2'!M$1,'задача 3. данные'!$E:$E,"&lt;=6"))/
COUNTIFS('задача 3. данные'!$A:$A,'задача 3.2'!$A6,'задача 3. данные'!$H:$H,'задача 3.2'!M$1,'задача 3. данные'!$E:$E,"&gt;=0"),"")</f>
        <v>-0.125</v>
      </c>
      <c r="N6" s="26" t="str">
        <f>IFERROR(
(COUNTIFS('задача 3. данные'!$A:$A,'задача 3.2'!$A6,'задача 3. данные'!$H:$H,'задача 3.2'!N$1,'задача 3. данные'!$E:$E,"&gt;=9")-
COUNTIFS('задача 3. данные'!$A:$A,'задача 3.2'!$A6,'задача 3. данные'!$H:$H,'задача 3.2'!N$1,'задача 3. данные'!$E:$E,"&lt;=6"))/
COUNTIFS('задача 3. данные'!$A:$A,'задача 3.2'!$A6,'задача 3. данные'!$H:$H,'задача 3.2'!N$1,'задача 3. данные'!$E:$E,"&gt;=0"),"")</f>
        <v/>
      </c>
    </row>
    <row r="7" spans="1:14" x14ac:dyDescent="0.25">
      <c r="A7" s="7" t="s">
        <v>17</v>
      </c>
      <c r="B7" s="26">
        <f>IFERROR(
(COUNTIFS('задача 3. данные'!$A:$A,'задача 3.2'!$A7,'задача 3. данные'!$H:$H,'задача 3.2'!B$1,'задача 3. данные'!$E:$E,"&gt;=9")-
COUNTIFS('задача 3. данные'!$A:$A,'задача 3.2'!$A7,'задача 3. данные'!$H:$H,'задача 3.2'!B$1,'задача 3. данные'!$E:$E,"&lt;=6"))/
COUNTIFS('задача 3. данные'!$A:$A,'задача 3.2'!$A7,'задача 3. данные'!$H:$H,'задача 3.2'!B$1,'задача 3. данные'!$E:$E,"&gt;=0"),"")</f>
        <v>-0.5714285714285714</v>
      </c>
      <c r="C7" s="26">
        <f>IFERROR(
(COUNTIFS('задача 3. данные'!$A:$A,'задача 3.2'!$A7,'задача 3. данные'!$H:$H,'задача 3.2'!C$1,'задача 3. данные'!$E:$E,"&gt;=9")-
COUNTIFS('задача 3. данные'!$A:$A,'задача 3.2'!$A7,'задача 3. данные'!$H:$H,'задача 3.2'!C$1,'задача 3. данные'!$E:$E,"&lt;=6"))/
COUNTIFS('задача 3. данные'!$A:$A,'задача 3.2'!$A7,'задача 3. данные'!$H:$H,'задача 3.2'!C$1,'задача 3. данные'!$E:$E,"&gt;=0"),"")</f>
        <v>-0.6</v>
      </c>
      <c r="D7" s="26">
        <f>IFERROR(
(COUNTIFS('задача 3. данные'!$A:$A,'задача 3.2'!$A7,'задача 3. данные'!$H:$H,'задача 3.2'!D$1,'задача 3. данные'!$E:$E,"&gt;=9")-
COUNTIFS('задача 3. данные'!$A:$A,'задача 3.2'!$A7,'задача 3. данные'!$H:$H,'задача 3.2'!D$1,'задача 3. данные'!$E:$E,"&lt;=6"))/
COUNTIFS('задача 3. данные'!$A:$A,'задача 3.2'!$A7,'задача 3. данные'!$H:$H,'задача 3.2'!D$1,'задача 3. данные'!$E:$E,"&gt;=0"),"")</f>
        <v>-0.16666666666666666</v>
      </c>
      <c r="E7" s="26">
        <f>IFERROR(
(COUNTIFS('задача 3. данные'!$A:$A,'задача 3.2'!$A7,'задача 3. данные'!$H:$H,'задача 3.2'!E$1,'задача 3. данные'!$E:$E,"&gt;=9")-
COUNTIFS('задача 3. данные'!$A:$A,'задача 3.2'!$A7,'задача 3. данные'!$H:$H,'задача 3.2'!E$1,'задача 3. данные'!$E:$E,"&lt;=6"))/
COUNTIFS('задача 3. данные'!$A:$A,'задача 3.2'!$A7,'задача 3. данные'!$H:$H,'задача 3.2'!E$1,'задача 3. данные'!$E:$E,"&gt;=0"),"")</f>
        <v>-0.5</v>
      </c>
      <c r="F7" s="26">
        <f>IFERROR(
(COUNTIFS('задача 3. данные'!$A:$A,'задача 3.2'!$A7,'задача 3. данные'!$H:$H,'задача 3.2'!F$1,'задача 3. данные'!$E:$E,"&gt;=9")-
COUNTIFS('задача 3. данные'!$A:$A,'задача 3.2'!$A7,'задача 3. данные'!$H:$H,'задача 3.2'!F$1,'задача 3. данные'!$E:$E,"&lt;=6"))/
COUNTIFS('задача 3. данные'!$A:$A,'задача 3.2'!$A7,'задача 3. данные'!$H:$H,'задача 3.2'!F$1,'задача 3. данные'!$E:$E,"&gt;=0"),"")</f>
        <v>0</v>
      </c>
      <c r="G7" s="26">
        <f>IFERROR(
(COUNTIFS('задача 3. данные'!$A:$A,'задача 3.2'!$A7,'задача 3. данные'!$H:$H,'задача 3.2'!G$1,'задача 3. данные'!$E:$E,"&gt;=9")-
COUNTIFS('задача 3. данные'!$A:$A,'задача 3.2'!$A7,'задача 3. данные'!$H:$H,'задача 3.2'!G$1,'задача 3. данные'!$E:$E,"&lt;=6"))/
COUNTIFS('задача 3. данные'!$A:$A,'задача 3.2'!$A7,'задача 3. данные'!$H:$H,'задача 3.2'!G$1,'задача 3. данные'!$E:$E,"&gt;=0"),"")</f>
        <v>0</v>
      </c>
      <c r="H7" s="26">
        <f>IFERROR(
(COUNTIFS('задача 3. данные'!$A:$A,'задача 3.2'!$A7,'задача 3. данные'!$H:$H,'задача 3.2'!H$1,'задача 3. данные'!$E:$E,"&gt;=9")-
COUNTIFS('задача 3. данные'!$A:$A,'задача 3.2'!$A7,'задача 3. данные'!$H:$H,'задача 3.2'!H$1,'задача 3. данные'!$E:$E,"&lt;=6"))/
COUNTIFS('задача 3. данные'!$A:$A,'задача 3.2'!$A7,'задача 3. данные'!$H:$H,'задача 3.2'!H$1,'задача 3. данные'!$E:$E,"&gt;=0"),"")</f>
        <v>-0.1111111111111111</v>
      </c>
      <c r="I7" s="26">
        <f>IFERROR(
(COUNTIFS('задача 3. данные'!$A:$A,'задача 3.2'!$A7,'задача 3. данные'!$H:$H,'задача 3.2'!I$1,'задача 3. данные'!$E:$E,"&gt;=9")-
COUNTIFS('задача 3. данные'!$A:$A,'задача 3.2'!$A7,'задача 3. данные'!$H:$H,'задача 3.2'!I$1,'задача 3. данные'!$E:$E,"&lt;=6"))/
COUNTIFS('задача 3. данные'!$A:$A,'задача 3.2'!$A7,'задача 3. данные'!$H:$H,'задача 3.2'!I$1,'задача 3. данные'!$E:$E,"&gt;=0"),"")</f>
        <v>-0.5</v>
      </c>
      <c r="J7" s="26">
        <f>IFERROR(
(COUNTIFS('задача 3. данные'!$A:$A,'задача 3.2'!$A7,'задача 3. данные'!$H:$H,'задача 3.2'!J$1,'задача 3. данные'!$E:$E,"&gt;=9")-
COUNTIFS('задача 3. данные'!$A:$A,'задача 3.2'!$A7,'задача 3. данные'!$H:$H,'задача 3.2'!J$1,'задача 3. данные'!$E:$E,"&lt;=6"))/
COUNTIFS('задача 3. данные'!$A:$A,'задача 3.2'!$A7,'задача 3. данные'!$H:$H,'задача 3.2'!J$1,'задача 3. данные'!$E:$E,"&gt;=0"),"")</f>
        <v>-0.7142857142857143</v>
      </c>
      <c r="K7" s="26">
        <f>IFERROR(
(COUNTIFS('задача 3. данные'!$A:$A,'задача 3.2'!$A7,'задача 3. данные'!$H:$H,'задача 3.2'!K$1,'задача 3. данные'!$E:$E,"&gt;=9")-
COUNTIFS('задача 3. данные'!$A:$A,'задача 3.2'!$A7,'задача 3. данные'!$H:$H,'задача 3.2'!K$1,'задача 3. данные'!$E:$E,"&lt;=6"))/
COUNTIFS('задача 3. данные'!$A:$A,'задача 3.2'!$A7,'задача 3. данные'!$H:$H,'задача 3.2'!K$1,'задача 3. данные'!$E:$E,"&gt;=0"),"")</f>
        <v>-0.5</v>
      </c>
      <c r="L7" s="26">
        <f>IFERROR(
(COUNTIFS('задача 3. данные'!$A:$A,'задача 3.2'!$A7,'задача 3. данные'!$H:$H,'задача 3.2'!L$1,'задача 3. данные'!$E:$E,"&gt;=9")-
COUNTIFS('задача 3. данные'!$A:$A,'задача 3.2'!$A7,'задача 3. данные'!$H:$H,'задача 3.2'!L$1,'задача 3. данные'!$E:$E,"&lt;=6"))/
COUNTIFS('задача 3. данные'!$A:$A,'задача 3.2'!$A7,'задача 3. данные'!$H:$H,'задача 3.2'!L$1,'задача 3. данные'!$E:$E,"&gt;=0"),"")</f>
        <v>-0.44444444444444442</v>
      </c>
      <c r="M7" s="26">
        <f>IFERROR(
(COUNTIFS('задача 3. данные'!$A:$A,'задача 3.2'!$A7,'задача 3. данные'!$H:$H,'задача 3.2'!M$1,'задача 3. данные'!$E:$E,"&gt;=9")-
COUNTIFS('задача 3. данные'!$A:$A,'задача 3.2'!$A7,'задача 3. данные'!$H:$H,'задача 3.2'!M$1,'задача 3. данные'!$E:$E,"&lt;=6"))/
COUNTIFS('задача 3. данные'!$A:$A,'задача 3.2'!$A7,'задача 3. данные'!$H:$H,'задача 3.2'!M$1,'задача 3. данные'!$E:$E,"&gt;=0"),"")</f>
        <v>9.0909090909090912E-2</v>
      </c>
      <c r="N7" s="26" t="str">
        <f>IFERROR(
(COUNTIFS('задача 3. данные'!$A:$A,'задача 3.2'!$A7,'задача 3. данные'!$H:$H,'задача 3.2'!N$1,'задача 3. данные'!$E:$E,"&gt;=9")-
COUNTIFS('задача 3. данные'!$A:$A,'задача 3.2'!$A7,'задача 3. данные'!$H:$H,'задача 3.2'!N$1,'задача 3. данные'!$E:$E,"&lt;=6"))/
COUNTIFS('задача 3. данные'!$A:$A,'задача 3.2'!$A7,'задача 3. данные'!$H:$H,'задача 3.2'!N$1,'задача 3. данные'!$E:$E,"&gt;=0"),"")</f>
        <v/>
      </c>
    </row>
    <row r="8" spans="1:14" x14ac:dyDescent="0.25">
      <c r="A8" s="7" t="s">
        <v>36</v>
      </c>
      <c r="B8" s="26">
        <f>IFERROR(
(COUNTIFS('задача 3. данные'!$A:$A,'задача 3.2'!$A8,'задача 3. данные'!$H:$H,'задача 3.2'!B$1,'задача 3. данные'!$E:$E,"&gt;=9")-
COUNTIFS('задача 3. данные'!$A:$A,'задача 3.2'!$A8,'задача 3. данные'!$H:$H,'задача 3.2'!B$1,'задача 3. данные'!$E:$E,"&lt;=6"))/
COUNTIFS('задача 3. данные'!$A:$A,'задача 3.2'!$A8,'задача 3. данные'!$H:$H,'задача 3.2'!B$1,'задача 3. данные'!$E:$E,"&gt;=0"),"")</f>
        <v>-0.6</v>
      </c>
      <c r="C8" s="26">
        <f>IFERROR(
(COUNTIFS('задача 3. данные'!$A:$A,'задача 3.2'!$A8,'задача 3. данные'!$H:$H,'задача 3.2'!C$1,'задача 3. данные'!$E:$E,"&gt;=9")-
COUNTIFS('задача 3. данные'!$A:$A,'задача 3.2'!$A8,'задача 3. данные'!$H:$H,'задача 3.2'!C$1,'задача 3. данные'!$E:$E,"&lt;=6"))/
COUNTIFS('задача 3. данные'!$A:$A,'задача 3.2'!$A8,'задача 3. данные'!$H:$H,'задача 3.2'!C$1,'задача 3. данные'!$E:$E,"&gt;=0"),"")</f>
        <v>-0.4</v>
      </c>
      <c r="D8" s="26">
        <f>IFERROR(
(COUNTIFS('задача 3. данные'!$A:$A,'задача 3.2'!$A8,'задача 3. данные'!$H:$H,'задача 3.2'!D$1,'задача 3. данные'!$E:$E,"&gt;=9")-
COUNTIFS('задача 3. данные'!$A:$A,'задача 3.2'!$A8,'задача 3. данные'!$H:$H,'задача 3.2'!D$1,'задача 3. данные'!$E:$E,"&lt;=6"))/
COUNTIFS('задача 3. данные'!$A:$A,'задача 3.2'!$A8,'задача 3. данные'!$H:$H,'задача 3.2'!D$1,'задача 3. данные'!$E:$E,"&gt;=0"),"")</f>
        <v>-0.44444444444444442</v>
      </c>
      <c r="E8" s="26">
        <f>IFERROR(
(COUNTIFS('задача 3. данные'!$A:$A,'задача 3.2'!$A8,'задача 3. данные'!$H:$H,'задача 3.2'!E$1,'задача 3. данные'!$E:$E,"&gt;=9")-
COUNTIFS('задача 3. данные'!$A:$A,'задача 3.2'!$A8,'задача 3. данные'!$H:$H,'задача 3.2'!E$1,'задача 3. данные'!$E:$E,"&lt;=6"))/
COUNTIFS('задача 3. данные'!$A:$A,'задача 3.2'!$A8,'задача 3. данные'!$H:$H,'задача 3.2'!E$1,'задача 3. данные'!$E:$E,"&gt;=0"),"")</f>
        <v>-0.42857142857142855</v>
      </c>
      <c r="F8" s="26">
        <f>IFERROR(
(COUNTIFS('задача 3. данные'!$A:$A,'задача 3.2'!$A8,'задача 3. данные'!$H:$H,'задача 3.2'!F$1,'задача 3. данные'!$E:$E,"&gt;=9")-
COUNTIFS('задача 3. данные'!$A:$A,'задача 3.2'!$A8,'задача 3. данные'!$H:$H,'задача 3.2'!F$1,'задача 3. данные'!$E:$E,"&lt;=6"))/
COUNTIFS('задача 3. данные'!$A:$A,'задача 3.2'!$A8,'задача 3. данные'!$H:$H,'задача 3.2'!F$1,'задача 3. данные'!$E:$E,"&gt;=0"),"")</f>
        <v>-0.14285714285714285</v>
      </c>
      <c r="G8" s="26">
        <f>IFERROR(
(COUNTIFS('задача 3. данные'!$A:$A,'задача 3.2'!$A8,'задача 3. данные'!$H:$H,'задача 3.2'!G$1,'задача 3. данные'!$E:$E,"&gt;=9")-
COUNTIFS('задача 3. данные'!$A:$A,'задача 3.2'!$A8,'задача 3. данные'!$H:$H,'задача 3.2'!G$1,'задача 3. данные'!$E:$E,"&lt;=6"))/
COUNTIFS('задача 3. данные'!$A:$A,'задача 3.2'!$A8,'задача 3. данные'!$H:$H,'задача 3.2'!G$1,'задача 3. данные'!$E:$E,"&gt;=0"),"")</f>
        <v>0.22222222222222221</v>
      </c>
      <c r="H8" s="26">
        <f>IFERROR(
(COUNTIFS('задача 3. данные'!$A:$A,'задача 3.2'!$A8,'задача 3. данные'!$H:$H,'задача 3.2'!H$1,'задача 3. данные'!$E:$E,"&gt;=9")-
COUNTIFS('задача 3. данные'!$A:$A,'задача 3.2'!$A8,'задача 3. данные'!$H:$H,'задача 3.2'!H$1,'задача 3. данные'!$E:$E,"&lt;=6"))/
COUNTIFS('задача 3. данные'!$A:$A,'задача 3.2'!$A8,'задача 3. данные'!$H:$H,'задача 3.2'!H$1,'задача 3. данные'!$E:$E,"&gt;=0"),"")</f>
        <v>-0.42857142857142855</v>
      </c>
      <c r="I8" s="26">
        <f>IFERROR(
(COUNTIFS('задача 3. данные'!$A:$A,'задача 3.2'!$A8,'задача 3. данные'!$H:$H,'задача 3.2'!I$1,'задача 3. данные'!$E:$E,"&gt;=9")-
COUNTIFS('задача 3. данные'!$A:$A,'задача 3.2'!$A8,'задача 3. данные'!$H:$H,'задача 3.2'!I$1,'задача 3. данные'!$E:$E,"&lt;=6"))/
COUNTIFS('задача 3. данные'!$A:$A,'задача 3.2'!$A8,'задача 3. данные'!$H:$H,'задача 3.2'!I$1,'задача 3. данные'!$E:$E,"&gt;=0"),"")</f>
        <v>-0.33333333333333331</v>
      </c>
      <c r="J8" s="26">
        <f>IFERROR(
(COUNTIFS('задача 3. данные'!$A:$A,'задача 3.2'!$A8,'задача 3. данные'!$H:$H,'задача 3.2'!J$1,'задача 3. данные'!$E:$E,"&gt;=9")-
COUNTIFS('задача 3. данные'!$A:$A,'задача 3.2'!$A8,'задача 3. данные'!$H:$H,'задача 3.2'!J$1,'задача 3. данные'!$E:$E,"&lt;=6"))/
COUNTIFS('задача 3. данные'!$A:$A,'задача 3.2'!$A8,'задача 3. данные'!$H:$H,'задача 3.2'!J$1,'задача 3. данные'!$E:$E,"&gt;=0"),"")</f>
        <v>-0.16666666666666666</v>
      </c>
      <c r="K8" s="26">
        <f>IFERROR(
(COUNTIFS('задача 3. данные'!$A:$A,'задача 3.2'!$A8,'задача 3. данные'!$H:$H,'задача 3.2'!K$1,'задача 3. данные'!$E:$E,"&gt;=9")-
COUNTIFS('задача 3. данные'!$A:$A,'задача 3.2'!$A8,'задача 3. данные'!$H:$H,'задача 3.2'!K$1,'задача 3. данные'!$E:$E,"&lt;=6"))/
COUNTIFS('задача 3. данные'!$A:$A,'задача 3.2'!$A8,'задача 3. данные'!$H:$H,'задача 3.2'!K$1,'задача 3. данные'!$E:$E,"&gt;=0"),"")</f>
        <v>-0.33333333333333331</v>
      </c>
      <c r="L8" s="26">
        <f>IFERROR(
(COUNTIFS('задача 3. данные'!$A:$A,'задача 3.2'!$A8,'задача 3. данные'!$H:$H,'задача 3.2'!L$1,'задача 3. данные'!$E:$E,"&gt;=9")-
COUNTIFS('задача 3. данные'!$A:$A,'задача 3.2'!$A8,'задача 3. данные'!$H:$H,'задача 3.2'!L$1,'задача 3. данные'!$E:$E,"&lt;=6"))/
COUNTIFS('задача 3. данные'!$A:$A,'задача 3.2'!$A8,'задача 3. данные'!$H:$H,'задача 3.2'!L$1,'задача 3. данные'!$E:$E,"&gt;=0"),"")</f>
        <v>-0.125</v>
      </c>
      <c r="M8" s="26">
        <f>IFERROR(
(COUNTIFS('задача 3. данные'!$A:$A,'задача 3.2'!$A8,'задача 3. данные'!$H:$H,'задача 3.2'!M$1,'задача 3. данные'!$E:$E,"&gt;=9")-
COUNTIFS('задача 3. данные'!$A:$A,'задача 3.2'!$A8,'задача 3. данные'!$H:$H,'задача 3.2'!M$1,'задача 3. данные'!$E:$E,"&lt;=6"))/
COUNTIFS('задача 3. данные'!$A:$A,'задача 3.2'!$A8,'задача 3. данные'!$H:$H,'задача 3.2'!M$1,'задача 3. данные'!$E:$E,"&gt;=0"),"")</f>
        <v>-0.33333333333333331</v>
      </c>
      <c r="N8" s="26" t="str">
        <f>IFERROR(
(COUNTIFS('задача 3. данные'!$A:$A,'задача 3.2'!$A8,'задача 3. данные'!$H:$H,'задача 3.2'!N$1,'задача 3. данные'!$E:$E,"&gt;=9")-
COUNTIFS('задача 3. данные'!$A:$A,'задача 3.2'!$A8,'задача 3. данные'!$H:$H,'задача 3.2'!N$1,'задача 3. данные'!$E:$E,"&lt;=6"))/
COUNTIFS('задача 3. данные'!$A:$A,'задача 3.2'!$A8,'задача 3. данные'!$H:$H,'задача 3.2'!N$1,'задача 3. данные'!$E:$E,"&gt;=0"),"")</f>
        <v/>
      </c>
    </row>
    <row r="9" spans="1:14" x14ac:dyDescent="0.25">
      <c r="A9" s="7" t="s">
        <v>46</v>
      </c>
      <c r="B9" s="26">
        <f>IFERROR(
(COUNTIFS('задача 3. данные'!$A:$A,'задача 3.2'!$A9,'задача 3. данные'!$H:$H,'задача 3.2'!B$1,'задача 3. данные'!$E:$E,"&gt;=9")-
COUNTIFS('задача 3. данные'!$A:$A,'задача 3.2'!$A9,'задача 3. данные'!$H:$H,'задача 3.2'!B$1,'задача 3. данные'!$E:$E,"&lt;=6"))/
COUNTIFS('задача 3. данные'!$A:$A,'задача 3.2'!$A9,'задача 3. данные'!$H:$H,'задача 3.2'!B$1,'задача 3. данные'!$E:$E,"&gt;=0"),"")</f>
        <v>-0.5</v>
      </c>
      <c r="C9" s="26">
        <f>IFERROR(
(COUNTIFS('задача 3. данные'!$A:$A,'задача 3.2'!$A9,'задача 3. данные'!$H:$H,'задача 3.2'!C$1,'задача 3. данные'!$E:$E,"&gt;=9")-
COUNTIFS('задача 3. данные'!$A:$A,'задача 3.2'!$A9,'задача 3. данные'!$H:$H,'задача 3.2'!C$1,'задача 3. данные'!$E:$E,"&lt;=6"))/
COUNTIFS('задача 3. данные'!$A:$A,'задача 3.2'!$A9,'задача 3. данные'!$H:$H,'задача 3.2'!C$1,'задача 3. данные'!$E:$E,"&gt;=0"),"")</f>
        <v>-0.15384615384615385</v>
      </c>
      <c r="D9" s="26">
        <f>IFERROR(
(COUNTIFS('задача 3. данные'!$A:$A,'задача 3.2'!$A9,'задача 3. данные'!$H:$H,'задача 3.2'!D$1,'задача 3. данные'!$E:$E,"&gt;=9")-
COUNTIFS('задача 3. данные'!$A:$A,'задача 3.2'!$A9,'задача 3. данные'!$H:$H,'задача 3.2'!D$1,'задача 3. данные'!$E:$E,"&lt;=6"))/
COUNTIFS('задача 3. данные'!$A:$A,'задача 3.2'!$A9,'задача 3. данные'!$H:$H,'задача 3.2'!D$1,'задача 3. данные'!$E:$E,"&gt;=0"),"")</f>
        <v>-0.81818181818181823</v>
      </c>
      <c r="E9" s="26">
        <f>IFERROR(
(COUNTIFS('задача 3. данные'!$A:$A,'задача 3.2'!$A9,'задача 3. данные'!$H:$H,'задача 3.2'!E$1,'задача 3. данные'!$E:$E,"&gt;=9")-
COUNTIFS('задача 3. данные'!$A:$A,'задача 3.2'!$A9,'задача 3. данные'!$H:$H,'задача 3.2'!E$1,'задача 3. данные'!$E:$E,"&lt;=6"))/
COUNTIFS('задача 3. данные'!$A:$A,'задача 3.2'!$A9,'задача 3. данные'!$H:$H,'задача 3.2'!E$1,'задача 3. данные'!$E:$E,"&gt;=0"),"")</f>
        <v>0</v>
      </c>
      <c r="F9" s="26">
        <f>IFERROR(
(COUNTIFS('задача 3. данные'!$A:$A,'задача 3.2'!$A9,'задача 3. данные'!$H:$H,'задача 3.2'!F$1,'задача 3. данные'!$E:$E,"&gt;=9")-
COUNTIFS('задача 3. данные'!$A:$A,'задача 3.2'!$A9,'задача 3. данные'!$H:$H,'задача 3.2'!F$1,'задача 3. данные'!$E:$E,"&lt;=6"))/
COUNTIFS('задача 3. данные'!$A:$A,'задача 3.2'!$A9,'задача 3. данные'!$H:$H,'задача 3.2'!F$1,'задача 3. данные'!$E:$E,"&gt;=0"),"")</f>
        <v>-0.18181818181818182</v>
      </c>
      <c r="G9" s="26">
        <f>IFERROR(
(COUNTIFS('задача 3. данные'!$A:$A,'задача 3.2'!$A9,'задача 3. данные'!$H:$H,'задача 3.2'!G$1,'задача 3. данные'!$E:$E,"&gt;=9")-
COUNTIFS('задача 3. данные'!$A:$A,'задача 3.2'!$A9,'задача 3. данные'!$H:$H,'задача 3.2'!G$1,'задача 3. данные'!$E:$E,"&lt;=6"))/
COUNTIFS('задача 3. данные'!$A:$A,'задача 3.2'!$A9,'задача 3. данные'!$H:$H,'задача 3.2'!G$1,'задача 3. данные'!$E:$E,"&gt;=0"),"")</f>
        <v>-0.4</v>
      </c>
      <c r="H9" s="26">
        <f>IFERROR(
(COUNTIFS('задача 3. данные'!$A:$A,'задача 3.2'!$A9,'задача 3. данные'!$H:$H,'задача 3.2'!H$1,'задача 3. данные'!$E:$E,"&gt;=9")-
COUNTIFS('задача 3. данные'!$A:$A,'задача 3.2'!$A9,'задача 3. данные'!$H:$H,'задача 3.2'!H$1,'задача 3. данные'!$E:$E,"&lt;=6"))/
COUNTIFS('задача 3. данные'!$A:$A,'задача 3.2'!$A9,'задача 3. данные'!$H:$H,'задача 3.2'!H$1,'задача 3. данные'!$E:$E,"&gt;=0"),"")</f>
        <v>-0.22222222222222221</v>
      </c>
      <c r="I9" s="26">
        <f>IFERROR(
(COUNTIFS('задача 3. данные'!$A:$A,'задача 3.2'!$A9,'задача 3. данные'!$H:$H,'задача 3.2'!I$1,'задача 3. данные'!$E:$E,"&gt;=9")-
COUNTIFS('задача 3. данные'!$A:$A,'задача 3.2'!$A9,'задача 3. данные'!$H:$H,'задача 3.2'!I$1,'задача 3. данные'!$E:$E,"&lt;=6"))/
COUNTIFS('задача 3. данные'!$A:$A,'задача 3.2'!$A9,'задача 3. данные'!$H:$H,'задача 3.2'!I$1,'задача 3. данные'!$E:$E,"&gt;=0"),"")</f>
        <v>-0.84615384615384615</v>
      </c>
      <c r="J9" s="26">
        <f>IFERROR(
(COUNTIFS('задача 3. данные'!$A:$A,'задача 3.2'!$A9,'задача 3. данные'!$H:$H,'задача 3.2'!J$1,'задача 3. данные'!$E:$E,"&gt;=9")-
COUNTIFS('задача 3. данные'!$A:$A,'задача 3.2'!$A9,'задача 3. данные'!$H:$H,'задача 3.2'!J$1,'задача 3. данные'!$E:$E,"&lt;=6"))/
COUNTIFS('задача 3. данные'!$A:$A,'задача 3.2'!$A9,'задача 3. данные'!$H:$H,'задача 3.2'!J$1,'задача 3. данные'!$E:$E,"&gt;=0"),"")</f>
        <v>0.14285714285714285</v>
      </c>
      <c r="K9" s="26">
        <f>IFERROR(
(COUNTIFS('задача 3. данные'!$A:$A,'задача 3.2'!$A9,'задача 3. данные'!$H:$H,'задача 3.2'!K$1,'задача 3. данные'!$E:$E,"&gt;=9")-
COUNTIFS('задача 3. данные'!$A:$A,'задача 3.2'!$A9,'задача 3. данные'!$H:$H,'задача 3.2'!K$1,'задача 3. данные'!$E:$E,"&lt;=6"))/
COUNTIFS('задача 3. данные'!$A:$A,'задача 3.2'!$A9,'задача 3. данные'!$H:$H,'задача 3.2'!K$1,'задача 3. данные'!$E:$E,"&gt;=0"),"")</f>
        <v>-0.125</v>
      </c>
      <c r="L9" s="26">
        <f>IFERROR(
(COUNTIFS('задача 3. данные'!$A:$A,'задача 3.2'!$A9,'задача 3. данные'!$H:$H,'задача 3.2'!L$1,'задача 3. данные'!$E:$E,"&gt;=9")-
COUNTIFS('задача 3. данные'!$A:$A,'задача 3.2'!$A9,'задача 3. данные'!$H:$H,'задача 3.2'!L$1,'задача 3. данные'!$E:$E,"&lt;=6"))/
COUNTIFS('задача 3. данные'!$A:$A,'задача 3.2'!$A9,'задача 3. данные'!$H:$H,'задача 3.2'!L$1,'задача 3. данные'!$E:$E,"&gt;=0"),"")</f>
        <v>-0.45454545454545453</v>
      </c>
      <c r="M9" s="26">
        <f>IFERROR(
(COUNTIFS('задача 3. данные'!$A:$A,'задача 3.2'!$A9,'задача 3. данные'!$H:$H,'задача 3.2'!M$1,'задача 3. данные'!$E:$E,"&gt;=9")-
COUNTIFS('задача 3. данные'!$A:$A,'задача 3.2'!$A9,'задача 3. данные'!$H:$H,'задача 3.2'!M$1,'задача 3. данные'!$E:$E,"&lt;=6"))/
COUNTIFS('задача 3. данные'!$A:$A,'задача 3.2'!$A9,'задача 3. данные'!$H:$H,'задача 3.2'!M$1,'задача 3. данные'!$E:$E,"&gt;=0"),"")</f>
        <v>-0.5</v>
      </c>
      <c r="N9" s="26" t="str">
        <f>IFERROR(
(COUNTIFS('задача 3. данные'!$A:$A,'задача 3.2'!$A9,'задача 3. данные'!$H:$H,'задача 3.2'!N$1,'задача 3. данные'!$E:$E,"&gt;=9")-
COUNTIFS('задача 3. данные'!$A:$A,'задача 3.2'!$A9,'задача 3. данные'!$H:$H,'задача 3.2'!N$1,'задача 3. данные'!$E:$E,"&lt;=6"))/
COUNTIFS('задача 3. данные'!$A:$A,'задача 3.2'!$A9,'задача 3. данные'!$H:$H,'задача 3.2'!N$1,'задача 3. данные'!$E:$E,"&gt;=0"),"")</f>
        <v/>
      </c>
    </row>
    <row r="10" spans="1:14" x14ac:dyDescent="0.25">
      <c r="A10" s="7" t="s">
        <v>12</v>
      </c>
      <c r="B10" s="26">
        <f>IFERROR(
(COUNTIFS('задача 3. данные'!$A:$A,'задача 3.2'!$A10,'задача 3. данные'!$H:$H,'задача 3.2'!B$1,'задача 3. данные'!$E:$E,"&gt;=9")-
COUNTIFS('задача 3. данные'!$A:$A,'задача 3.2'!$A10,'задача 3. данные'!$H:$H,'задача 3.2'!B$1,'задача 3. данные'!$E:$E,"&lt;=6"))/
COUNTIFS('задача 3. данные'!$A:$A,'задача 3.2'!$A10,'задача 3. данные'!$H:$H,'задача 3.2'!B$1,'задача 3. данные'!$E:$E,"&gt;=0"),"")</f>
        <v>-0.375</v>
      </c>
      <c r="C10" s="26">
        <f>IFERROR(
(COUNTIFS('задача 3. данные'!$A:$A,'задача 3.2'!$A10,'задача 3. данные'!$H:$H,'задача 3.2'!C$1,'задача 3. данные'!$E:$E,"&gt;=9")-
COUNTIFS('задача 3. данные'!$A:$A,'задача 3.2'!$A10,'задача 3. данные'!$H:$H,'задача 3.2'!C$1,'задача 3. данные'!$E:$E,"&lt;=6"))/
COUNTIFS('задача 3. данные'!$A:$A,'задача 3.2'!$A10,'задача 3. данные'!$H:$H,'задача 3.2'!C$1,'задача 3. данные'!$E:$E,"&gt;=0"),"")</f>
        <v>-0.16666666666666666</v>
      </c>
      <c r="D10" s="26">
        <f>IFERROR(
(COUNTIFS('задача 3. данные'!$A:$A,'задача 3.2'!$A10,'задача 3. данные'!$H:$H,'задача 3.2'!D$1,'задача 3. данные'!$E:$E,"&gt;=9")-
COUNTIFS('задача 3. данные'!$A:$A,'задача 3.2'!$A10,'задача 3. данные'!$H:$H,'задача 3.2'!D$1,'задача 3. данные'!$E:$E,"&lt;=6"))/
COUNTIFS('задача 3. данные'!$A:$A,'задача 3.2'!$A10,'задача 3. данные'!$H:$H,'задача 3.2'!D$1,'задача 3. данные'!$E:$E,"&gt;=0"),"")</f>
        <v>-0.33333333333333331</v>
      </c>
      <c r="E10" s="26">
        <f>IFERROR(
(COUNTIFS('задача 3. данные'!$A:$A,'задача 3.2'!$A10,'задача 3. данные'!$H:$H,'задача 3.2'!E$1,'задача 3. данные'!$E:$E,"&gt;=9")-
COUNTIFS('задача 3. данные'!$A:$A,'задача 3.2'!$A10,'задача 3. данные'!$H:$H,'задача 3.2'!E$1,'задача 3. данные'!$E:$E,"&lt;=6"))/
COUNTIFS('задача 3. данные'!$A:$A,'задача 3.2'!$A10,'задача 3. данные'!$H:$H,'задача 3.2'!E$1,'задача 3. данные'!$E:$E,"&gt;=0"),"")</f>
        <v>-0.75</v>
      </c>
      <c r="F10" s="26">
        <f>IFERROR(
(COUNTIFS('задача 3. данные'!$A:$A,'задача 3.2'!$A10,'задача 3. данные'!$H:$H,'задача 3.2'!F$1,'задача 3. данные'!$E:$E,"&gt;=9")-
COUNTIFS('задача 3. данные'!$A:$A,'задача 3.2'!$A10,'задача 3. данные'!$H:$H,'задача 3.2'!F$1,'задача 3. данные'!$E:$E,"&lt;=6"))/
COUNTIFS('задача 3. данные'!$A:$A,'задача 3.2'!$A10,'задача 3. данные'!$H:$H,'задача 3.2'!F$1,'задача 3. данные'!$E:$E,"&gt;=0"),"")</f>
        <v>-0.6</v>
      </c>
      <c r="G10" s="26">
        <f>IFERROR(
(COUNTIFS('задача 3. данные'!$A:$A,'задача 3.2'!$A10,'задача 3. данные'!$H:$H,'задача 3.2'!G$1,'задача 3. данные'!$E:$E,"&gt;=9")-
COUNTIFS('задача 3. данные'!$A:$A,'задача 3.2'!$A10,'задача 3. данные'!$H:$H,'задача 3.2'!G$1,'задача 3. данные'!$E:$E,"&lt;=6"))/
COUNTIFS('задача 3. данные'!$A:$A,'задача 3.2'!$A10,'задача 3. данные'!$H:$H,'задача 3.2'!G$1,'задача 3. данные'!$E:$E,"&gt;=0"),"")</f>
        <v>-0.5714285714285714</v>
      </c>
      <c r="H10" s="26">
        <f>IFERROR(
(COUNTIFS('задача 3. данные'!$A:$A,'задача 3.2'!$A10,'задача 3. данные'!$H:$H,'задача 3.2'!H$1,'задача 3. данные'!$E:$E,"&gt;=9")-
COUNTIFS('задача 3. данные'!$A:$A,'задача 3.2'!$A10,'задача 3. данные'!$H:$H,'задача 3.2'!H$1,'задача 3. данные'!$E:$E,"&lt;=6"))/
COUNTIFS('задача 3. данные'!$A:$A,'задача 3.2'!$A10,'задача 3. данные'!$H:$H,'задача 3.2'!H$1,'задача 3. данные'!$E:$E,"&gt;=0"),"")</f>
        <v>-1</v>
      </c>
      <c r="I10" s="26">
        <f>IFERROR(
(COUNTIFS('задача 3. данные'!$A:$A,'задача 3.2'!$A10,'задача 3. данные'!$H:$H,'задача 3.2'!I$1,'задача 3. данные'!$E:$E,"&gt;=9")-
COUNTIFS('задача 3. данные'!$A:$A,'задача 3.2'!$A10,'задача 3. данные'!$H:$H,'задача 3.2'!I$1,'задача 3. данные'!$E:$E,"&lt;=6"))/
COUNTIFS('задача 3. данные'!$A:$A,'задача 3.2'!$A10,'задача 3. данные'!$H:$H,'задача 3.2'!I$1,'задача 3. данные'!$E:$E,"&gt;=0"),"")</f>
        <v>-0.44444444444444442</v>
      </c>
      <c r="J10" s="26">
        <f>IFERROR(
(COUNTIFS('задача 3. данные'!$A:$A,'задача 3.2'!$A10,'задача 3. данные'!$H:$H,'задача 3.2'!J$1,'задача 3. данные'!$E:$E,"&gt;=9")-
COUNTIFS('задача 3. данные'!$A:$A,'задача 3.2'!$A10,'задача 3. данные'!$H:$H,'задача 3.2'!J$1,'задача 3. данные'!$E:$E,"&lt;=6"))/
COUNTIFS('задача 3. данные'!$A:$A,'задача 3.2'!$A10,'задача 3. данные'!$H:$H,'задача 3.2'!J$1,'задача 3. данные'!$E:$E,"&gt;=0"),"")</f>
        <v>-0.8571428571428571</v>
      </c>
      <c r="K10" s="26">
        <f>IFERROR(
(COUNTIFS('задача 3. данные'!$A:$A,'задача 3.2'!$A10,'задача 3. данные'!$H:$H,'задача 3.2'!K$1,'задача 3. данные'!$E:$E,"&gt;=9")-
COUNTIFS('задача 3. данные'!$A:$A,'задача 3.2'!$A10,'задача 3. данные'!$H:$H,'задача 3.2'!K$1,'задача 3. данные'!$E:$E,"&lt;=6"))/
COUNTIFS('задача 3. данные'!$A:$A,'задача 3.2'!$A10,'задача 3. данные'!$H:$H,'задача 3.2'!K$1,'задача 3. данные'!$E:$E,"&gt;=0"),"")</f>
        <v>0</v>
      </c>
      <c r="L10" s="26">
        <f>IFERROR(
(COUNTIFS('задача 3. данные'!$A:$A,'задача 3.2'!$A10,'задача 3. данные'!$H:$H,'задача 3.2'!L$1,'задача 3. данные'!$E:$E,"&gt;=9")-
COUNTIFS('задача 3. данные'!$A:$A,'задача 3.2'!$A10,'задача 3. данные'!$H:$H,'задача 3.2'!L$1,'задача 3. данные'!$E:$E,"&lt;=6"))/
COUNTIFS('задача 3. данные'!$A:$A,'задача 3.2'!$A10,'задача 3. данные'!$H:$H,'задача 3.2'!L$1,'задача 3. данные'!$E:$E,"&gt;=0"),"")</f>
        <v>-0.1111111111111111</v>
      </c>
      <c r="M10" s="26">
        <f>IFERROR(
(COUNTIFS('задача 3. данные'!$A:$A,'задача 3.2'!$A10,'задача 3. данные'!$H:$H,'задача 3.2'!M$1,'задача 3. данные'!$E:$E,"&gt;=9")-
COUNTIFS('задача 3. данные'!$A:$A,'задача 3.2'!$A10,'задача 3. данные'!$H:$H,'задача 3.2'!M$1,'задача 3. данные'!$E:$E,"&lt;=6"))/
COUNTIFS('задача 3. данные'!$A:$A,'задача 3.2'!$A10,'задача 3. данные'!$H:$H,'задача 3.2'!M$1,'задача 3. данные'!$E:$E,"&gt;=0"),"")</f>
        <v>0</v>
      </c>
      <c r="N10" s="26" t="str">
        <f>IFERROR(
(COUNTIFS('задача 3. данные'!$A:$A,'задача 3.2'!$A10,'задача 3. данные'!$H:$H,'задача 3.2'!N$1,'задача 3. данные'!$E:$E,"&gt;=9")-
COUNTIFS('задача 3. данные'!$A:$A,'задача 3.2'!$A10,'задача 3. данные'!$H:$H,'задача 3.2'!N$1,'задача 3. данные'!$E:$E,"&lt;=6"))/
COUNTIFS('задача 3. данные'!$A:$A,'задача 3.2'!$A10,'задача 3. данные'!$H:$H,'задача 3.2'!N$1,'задача 3. данные'!$E:$E,"&gt;=0"),"")</f>
        <v/>
      </c>
    </row>
    <row r="11" spans="1:14" x14ac:dyDescent="0.25">
      <c r="A11" s="7" t="s">
        <v>5</v>
      </c>
      <c r="B11" s="26">
        <f>IFERROR(
(COUNTIFS('задача 3. данные'!$A:$A,'задача 3.2'!$A11,'задача 3. данные'!$H:$H,'задача 3.2'!B$1,'задача 3. данные'!$E:$E,"&gt;=9")-
COUNTIFS('задача 3. данные'!$A:$A,'задача 3.2'!$A11,'задача 3. данные'!$H:$H,'задача 3.2'!B$1,'задача 3. данные'!$E:$E,"&lt;=6"))/
COUNTIFS('задача 3. данные'!$A:$A,'задача 3.2'!$A11,'задача 3. данные'!$H:$H,'задача 3.2'!B$1,'задача 3. данные'!$E:$E,"&gt;=0"),"")</f>
        <v>-0.66666666666666663</v>
      </c>
      <c r="C11" s="26">
        <f>IFERROR(
(COUNTIFS('задача 3. данные'!$A:$A,'задача 3.2'!$A11,'задача 3. данные'!$H:$H,'задача 3.2'!C$1,'задача 3. данные'!$E:$E,"&gt;=9")-
COUNTIFS('задача 3. данные'!$A:$A,'задача 3.2'!$A11,'задача 3. данные'!$H:$H,'задача 3.2'!C$1,'задача 3. данные'!$E:$E,"&lt;=6"))/
COUNTIFS('задача 3. данные'!$A:$A,'задача 3.2'!$A11,'задача 3. данные'!$H:$H,'задача 3.2'!C$1,'задача 3. данные'!$E:$E,"&gt;=0"),"")</f>
        <v>0</v>
      </c>
      <c r="D11" s="26">
        <f>IFERROR(
(COUNTIFS('задача 3. данные'!$A:$A,'задача 3.2'!$A11,'задача 3. данные'!$H:$H,'задача 3.2'!D$1,'задача 3. данные'!$E:$E,"&gt;=9")-
COUNTIFS('задача 3. данные'!$A:$A,'задача 3.2'!$A11,'задача 3. данные'!$H:$H,'задача 3.2'!D$1,'задача 3. данные'!$E:$E,"&lt;=6"))/
COUNTIFS('задача 3. данные'!$A:$A,'задача 3.2'!$A11,'задача 3. данные'!$H:$H,'задача 3.2'!D$1,'задача 3. данные'!$E:$E,"&gt;=0"),"")</f>
        <v>1</v>
      </c>
      <c r="E11" s="26">
        <f>IFERROR(
(COUNTIFS('задача 3. данные'!$A:$A,'задача 3.2'!$A11,'задача 3. данные'!$H:$H,'задача 3.2'!E$1,'задача 3. данные'!$E:$E,"&gt;=9")-
COUNTIFS('задача 3. данные'!$A:$A,'задача 3.2'!$A11,'задача 3. данные'!$H:$H,'задача 3.2'!E$1,'задача 3. данные'!$E:$E,"&lt;=6"))/
COUNTIFS('задача 3. данные'!$A:$A,'задача 3.2'!$A11,'задача 3. данные'!$H:$H,'задача 3.2'!E$1,'задача 3. данные'!$E:$E,"&gt;=0"),"")</f>
        <v>-0.44444444444444442</v>
      </c>
      <c r="F11" s="26">
        <f>IFERROR(
(COUNTIFS('задача 3. данные'!$A:$A,'задача 3.2'!$A11,'задача 3. данные'!$H:$H,'задача 3.2'!F$1,'задача 3. данные'!$E:$E,"&gt;=9")-
COUNTIFS('задача 3. данные'!$A:$A,'задача 3.2'!$A11,'задача 3. данные'!$H:$H,'задача 3.2'!F$1,'задача 3. данные'!$E:$E,"&lt;=6"))/
COUNTIFS('задача 3. данные'!$A:$A,'задача 3.2'!$A11,'задача 3. данные'!$H:$H,'задача 3.2'!F$1,'задача 3. данные'!$E:$E,"&gt;=0"),"")</f>
        <v>-0.5714285714285714</v>
      </c>
      <c r="G11" s="26">
        <f>IFERROR(
(COUNTIFS('задача 3. данные'!$A:$A,'задача 3.2'!$A11,'задача 3. данные'!$H:$H,'задача 3.2'!G$1,'задача 3. данные'!$E:$E,"&gt;=9")-
COUNTIFS('задача 3. данные'!$A:$A,'задача 3.2'!$A11,'задача 3. данные'!$H:$H,'задача 3.2'!G$1,'задача 3. данные'!$E:$E,"&lt;=6"))/
COUNTIFS('задача 3. данные'!$A:$A,'задача 3.2'!$A11,'задача 3. данные'!$H:$H,'задача 3.2'!G$1,'задача 3. данные'!$E:$E,"&gt;=0"),"")</f>
        <v>-0.16666666666666666</v>
      </c>
      <c r="H11" s="26">
        <f>IFERROR(
(COUNTIFS('задача 3. данные'!$A:$A,'задача 3.2'!$A11,'задача 3. данные'!$H:$H,'задача 3.2'!H$1,'задача 3. данные'!$E:$E,"&gt;=9")-
COUNTIFS('задача 3. данные'!$A:$A,'задача 3.2'!$A11,'задача 3. данные'!$H:$H,'задача 3.2'!H$1,'задача 3. данные'!$E:$E,"&lt;=6"))/
COUNTIFS('задача 3. данные'!$A:$A,'задача 3.2'!$A11,'задача 3. данные'!$H:$H,'задача 3.2'!H$1,'задача 3. данные'!$E:$E,"&gt;=0"),"")</f>
        <v>0</v>
      </c>
      <c r="I11" s="26">
        <f>IFERROR(
(COUNTIFS('задача 3. данные'!$A:$A,'задача 3.2'!$A11,'задача 3. данные'!$H:$H,'задача 3.2'!I$1,'задача 3. данные'!$E:$E,"&gt;=9")-
COUNTIFS('задача 3. данные'!$A:$A,'задача 3.2'!$A11,'задача 3. данные'!$H:$H,'задача 3.2'!I$1,'задача 3. данные'!$E:$E,"&lt;=6"))/
COUNTIFS('задача 3. данные'!$A:$A,'задача 3.2'!$A11,'задача 3. данные'!$H:$H,'задача 3.2'!I$1,'задача 3. данные'!$E:$E,"&gt;=0"),"")</f>
        <v>-0.16666666666666666</v>
      </c>
      <c r="J11" s="26">
        <f>IFERROR(
(COUNTIFS('задача 3. данные'!$A:$A,'задача 3.2'!$A11,'задача 3. данные'!$H:$H,'задача 3.2'!J$1,'задача 3. данные'!$E:$E,"&gt;=9")-
COUNTIFS('задача 3. данные'!$A:$A,'задача 3.2'!$A11,'задача 3. данные'!$H:$H,'задача 3.2'!J$1,'задача 3. данные'!$E:$E,"&lt;=6"))/
COUNTIFS('задача 3. данные'!$A:$A,'задача 3.2'!$A11,'задача 3. данные'!$H:$H,'задача 3.2'!J$1,'задача 3. данные'!$E:$E,"&gt;=0"),"")</f>
        <v>-0.16666666666666666</v>
      </c>
      <c r="K11" s="26">
        <f>IFERROR(
(COUNTIFS('задача 3. данные'!$A:$A,'задача 3.2'!$A11,'задача 3. данные'!$H:$H,'задача 3.2'!K$1,'задача 3. данные'!$E:$E,"&gt;=9")-
COUNTIFS('задача 3. данные'!$A:$A,'задача 3.2'!$A11,'задача 3. данные'!$H:$H,'задача 3.2'!K$1,'задача 3. данные'!$E:$E,"&lt;=6"))/
COUNTIFS('задача 3. данные'!$A:$A,'задача 3.2'!$A11,'задача 3. данные'!$H:$H,'задача 3.2'!K$1,'задача 3. данные'!$E:$E,"&gt;=0"),"")</f>
        <v>-0.75</v>
      </c>
      <c r="L11" s="26">
        <f>IFERROR(
(COUNTIFS('задача 3. данные'!$A:$A,'задача 3.2'!$A11,'задача 3. данные'!$H:$H,'задача 3.2'!L$1,'задача 3. данные'!$E:$E,"&gt;=9")-
COUNTIFS('задача 3. данные'!$A:$A,'задача 3.2'!$A11,'задача 3. данные'!$H:$H,'задача 3.2'!L$1,'задача 3. данные'!$E:$E,"&lt;=6"))/
COUNTIFS('задача 3. данные'!$A:$A,'задача 3.2'!$A11,'задача 3. данные'!$H:$H,'задача 3.2'!L$1,'задача 3. данные'!$E:$E,"&gt;=0"),"")</f>
        <v>0.14285714285714285</v>
      </c>
      <c r="M11" s="26">
        <f>IFERROR(
(COUNTIFS('задача 3. данные'!$A:$A,'задача 3.2'!$A11,'задача 3. данные'!$H:$H,'задача 3.2'!M$1,'задача 3. данные'!$E:$E,"&gt;=9")-
COUNTIFS('задача 3. данные'!$A:$A,'задача 3.2'!$A11,'задача 3. данные'!$H:$H,'задача 3.2'!M$1,'задача 3. данные'!$E:$E,"&lt;=6"))/
COUNTIFS('задача 3. данные'!$A:$A,'задача 3.2'!$A11,'задача 3. данные'!$H:$H,'задача 3.2'!M$1,'задача 3. данные'!$E:$E,"&gt;=0"),"")</f>
        <v>0</v>
      </c>
      <c r="N11" s="26">
        <f>IFERROR(
(COUNTIFS('задача 3. данные'!$A:$A,'задача 3.2'!$A11,'задача 3. данные'!$H:$H,'задача 3.2'!N$1,'задача 3. данные'!$E:$E,"&gt;=9")-
COUNTIFS('задача 3. данные'!$A:$A,'задача 3.2'!$A11,'задача 3. данные'!$H:$H,'задача 3.2'!N$1,'задача 3. данные'!$E:$E,"&lt;=6"))/
COUNTIFS('задача 3. данные'!$A:$A,'задача 3.2'!$A11,'задача 3. данные'!$H:$H,'задача 3.2'!N$1,'задача 3. данные'!$E:$E,"&gt;=0"),"")</f>
        <v>0</v>
      </c>
    </row>
    <row r="12" spans="1:14" x14ac:dyDescent="0.25">
      <c r="A12" s="7" t="s">
        <v>27</v>
      </c>
      <c r="B12" s="26">
        <f>IFERROR(
(COUNTIFS('задача 3. данные'!$A:$A,'задача 3.2'!$A12,'задача 3. данные'!$H:$H,'задача 3.2'!B$1,'задача 3. данные'!$E:$E,"&gt;=9")-
COUNTIFS('задача 3. данные'!$A:$A,'задача 3.2'!$A12,'задача 3. данные'!$H:$H,'задача 3.2'!B$1,'задача 3. данные'!$E:$E,"&lt;=6"))/
COUNTIFS('задача 3. данные'!$A:$A,'задача 3.2'!$A12,'задача 3. данные'!$H:$H,'задача 3.2'!B$1,'задача 3. данные'!$E:$E,"&gt;=0"),"")</f>
        <v>-0.45454545454545453</v>
      </c>
      <c r="C12" s="26">
        <f>IFERROR(
(COUNTIFS('задача 3. данные'!$A:$A,'задача 3.2'!$A12,'задача 3. данные'!$H:$H,'задача 3.2'!C$1,'задача 3. данные'!$E:$E,"&gt;=9")-
COUNTIFS('задача 3. данные'!$A:$A,'задача 3.2'!$A12,'задача 3. данные'!$H:$H,'задача 3.2'!C$1,'задача 3. данные'!$E:$E,"&lt;=6"))/
COUNTIFS('задача 3. данные'!$A:$A,'задача 3.2'!$A12,'задача 3. данные'!$H:$H,'задача 3.2'!C$1,'задача 3. данные'!$E:$E,"&gt;=0"),"")</f>
        <v>-0.7142857142857143</v>
      </c>
      <c r="D12" s="26">
        <f>IFERROR(
(COUNTIFS('задача 3. данные'!$A:$A,'задача 3.2'!$A12,'задача 3. данные'!$H:$H,'задача 3.2'!D$1,'задача 3. данные'!$E:$E,"&gt;=9")-
COUNTIFS('задача 3. данные'!$A:$A,'задача 3.2'!$A12,'задача 3. данные'!$H:$H,'задача 3.2'!D$1,'задача 3. данные'!$E:$E,"&lt;=6"))/
COUNTIFS('задача 3. данные'!$A:$A,'задача 3.2'!$A12,'задача 3. данные'!$H:$H,'задача 3.2'!D$1,'задача 3. данные'!$E:$E,"&gt;=0"),"")</f>
        <v>0</v>
      </c>
      <c r="E12" s="26">
        <f>IFERROR(
(COUNTIFS('задача 3. данные'!$A:$A,'задача 3.2'!$A12,'задача 3. данные'!$H:$H,'задача 3.2'!E$1,'задача 3. данные'!$E:$E,"&gt;=9")-
COUNTIFS('задача 3. данные'!$A:$A,'задача 3.2'!$A12,'задача 3. данные'!$H:$H,'задача 3.2'!E$1,'задача 3. данные'!$E:$E,"&lt;=6"))/
COUNTIFS('задача 3. данные'!$A:$A,'задача 3.2'!$A12,'задача 3. данные'!$H:$H,'задача 3.2'!E$1,'задача 3. данные'!$E:$E,"&gt;=0"),"")</f>
        <v>-0.14285714285714285</v>
      </c>
      <c r="F12" s="26">
        <f>IFERROR(
(COUNTIFS('задача 3. данные'!$A:$A,'задача 3.2'!$A12,'задача 3. данные'!$H:$H,'задача 3.2'!F$1,'задача 3. данные'!$E:$E,"&gt;=9")-
COUNTIFS('задача 3. данные'!$A:$A,'задача 3.2'!$A12,'задача 3. данные'!$H:$H,'задача 3.2'!F$1,'задача 3. данные'!$E:$E,"&lt;=6"))/
COUNTIFS('задача 3. данные'!$A:$A,'задача 3.2'!$A12,'задача 3. данные'!$H:$H,'задача 3.2'!F$1,'задача 3. данные'!$E:$E,"&gt;=0"),"")</f>
        <v>-0.5</v>
      </c>
      <c r="G12" s="26">
        <f>IFERROR(
(COUNTIFS('задача 3. данные'!$A:$A,'задача 3.2'!$A12,'задача 3. данные'!$H:$H,'задача 3.2'!G$1,'задача 3. данные'!$E:$E,"&gt;=9")-
COUNTIFS('задача 3. данные'!$A:$A,'задача 3.2'!$A12,'задача 3. данные'!$H:$H,'задача 3.2'!G$1,'задача 3. данные'!$E:$E,"&lt;=6"))/
COUNTIFS('задача 3. данные'!$A:$A,'задача 3.2'!$A12,'задача 3. данные'!$H:$H,'задача 3.2'!G$1,'задача 3. данные'!$E:$E,"&gt;=0"),"")</f>
        <v>-0.14285714285714285</v>
      </c>
      <c r="H12" s="26">
        <f>IFERROR(
(COUNTIFS('задача 3. данные'!$A:$A,'задача 3.2'!$A12,'задача 3. данные'!$H:$H,'задача 3.2'!H$1,'задача 3. данные'!$E:$E,"&gt;=9")-
COUNTIFS('задача 3. данные'!$A:$A,'задача 3.2'!$A12,'задача 3. данные'!$H:$H,'задача 3.2'!H$1,'задача 3. данные'!$E:$E,"&lt;=6"))/
COUNTIFS('задача 3. данные'!$A:$A,'задача 3.2'!$A12,'задача 3. данные'!$H:$H,'задача 3.2'!H$1,'задача 3. данные'!$E:$E,"&gt;=0"),"")</f>
        <v>-0.25</v>
      </c>
      <c r="I12" s="26">
        <f>IFERROR(
(COUNTIFS('задача 3. данные'!$A:$A,'задача 3.2'!$A12,'задача 3. данные'!$H:$H,'задача 3.2'!I$1,'задача 3. данные'!$E:$E,"&gt;=9")-
COUNTIFS('задача 3. данные'!$A:$A,'задача 3.2'!$A12,'задача 3. данные'!$H:$H,'задача 3.2'!I$1,'задача 3. данные'!$E:$E,"&lt;=6"))/
COUNTIFS('задача 3. данные'!$A:$A,'задача 3.2'!$A12,'задача 3. данные'!$H:$H,'задача 3.2'!I$1,'задача 3. данные'!$E:$E,"&gt;=0"),"")</f>
        <v>-0.4</v>
      </c>
      <c r="J12" s="26">
        <f>IFERROR(
(COUNTIFS('задача 3. данные'!$A:$A,'задача 3.2'!$A12,'задача 3. данные'!$H:$H,'задача 3.2'!J$1,'задача 3. данные'!$E:$E,"&gt;=9")-
COUNTIFS('задача 3. данные'!$A:$A,'задача 3.2'!$A12,'задача 3. данные'!$H:$H,'задача 3.2'!J$1,'задача 3. данные'!$E:$E,"&lt;=6"))/
COUNTIFS('задача 3. данные'!$A:$A,'задача 3.2'!$A12,'задача 3. данные'!$H:$H,'задача 3.2'!J$1,'задача 3. данные'!$E:$E,"&gt;=0"),"")</f>
        <v>-0.66666666666666663</v>
      </c>
      <c r="K12" s="26">
        <f>IFERROR(
(COUNTIFS('задача 3. данные'!$A:$A,'задача 3.2'!$A12,'задача 3. данные'!$H:$H,'задача 3.2'!K$1,'задача 3. данные'!$E:$E,"&gt;=9")-
COUNTIFS('задача 3. данные'!$A:$A,'задача 3.2'!$A12,'задача 3. данные'!$H:$H,'задача 3.2'!K$1,'задача 3. данные'!$E:$E,"&lt;=6"))/
COUNTIFS('задача 3. данные'!$A:$A,'задача 3.2'!$A12,'задача 3. данные'!$H:$H,'задача 3.2'!K$1,'задача 3. данные'!$E:$E,"&gt;=0"),"")</f>
        <v>0.2857142857142857</v>
      </c>
      <c r="L12" s="26">
        <f>IFERROR(
(COUNTIFS('задача 3. данные'!$A:$A,'задача 3.2'!$A12,'задача 3. данные'!$H:$H,'задача 3.2'!L$1,'задача 3. данные'!$E:$E,"&gt;=9")-
COUNTIFS('задача 3. данные'!$A:$A,'задача 3.2'!$A12,'задача 3. данные'!$H:$H,'задача 3.2'!L$1,'задача 3. данные'!$E:$E,"&lt;=6"))/
COUNTIFS('задача 3. данные'!$A:$A,'задача 3.2'!$A12,'задача 3. данные'!$H:$H,'задача 3.2'!L$1,'задача 3. данные'!$E:$E,"&gt;=0"),"")</f>
        <v>-0.2</v>
      </c>
      <c r="M12" s="26">
        <f>IFERROR(
(COUNTIFS('задача 3. данные'!$A:$A,'задача 3.2'!$A12,'задача 3. данные'!$H:$H,'задача 3.2'!M$1,'задача 3. данные'!$E:$E,"&gt;=9")-
COUNTIFS('задача 3. данные'!$A:$A,'задача 3.2'!$A12,'задача 3. данные'!$H:$H,'задача 3.2'!M$1,'задача 3. данные'!$E:$E,"&lt;=6"))/
COUNTIFS('задача 3. данные'!$A:$A,'задача 3.2'!$A12,'задача 3. данные'!$H:$H,'задача 3.2'!M$1,'задача 3. данные'!$E:$E,"&gt;=0"),"")</f>
        <v>0.5</v>
      </c>
      <c r="N12" s="26" t="str">
        <f>IFERROR(
(COUNTIFS('задача 3. данные'!$A:$A,'задача 3.2'!$A12,'задача 3. данные'!$H:$H,'задача 3.2'!N$1,'задача 3. данные'!$E:$E,"&gt;=9")-
COUNTIFS('задача 3. данные'!$A:$A,'задача 3.2'!$A12,'задача 3. данные'!$H:$H,'задача 3.2'!N$1,'задача 3. данные'!$E:$E,"&lt;=6"))/
COUNTIFS('задача 3. данные'!$A:$A,'задача 3.2'!$A12,'задача 3. данные'!$H:$H,'задача 3.2'!N$1,'задача 3. данные'!$E:$E,"&gt;=0"),"")</f>
        <v/>
      </c>
    </row>
    <row r="13" spans="1:14" x14ac:dyDescent="0.25">
      <c r="A13" s="7" t="s">
        <v>52</v>
      </c>
      <c r="B13" s="26">
        <f>IFERROR(
(COUNTIFS('задача 3. данные'!$A:$A,'задача 3.2'!$A13,'задача 3. данные'!$H:$H,'задача 3.2'!B$1,'задача 3. данные'!$E:$E,"&gt;=9")-
COUNTIFS('задача 3. данные'!$A:$A,'задача 3.2'!$A13,'задача 3. данные'!$H:$H,'задача 3.2'!B$1,'задача 3. данные'!$E:$E,"&lt;=6"))/
COUNTIFS('задача 3. данные'!$A:$A,'задача 3.2'!$A13,'задача 3. данные'!$H:$H,'задача 3.2'!B$1,'задача 3. данные'!$E:$E,"&gt;=0"),"")</f>
        <v>0</v>
      </c>
      <c r="C13" s="26">
        <f>IFERROR(
(COUNTIFS('задача 3. данные'!$A:$A,'задача 3.2'!$A13,'задача 3. данные'!$H:$H,'задача 3.2'!C$1,'задача 3. данные'!$E:$E,"&gt;=9")-
COUNTIFS('задача 3. данные'!$A:$A,'задача 3.2'!$A13,'задача 3. данные'!$H:$H,'задача 3.2'!C$1,'задача 3. данные'!$E:$E,"&lt;=6"))/
COUNTIFS('задача 3. данные'!$A:$A,'задача 3.2'!$A13,'задача 3. данные'!$H:$H,'задача 3.2'!C$1,'задача 3. данные'!$E:$E,"&gt;=0"),"")</f>
        <v>-0.14285714285714285</v>
      </c>
      <c r="D13" s="26">
        <f>IFERROR(
(COUNTIFS('задача 3. данные'!$A:$A,'задача 3.2'!$A13,'задача 3. данные'!$H:$H,'задача 3.2'!D$1,'задача 3. данные'!$E:$E,"&gt;=9")-
COUNTIFS('задача 3. данные'!$A:$A,'задача 3.2'!$A13,'задача 3. данные'!$H:$H,'задача 3.2'!D$1,'задача 3. данные'!$E:$E,"&lt;=6"))/
COUNTIFS('задача 3. данные'!$A:$A,'задача 3.2'!$A13,'задача 3. данные'!$H:$H,'задача 3.2'!D$1,'задача 3. данные'!$E:$E,"&gt;=0"),"")</f>
        <v>-1</v>
      </c>
      <c r="E13" s="26">
        <f>IFERROR(
(COUNTIFS('задача 3. данные'!$A:$A,'задача 3.2'!$A13,'задача 3. данные'!$H:$H,'задача 3.2'!E$1,'задача 3. данные'!$E:$E,"&gt;=9")-
COUNTIFS('задача 3. данные'!$A:$A,'задача 3.2'!$A13,'задача 3. данные'!$H:$H,'задача 3.2'!E$1,'задача 3. данные'!$E:$E,"&lt;=6"))/
COUNTIFS('задача 3. данные'!$A:$A,'задача 3.2'!$A13,'задача 3. данные'!$H:$H,'задача 3.2'!E$1,'задача 3. данные'!$E:$E,"&gt;=0"),"")</f>
        <v>-0.6</v>
      </c>
      <c r="F13" s="26">
        <f>IFERROR(
(COUNTIFS('задача 3. данные'!$A:$A,'задача 3.2'!$A13,'задача 3. данные'!$H:$H,'задача 3.2'!F$1,'задача 3. данные'!$E:$E,"&gt;=9")-
COUNTIFS('задача 3. данные'!$A:$A,'задача 3.2'!$A13,'задача 3. данные'!$H:$H,'задача 3.2'!F$1,'задача 3. данные'!$E:$E,"&lt;=6"))/
COUNTIFS('задача 3. данные'!$A:$A,'задача 3.2'!$A13,'задача 3. данные'!$H:$H,'задача 3.2'!F$1,'задача 3. данные'!$E:$E,"&gt;=0"),"")</f>
        <v>-0.42857142857142855</v>
      </c>
      <c r="G13" s="26">
        <f>IFERROR(
(COUNTIFS('задача 3. данные'!$A:$A,'задача 3.2'!$A13,'задача 3. данные'!$H:$H,'задача 3.2'!G$1,'задача 3. данные'!$E:$E,"&gt;=9")-
COUNTIFS('задача 3. данные'!$A:$A,'задача 3.2'!$A13,'задача 3. данные'!$H:$H,'задача 3.2'!G$1,'задача 3. данные'!$E:$E,"&lt;=6"))/
COUNTIFS('задача 3. данные'!$A:$A,'задача 3.2'!$A13,'задача 3. данные'!$H:$H,'задача 3.2'!G$1,'задача 3. данные'!$E:$E,"&gt;=0"),"")</f>
        <v>-0.66666666666666663</v>
      </c>
      <c r="H13" s="26">
        <f>IFERROR(
(COUNTIFS('задача 3. данные'!$A:$A,'задача 3.2'!$A13,'задача 3. данные'!$H:$H,'задача 3.2'!H$1,'задача 3. данные'!$E:$E,"&gt;=9")-
COUNTIFS('задача 3. данные'!$A:$A,'задача 3.2'!$A13,'задача 3. данные'!$H:$H,'задача 3.2'!H$1,'задача 3. данные'!$E:$E,"&lt;=6"))/
COUNTIFS('задача 3. данные'!$A:$A,'задача 3.2'!$A13,'задача 3. данные'!$H:$H,'задача 3.2'!H$1,'задача 3. данные'!$E:$E,"&gt;=0"),"")</f>
        <v>-0.625</v>
      </c>
      <c r="I13" s="26">
        <f>IFERROR(
(COUNTIFS('задача 3. данные'!$A:$A,'задача 3.2'!$A13,'задача 3. данные'!$H:$H,'задача 3.2'!I$1,'задача 3. данные'!$E:$E,"&gt;=9")-
COUNTIFS('задача 3. данные'!$A:$A,'задача 3.2'!$A13,'задача 3. данные'!$H:$H,'задача 3.2'!I$1,'задача 3. данные'!$E:$E,"&lt;=6"))/
COUNTIFS('задача 3. данные'!$A:$A,'задача 3.2'!$A13,'задача 3. данные'!$H:$H,'задача 3.2'!I$1,'задача 3. данные'!$E:$E,"&gt;=0"),"")</f>
        <v>-1</v>
      </c>
      <c r="J13" s="26">
        <f>IFERROR(
(COUNTIFS('задача 3. данные'!$A:$A,'задача 3.2'!$A13,'задача 3. данные'!$H:$H,'задача 3.2'!J$1,'задача 3. данные'!$E:$E,"&gt;=9")-
COUNTIFS('задача 3. данные'!$A:$A,'задача 3.2'!$A13,'задача 3. данные'!$H:$H,'задача 3.2'!J$1,'задача 3. данные'!$E:$E,"&lt;=6"))/
COUNTIFS('задача 3. данные'!$A:$A,'задача 3.2'!$A13,'задача 3. данные'!$H:$H,'задача 3.2'!J$1,'задача 3. данные'!$E:$E,"&gt;=0"),"")</f>
        <v>-0.5</v>
      </c>
      <c r="K13" s="26">
        <f>IFERROR(
(COUNTIFS('задача 3. данные'!$A:$A,'задача 3.2'!$A13,'задача 3. данные'!$H:$H,'задача 3.2'!K$1,'задача 3. данные'!$E:$E,"&gt;=9")-
COUNTIFS('задача 3. данные'!$A:$A,'задача 3.2'!$A13,'задача 3. данные'!$H:$H,'задача 3.2'!K$1,'задача 3. данные'!$E:$E,"&lt;=6"))/
COUNTIFS('задача 3. данные'!$A:$A,'задача 3.2'!$A13,'задача 3. данные'!$H:$H,'задача 3.2'!K$1,'задача 3. данные'!$E:$E,"&gt;=0"),"")</f>
        <v>-0.25</v>
      </c>
      <c r="L13" s="26">
        <f>IFERROR(
(COUNTIFS('задача 3. данные'!$A:$A,'задача 3.2'!$A13,'задача 3. данные'!$H:$H,'задача 3.2'!L$1,'задача 3. данные'!$E:$E,"&gt;=9")-
COUNTIFS('задача 3. данные'!$A:$A,'задача 3.2'!$A13,'задача 3. данные'!$H:$H,'задача 3.2'!L$1,'задача 3. данные'!$E:$E,"&lt;=6"))/
COUNTIFS('задача 3. данные'!$A:$A,'задача 3.2'!$A13,'задача 3. данные'!$H:$H,'задача 3.2'!L$1,'задача 3. данные'!$E:$E,"&gt;=0"),"")</f>
        <v>0</v>
      </c>
      <c r="M13" s="26">
        <f>IFERROR(
(COUNTIFS('задача 3. данные'!$A:$A,'задача 3.2'!$A13,'задача 3. данные'!$H:$H,'задача 3.2'!M$1,'задача 3. данные'!$E:$E,"&gt;=9")-
COUNTIFS('задача 3. данные'!$A:$A,'задача 3.2'!$A13,'задача 3. данные'!$H:$H,'задача 3.2'!M$1,'задача 3. данные'!$E:$E,"&lt;=6"))/
COUNTIFS('задача 3. данные'!$A:$A,'задача 3.2'!$A13,'задача 3. данные'!$H:$H,'задача 3.2'!M$1,'задача 3. данные'!$E:$E,"&gt;=0"),"")</f>
        <v>-0.4</v>
      </c>
      <c r="N13" s="26" t="str">
        <f>IFERROR(
(COUNTIFS('задача 3. данные'!$A:$A,'задача 3.2'!$A13,'задача 3. данные'!$H:$H,'задача 3.2'!N$1,'задача 3. данные'!$E:$E,"&gt;=9")-
COUNTIFS('задача 3. данные'!$A:$A,'задача 3.2'!$A13,'задача 3. данные'!$H:$H,'задача 3.2'!N$1,'задача 3. данные'!$E:$E,"&lt;=6"))/
COUNTIFS('задача 3. данные'!$A:$A,'задача 3.2'!$A13,'задача 3. данные'!$H:$H,'задача 3.2'!N$1,'задача 3. данные'!$E:$E,"&gt;=0"),"")</f>
        <v/>
      </c>
    </row>
  </sheetData>
  <conditionalFormatting sqref="B2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966B-8B67-4890-8992-786E89A738BF}">
  <dimension ref="A1:N13"/>
  <sheetViews>
    <sheetView topLeftCell="A2" workbookViewId="0">
      <selection activeCell="B2" sqref="B2:N13"/>
    </sheetView>
  </sheetViews>
  <sheetFormatPr defaultRowHeight="15" x14ac:dyDescent="0.25"/>
  <cols>
    <col min="1" max="1" width="30.5703125" bestFit="1" customWidth="1"/>
    <col min="2" max="14" width="12" bestFit="1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 s="28">
        <f>IFERROR(AVERAGEIFS('задача 3. данные'!$D:$D,'задача 3. данные'!$A:$A,'задача 3. данные'!$A2,'задача 3. данные'!$H:$H,'задача 3.3'!B$1),"")</f>
        <v>71124.555555555562</v>
      </c>
      <c r="C2" s="28">
        <f>IFERROR(AVERAGEIFS('задача 3. данные'!$D:$D,'задача 3. данные'!$A:$A,'задача 3. данные'!$A2,'задача 3. данные'!$H:$H,'задача 3.3'!C$1),"")</f>
        <v>60299.857142857145</v>
      </c>
      <c r="D2" s="28">
        <f>IFERROR(AVERAGEIFS('задача 3. данные'!$D:$D,'задача 3. данные'!$A:$A,'задача 3. данные'!$A2,'задача 3. данные'!$H:$H,'задача 3.3'!D$1),"")</f>
        <v>49575</v>
      </c>
      <c r="E2" s="28">
        <f>IFERROR(AVERAGEIFS('задача 3. данные'!$D:$D,'задача 3. данные'!$A:$A,'задача 3. данные'!$A2,'задача 3. данные'!$H:$H,'задача 3.3'!E$1),"")</f>
        <v>39807.333333333336</v>
      </c>
      <c r="F2" s="28">
        <f>IFERROR(AVERAGEIFS('задача 3. данные'!$D:$D,'задача 3. данные'!$A:$A,'задача 3. данные'!$A2,'задача 3. данные'!$H:$H,'задача 3.3'!F$1),"")</f>
        <v>57501.285714285717</v>
      </c>
      <c r="G2" s="28">
        <f>IFERROR(AVERAGEIFS('задача 3. данные'!$D:$D,'задача 3. данные'!$A:$A,'задача 3. данные'!$A2,'задача 3. данные'!$H:$H,'задача 3.3'!G$1),"")</f>
        <v>48980.833333333336</v>
      </c>
      <c r="H2" s="28">
        <f>IFERROR(AVERAGEIFS('задача 3. данные'!$D:$D,'задача 3. данные'!$A:$A,'задача 3. данные'!$A2,'задача 3. данные'!$H:$H,'задача 3.3'!H$1),"")</f>
        <v>58296.714285714283</v>
      </c>
      <c r="I2" s="28">
        <f>IFERROR(AVERAGEIFS('задача 3. данные'!$D:$D,'задача 3. данные'!$A:$A,'задача 3. данные'!$A2,'задача 3. данные'!$H:$H,'задача 3.3'!I$1),"")</f>
        <v>59238.833333333336</v>
      </c>
      <c r="J2" s="28">
        <f>IFERROR(AVERAGEIFS('задача 3. данные'!$D:$D,'задача 3. данные'!$A:$A,'задача 3. данные'!$A2,'задача 3. данные'!$H:$H,'задача 3.3'!J$1),"")</f>
        <v>50767.666666666664</v>
      </c>
      <c r="K2" s="28">
        <f>IFERROR(AVERAGEIFS('задача 3. данные'!$D:$D,'задача 3. данные'!$A:$A,'задача 3. данные'!$A2,'задача 3. данные'!$H:$H,'задача 3.3'!K$1),"")</f>
        <v>58526.875</v>
      </c>
      <c r="L2" s="28">
        <f>IFERROR(AVERAGEIFS('задача 3. данные'!$D:$D,'задача 3. данные'!$A:$A,'задача 3. данные'!$A2,'задача 3. данные'!$H:$H,'задача 3.3'!L$1),"")</f>
        <v>63331.142857142855</v>
      </c>
      <c r="M2" s="28">
        <f>IFERROR(AVERAGEIFS('задача 3. данные'!$D:$D,'задача 3. данные'!$A:$A,'задача 3. данные'!$A2,'задача 3. данные'!$H:$H,'задача 3.3'!M$1),"")</f>
        <v>49949.166666666664</v>
      </c>
      <c r="N2" s="28">
        <f>IFERROR(AVERAGEIFS('задача 3. данные'!$D:$D,'задача 3. данные'!$A:$A,'задача 3. данные'!$A2,'задача 3. данные'!$H:$H,'задача 3.3'!N$1),"")</f>
        <v>72906</v>
      </c>
    </row>
    <row r="3" spans="1:14" x14ac:dyDescent="0.25">
      <c r="A3" s="7" t="s">
        <v>15</v>
      </c>
      <c r="B3" s="28">
        <f>IFERROR(AVERAGEIFS('задача 3. данные'!$D:$D,'задача 3. данные'!$A:$A,'задача 3. данные'!$A3,'задача 3. данные'!$H:$H,'задача 3.3'!B$1),"")</f>
        <v>42514.25</v>
      </c>
      <c r="C3" s="28">
        <f>IFERROR(AVERAGEIFS('задача 3. данные'!$D:$D,'задача 3. данные'!$A:$A,'задача 3. данные'!$A3,'задача 3. данные'!$H:$H,'задача 3.3'!C$1),"")</f>
        <v>49699.199999999997</v>
      </c>
      <c r="D3" s="28">
        <f>IFERROR(AVERAGEIFS('задача 3. данные'!$D:$D,'задача 3. данные'!$A:$A,'задача 3. данные'!$A3,'задача 3. данные'!$H:$H,'задача 3.3'!D$1),"")</f>
        <v>61280.777777777781</v>
      </c>
      <c r="E3" s="28">
        <f>IFERROR(AVERAGEIFS('задача 3. данные'!$D:$D,'задача 3. данные'!$A:$A,'задача 3. данные'!$A3,'задача 3. данные'!$H:$H,'задача 3.3'!E$1),"")</f>
        <v>69123.333333333328</v>
      </c>
      <c r="F3" s="28">
        <f>IFERROR(AVERAGEIFS('задача 3. данные'!$D:$D,'задача 3. данные'!$A:$A,'задача 3. данные'!$A3,'задача 3. данные'!$H:$H,'задача 3.3'!F$1),"")</f>
        <v>52360.333333333336</v>
      </c>
      <c r="G3" s="28">
        <f>IFERROR(AVERAGEIFS('задача 3. данные'!$D:$D,'задача 3. данные'!$A:$A,'задача 3. данные'!$A3,'задача 3. данные'!$H:$H,'задача 3.3'!G$1),"")</f>
        <v>46927.75</v>
      </c>
      <c r="H3" s="28">
        <f>IFERROR(AVERAGEIFS('задача 3. данные'!$D:$D,'задача 3. данные'!$A:$A,'задача 3. данные'!$A3,'задача 3. данные'!$H:$H,'задача 3.3'!H$1),"")</f>
        <v>47920.888888888891</v>
      </c>
      <c r="I3" s="28">
        <f>IFERROR(AVERAGEIFS('задача 3. данные'!$D:$D,'задача 3. данные'!$A:$A,'задача 3. данные'!$A3,'задача 3. данные'!$H:$H,'задача 3.3'!I$1),"")</f>
        <v>77257</v>
      </c>
      <c r="J3" s="28">
        <f>IFERROR(AVERAGEIFS('задача 3. данные'!$D:$D,'задача 3. данные'!$A:$A,'задача 3. данные'!$A3,'задача 3. данные'!$H:$H,'задача 3.3'!J$1),"")</f>
        <v>46406.166666666664</v>
      </c>
      <c r="K3" s="28">
        <f>IFERROR(AVERAGEIFS('задача 3. данные'!$D:$D,'задача 3. данные'!$A:$A,'задача 3. данные'!$A3,'задача 3. данные'!$H:$H,'задача 3.3'!K$1),"")</f>
        <v>41409</v>
      </c>
      <c r="L3" s="28">
        <f>IFERROR(AVERAGEIFS('задача 3. данные'!$D:$D,'задача 3. данные'!$A:$A,'задача 3. данные'!$A3,'задача 3. данные'!$H:$H,'задача 3.3'!L$1),"")</f>
        <v>59128.857142857145</v>
      </c>
      <c r="M3" s="28">
        <f>IFERROR(AVERAGEIFS('задача 3. данные'!$D:$D,'задача 3. данные'!$A:$A,'задача 3. данные'!$A3,'задача 3. данные'!$H:$H,'задача 3.3'!M$1),"")</f>
        <v>49470.5</v>
      </c>
      <c r="N3" s="28" t="str">
        <f>IFERROR(AVERAGEIFS('задача 3. данные'!$D:$D,'задача 3. данные'!$A:$A,'задача 3. данные'!$A3,'задача 3. данные'!$H:$H,'задача 3.3'!N$1),"")</f>
        <v/>
      </c>
    </row>
    <row r="4" spans="1:14" x14ac:dyDescent="0.25">
      <c r="A4" s="7" t="s">
        <v>48</v>
      </c>
      <c r="B4" s="28">
        <f>IFERROR(AVERAGEIFS('задача 3. данные'!$D:$D,'задача 3. данные'!$A:$A,'задача 3. данные'!$A4,'задача 3. данные'!$H:$H,'задача 3.3'!B$1),"")</f>
        <v>48439</v>
      </c>
      <c r="C4" s="28">
        <f>IFERROR(AVERAGEIFS('задача 3. данные'!$D:$D,'задача 3. данные'!$A:$A,'задача 3. данные'!$A4,'задача 3. данные'!$H:$H,'задача 3.3'!C$1),"")</f>
        <v>46160.285714285717</v>
      </c>
      <c r="D4" s="28">
        <f>IFERROR(AVERAGEIFS('задача 3. данные'!$D:$D,'задача 3. данные'!$A:$A,'задача 3. данные'!$A4,'задача 3. данные'!$H:$H,'задача 3.3'!D$1),"")</f>
        <v>38849.833333333336</v>
      </c>
      <c r="E4" s="28">
        <f>IFERROR(AVERAGEIFS('задача 3. данные'!$D:$D,'задача 3. данные'!$A:$A,'задача 3. данные'!$A4,'задача 3. данные'!$H:$H,'задача 3.3'!E$1),"")</f>
        <v>70919</v>
      </c>
      <c r="F4" s="28">
        <f>IFERROR(AVERAGEIFS('задача 3. данные'!$D:$D,'задача 3. данные'!$A:$A,'задача 3. данные'!$A4,'задача 3. данные'!$H:$H,'задача 3.3'!F$1),"")</f>
        <v>59589</v>
      </c>
      <c r="G4" s="28">
        <f>IFERROR(AVERAGEIFS('задача 3. данные'!$D:$D,'задача 3. данные'!$A:$A,'задача 3. данные'!$A4,'задача 3. данные'!$H:$H,'задача 3.3'!G$1),"")</f>
        <v>40459</v>
      </c>
      <c r="H4" s="28">
        <f>IFERROR(AVERAGEIFS('задача 3. данные'!$D:$D,'задача 3. данные'!$A:$A,'задача 3. данные'!$A4,'задача 3. данные'!$H:$H,'задача 3.3'!H$1),"")</f>
        <v>75275.666666666672</v>
      </c>
      <c r="I4" s="28">
        <f>IFERROR(AVERAGEIFS('задача 3. данные'!$D:$D,'задача 3. данные'!$A:$A,'задача 3. данные'!$A4,'задача 3. данные'!$H:$H,'задача 3.3'!I$1),"")</f>
        <v>54387.5</v>
      </c>
      <c r="J4" s="28">
        <f>IFERROR(AVERAGEIFS('задача 3. данные'!$D:$D,'задача 3. данные'!$A:$A,'задача 3. данные'!$A4,'задача 3. данные'!$H:$H,'задача 3.3'!J$1),"")</f>
        <v>52547.75</v>
      </c>
      <c r="K4" s="28">
        <f>IFERROR(AVERAGEIFS('задача 3. данные'!$D:$D,'задача 3. данные'!$A:$A,'задача 3. данные'!$A4,'задача 3. данные'!$H:$H,'задача 3.3'!K$1),"")</f>
        <v>50102</v>
      </c>
      <c r="L4" s="28">
        <f>IFERROR(AVERAGEIFS('задача 3. данные'!$D:$D,'задача 3. данные'!$A:$A,'задача 3. данные'!$A4,'задача 3. данные'!$H:$H,'задача 3.3'!L$1),"")</f>
        <v>58754.125</v>
      </c>
      <c r="M4" s="28">
        <f>IFERROR(AVERAGEIFS('задача 3. данные'!$D:$D,'задача 3. данные'!$A:$A,'задача 3. данные'!$A4,'задача 3. данные'!$H:$H,'задача 3.3'!M$1),"")</f>
        <v>56581.75</v>
      </c>
      <c r="N4" s="28" t="str">
        <f>IFERROR(AVERAGEIFS('задача 3. данные'!$D:$D,'задача 3. данные'!$A:$A,'задача 3. данные'!$A4,'задача 3. данные'!$H:$H,'задача 3.3'!N$1),"")</f>
        <v/>
      </c>
    </row>
    <row r="5" spans="1:14" x14ac:dyDescent="0.25">
      <c r="A5" s="7" t="s">
        <v>23</v>
      </c>
      <c r="B5" s="28">
        <f>IFERROR(AVERAGEIFS('задача 3. данные'!$D:$D,'задача 3. данные'!$A:$A,'задача 3. данные'!$A5,'задача 3. данные'!$H:$H,'задача 3.3'!B$1),"")</f>
        <v>46113.5</v>
      </c>
      <c r="C5" s="28">
        <f>IFERROR(AVERAGEIFS('задача 3. данные'!$D:$D,'задача 3. данные'!$A:$A,'задача 3. данные'!$A5,'задача 3. данные'!$H:$H,'задача 3.3'!C$1),"")</f>
        <v>56964.333333333336</v>
      </c>
      <c r="D5" s="28">
        <f>IFERROR(AVERAGEIFS('задача 3. данные'!$D:$D,'задача 3. данные'!$A:$A,'задача 3. данные'!$A5,'задача 3. данные'!$H:$H,'задача 3.3'!D$1),"")</f>
        <v>25958</v>
      </c>
      <c r="E5" s="28">
        <f>IFERROR(AVERAGEIFS('задача 3. данные'!$D:$D,'задача 3. данные'!$A:$A,'задача 3. данные'!$A5,'задача 3. данные'!$H:$H,'задача 3.3'!E$1),"")</f>
        <v>58114.25</v>
      </c>
      <c r="F5" s="28">
        <f>IFERROR(AVERAGEIFS('задача 3. данные'!$D:$D,'задача 3. данные'!$A:$A,'задача 3. данные'!$A5,'задача 3. данные'!$H:$H,'задача 3.3'!F$1),"")</f>
        <v>54315.6</v>
      </c>
      <c r="G5" s="28">
        <f>IFERROR(AVERAGEIFS('задача 3. данные'!$D:$D,'задача 3. данные'!$A:$A,'задача 3. данные'!$A5,'задача 3. данные'!$H:$H,'задача 3.3'!G$1),"")</f>
        <v>32023.285714285714</v>
      </c>
      <c r="H5" s="28">
        <f>IFERROR(AVERAGEIFS('задача 3. данные'!$D:$D,'задача 3. данные'!$A:$A,'задача 3. данные'!$A5,'задача 3. данные'!$H:$H,'задача 3.3'!H$1),"")</f>
        <v>48109.2</v>
      </c>
      <c r="I5" s="28">
        <f>IFERROR(AVERAGEIFS('задача 3. данные'!$D:$D,'задача 3. данные'!$A:$A,'задача 3. данные'!$A5,'задача 3. данные'!$H:$H,'задача 3.3'!I$1),"")</f>
        <v>59755.888888888891</v>
      </c>
      <c r="J5" s="28">
        <f>IFERROR(AVERAGEIFS('задача 3. данные'!$D:$D,'задача 3. данные'!$A:$A,'задача 3. данные'!$A5,'задача 3. данные'!$H:$H,'задача 3.3'!J$1),"")</f>
        <v>42991.142857142855</v>
      </c>
      <c r="K5" s="28">
        <f>IFERROR(AVERAGEIFS('задача 3. данные'!$D:$D,'задача 3. данные'!$A:$A,'задача 3. данные'!$A5,'задача 3. данные'!$H:$H,'задача 3.3'!K$1),"")</f>
        <v>50409.333333333336</v>
      </c>
      <c r="L5" s="28">
        <f>IFERROR(AVERAGEIFS('задача 3. данные'!$D:$D,'задача 3. данные'!$A:$A,'задача 3. данные'!$A5,'задача 3. данные'!$H:$H,'задача 3.3'!L$1),"")</f>
        <v>65059.888888888891</v>
      </c>
      <c r="M5" s="28">
        <f>IFERROR(AVERAGEIFS('задача 3. данные'!$D:$D,'задача 3. данные'!$A:$A,'задача 3. данные'!$A5,'задача 3. данные'!$H:$H,'задача 3.3'!M$1),"")</f>
        <v>62812.833333333336</v>
      </c>
      <c r="N5" s="28" t="str">
        <f>IFERROR(AVERAGEIFS('задача 3. данные'!$D:$D,'задача 3. данные'!$A:$A,'задача 3. данные'!$A5,'задача 3. данные'!$H:$H,'задача 3.3'!N$1),"")</f>
        <v/>
      </c>
    </row>
    <row r="6" spans="1:14" x14ac:dyDescent="0.25">
      <c r="A6" s="7" t="s">
        <v>10</v>
      </c>
      <c r="B6" s="28">
        <f>IFERROR(AVERAGEIFS('задача 3. данные'!$D:$D,'задача 3. данные'!$A:$A,'задача 3. данные'!$A6,'задача 3. данные'!$H:$H,'задача 3.3'!B$1),"")</f>
        <v>66919.333333333328</v>
      </c>
      <c r="C6" s="28">
        <f>IFERROR(AVERAGEIFS('задача 3. данные'!$D:$D,'задача 3. данные'!$A:$A,'задача 3. данные'!$A6,'задача 3. данные'!$H:$H,'задача 3.3'!C$1),"")</f>
        <v>54863.166666666664</v>
      </c>
      <c r="D6" s="28">
        <f>IFERROR(AVERAGEIFS('задача 3. данные'!$D:$D,'задача 3. данные'!$A:$A,'задача 3. данные'!$A6,'задача 3. данные'!$H:$H,'задача 3.3'!D$1),"")</f>
        <v>59163.5</v>
      </c>
      <c r="E6" s="28">
        <f>IFERROR(AVERAGEIFS('задача 3. данные'!$D:$D,'задача 3. данные'!$A:$A,'задача 3. данные'!$A6,'задача 3. данные'!$H:$H,'задача 3.3'!E$1),"")</f>
        <v>46080.333333333336</v>
      </c>
      <c r="F6" s="28">
        <f>IFERROR(AVERAGEIFS('задача 3. данные'!$D:$D,'задача 3. данные'!$A:$A,'задача 3. данные'!$A6,'задача 3. данные'!$H:$H,'задача 3.3'!F$1),"")</f>
        <v>61251.857142857145</v>
      </c>
      <c r="G6" s="28">
        <f>IFERROR(AVERAGEIFS('задача 3. данные'!$D:$D,'задача 3. данные'!$A:$A,'задача 3. данные'!$A6,'задача 3. данные'!$H:$H,'задача 3.3'!G$1),"")</f>
        <v>42912.75</v>
      </c>
      <c r="H6" s="28">
        <f>IFERROR(AVERAGEIFS('задача 3. данные'!$D:$D,'задача 3. данные'!$A:$A,'задача 3. данные'!$A6,'задача 3. данные'!$H:$H,'задача 3.3'!H$1),"")</f>
        <v>56430</v>
      </c>
      <c r="I6" s="28">
        <f>IFERROR(AVERAGEIFS('задача 3. данные'!$D:$D,'задача 3. данные'!$A:$A,'задача 3. данные'!$A6,'задача 3. данные'!$H:$H,'задача 3.3'!I$1),"")</f>
        <v>59479.8</v>
      </c>
      <c r="J6" s="28">
        <f>IFERROR(AVERAGEIFS('задача 3. данные'!$D:$D,'задача 3. данные'!$A:$A,'задача 3. данные'!$A6,'задача 3. данные'!$H:$H,'задача 3.3'!J$1),"")</f>
        <v>64010.8</v>
      </c>
      <c r="K6" s="28">
        <f>IFERROR(AVERAGEIFS('задача 3. данные'!$D:$D,'задача 3. данные'!$A:$A,'задача 3. данные'!$A6,'задача 3. данные'!$H:$H,'задача 3.3'!K$1),"")</f>
        <v>44851.666666666664</v>
      </c>
      <c r="L6" s="28">
        <f>IFERROR(AVERAGEIFS('задача 3. данные'!$D:$D,'задача 3. данные'!$A:$A,'задача 3. данные'!$A6,'задача 3. данные'!$H:$H,'задача 3.3'!L$1),"")</f>
        <v>49899.199999999997</v>
      </c>
      <c r="M6" s="28">
        <f>IFERROR(AVERAGEIFS('задача 3. данные'!$D:$D,'задача 3. данные'!$A:$A,'задача 3. данные'!$A6,'задача 3. данные'!$H:$H,'задача 3.3'!M$1),"")</f>
        <v>44363</v>
      </c>
      <c r="N6" s="28" t="str">
        <f>IFERROR(AVERAGEIFS('задача 3. данные'!$D:$D,'задача 3. данные'!$A:$A,'задача 3. данные'!$A6,'задача 3. данные'!$H:$H,'задача 3.3'!N$1),"")</f>
        <v/>
      </c>
    </row>
    <row r="7" spans="1:14" x14ac:dyDescent="0.25">
      <c r="A7" s="7" t="s">
        <v>17</v>
      </c>
      <c r="B7" s="28">
        <f>IFERROR(AVERAGEIFS('задача 3. данные'!$D:$D,'задача 3. данные'!$A:$A,'задача 3. данные'!$A7,'задача 3. данные'!$H:$H,'задача 3.3'!B$1),"")</f>
        <v>56495</v>
      </c>
      <c r="C7" s="28">
        <f>IFERROR(AVERAGEIFS('задача 3. данные'!$D:$D,'задача 3. данные'!$A:$A,'задача 3. данные'!$A7,'задача 3. данные'!$H:$H,'задача 3.3'!C$1),"")</f>
        <v>73958</v>
      </c>
      <c r="D7" s="28">
        <f>IFERROR(AVERAGEIFS('задача 3. данные'!$D:$D,'задача 3. данные'!$A:$A,'задача 3. данные'!$A7,'задача 3. данные'!$H:$H,'задача 3.3'!D$1),"")</f>
        <v>60856.166666666664</v>
      </c>
      <c r="E7" s="28">
        <f>IFERROR(AVERAGEIFS('задача 3. данные'!$D:$D,'задача 3. данные'!$A:$A,'задача 3. данные'!$A7,'задача 3. данные'!$H:$H,'задача 3.3'!E$1),"")</f>
        <v>55477.7</v>
      </c>
      <c r="F7" s="28">
        <f>IFERROR(AVERAGEIFS('задача 3. данные'!$D:$D,'задача 3. данные'!$A:$A,'задача 3. данные'!$A7,'задача 3. данные'!$H:$H,'задача 3.3'!F$1),"")</f>
        <v>50835.666666666664</v>
      </c>
      <c r="G7" s="28">
        <f>IFERROR(AVERAGEIFS('задача 3. данные'!$D:$D,'задача 3. данные'!$A:$A,'задача 3. данные'!$A7,'задача 3. данные'!$H:$H,'задача 3.3'!G$1),"")</f>
        <v>55620.909090909088</v>
      </c>
      <c r="H7" s="28">
        <f>IFERROR(AVERAGEIFS('задача 3. данные'!$D:$D,'задача 3. данные'!$A:$A,'задача 3. данные'!$A7,'задача 3. данные'!$H:$H,'задача 3.3'!H$1),"")</f>
        <v>58521.222222222219</v>
      </c>
      <c r="I7" s="28">
        <f>IFERROR(AVERAGEIFS('задача 3. данные'!$D:$D,'задача 3. данные'!$A:$A,'задача 3. данные'!$A7,'задача 3. данные'!$H:$H,'задача 3.3'!I$1),"")</f>
        <v>37718.75</v>
      </c>
      <c r="J7" s="28">
        <f>IFERROR(AVERAGEIFS('задача 3. данные'!$D:$D,'задача 3. данные'!$A:$A,'задача 3. данные'!$A7,'задача 3. данные'!$H:$H,'задача 3.3'!J$1),"")</f>
        <v>54949.428571428572</v>
      </c>
      <c r="K7" s="28">
        <f>IFERROR(AVERAGEIFS('задача 3. данные'!$D:$D,'задача 3. данные'!$A:$A,'задача 3. данные'!$A7,'задача 3. данные'!$H:$H,'задача 3.3'!K$1),"")</f>
        <v>49828.5</v>
      </c>
      <c r="L7" s="28">
        <f>IFERROR(AVERAGEIFS('задача 3. данные'!$D:$D,'задача 3. данные'!$A:$A,'задача 3. данные'!$A7,'задача 3. данные'!$H:$H,'задача 3.3'!L$1),"")</f>
        <v>44178.888888888891</v>
      </c>
      <c r="M7" s="28">
        <f>IFERROR(AVERAGEIFS('задача 3. данные'!$D:$D,'задача 3. данные'!$A:$A,'задача 3. данные'!$A7,'задача 3. данные'!$H:$H,'задача 3.3'!M$1),"")</f>
        <v>59559.454545454544</v>
      </c>
      <c r="N7" s="28" t="str">
        <f>IFERROR(AVERAGEIFS('задача 3. данные'!$D:$D,'задача 3. данные'!$A:$A,'задача 3. данные'!$A7,'задача 3. данные'!$H:$H,'задача 3.3'!N$1),"")</f>
        <v/>
      </c>
    </row>
    <row r="8" spans="1:14" x14ac:dyDescent="0.25">
      <c r="A8" s="7" t="s">
        <v>36</v>
      </c>
      <c r="B8" s="28">
        <f>IFERROR(AVERAGEIFS('задача 3. данные'!$D:$D,'задача 3. данные'!$A:$A,'задача 3. данные'!$A8,'задача 3. данные'!$H:$H,'задача 3.3'!B$1),"")</f>
        <v>42514.25</v>
      </c>
      <c r="C8" s="28">
        <f>IFERROR(AVERAGEIFS('задача 3. данные'!$D:$D,'задача 3. данные'!$A:$A,'задача 3. данные'!$A8,'задача 3. данные'!$H:$H,'задача 3.3'!C$1),"")</f>
        <v>49699.199999999997</v>
      </c>
      <c r="D8" s="28">
        <f>IFERROR(AVERAGEIFS('задача 3. данные'!$D:$D,'задача 3. данные'!$A:$A,'задача 3. данные'!$A8,'задача 3. данные'!$H:$H,'задача 3.3'!D$1),"")</f>
        <v>61280.777777777781</v>
      </c>
      <c r="E8" s="28">
        <f>IFERROR(AVERAGEIFS('задача 3. данные'!$D:$D,'задача 3. данные'!$A:$A,'задача 3. данные'!$A8,'задача 3. данные'!$H:$H,'задача 3.3'!E$1),"")</f>
        <v>69123.333333333328</v>
      </c>
      <c r="F8" s="28">
        <f>IFERROR(AVERAGEIFS('задача 3. данные'!$D:$D,'задача 3. данные'!$A:$A,'задача 3. данные'!$A8,'задача 3. данные'!$H:$H,'задача 3.3'!F$1),"")</f>
        <v>52360.333333333336</v>
      </c>
      <c r="G8" s="28">
        <f>IFERROR(AVERAGEIFS('задача 3. данные'!$D:$D,'задача 3. данные'!$A:$A,'задача 3. данные'!$A8,'задача 3. данные'!$H:$H,'задача 3.3'!G$1),"")</f>
        <v>46927.75</v>
      </c>
      <c r="H8" s="28">
        <f>IFERROR(AVERAGEIFS('задача 3. данные'!$D:$D,'задача 3. данные'!$A:$A,'задача 3. данные'!$A8,'задача 3. данные'!$H:$H,'задача 3.3'!H$1),"")</f>
        <v>47920.888888888891</v>
      </c>
      <c r="I8" s="28">
        <f>IFERROR(AVERAGEIFS('задача 3. данные'!$D:$D,'задача 3. данные'!$A:$A,'задача 3. данные'!$A8,'задача 3. данные'!$H:$H,'задача 3.3'!I$1),"")</f>
        <v>77257</v>
      </c>
      <c r="J8" s="28">
        <f>IFERROR(AVERAGEIFS('задача 3. данные'!$D:$D,'задача 3. данные'!$A:$A,'задача 3. данные'!$A8,'задача 3. данные'!$H:$H,'задача 3.3'!J$1),"")</f>
        <v>46406.166666666664</v>
      </c>
      <c r="K8" s="28">
        <f>IFERROR(AVERAGEIFS('задача 3. данные'!$D:$D,'задача 3. данные'!$A:$A,'задача 3. данные'!$A8,'задача 3. данные'!$H:$H,'задача 3.3'!K$1),"")</f>
        <v>41409</v>
      </c>
      <c r="L8" s="28">
        <f>IFERROR(AVERAGEIFS('задача 3. данные'!$D:$D,'задача 3. данные'!$A:$A,'задача 3. данные'!$A8,'задача 3. данные'!$H:$H,'задача 3.3'!L$1),"")</f>
        <v>59128.857142857145</v>
      </c>
      <c r="M8" s="28">
        <f>IFERROR(AVERAGEIFS('задача 3. данные'!$D:$D,'задача 3. данные'!$A:$A,'задача 3. данные'!$A8,'задача 3. данные'!$H:$H,'задача 3.3'!M$1),"")</f>
        <v>49470.5</v>
      </c>
      <c r="N8" s="28" t="str">
        <f>IFERROR(AVERAGEIFS('задача 3. данные'!$D:$D,'задача 3. данные'!$A:$A,'задача 3. данные'!$A8,'задача 3. данные'!$H:$H,'задача 3.3'!N$1),"")</f>
        <v/>
      </c>
    </row>
    <row r="9" spans="1:14" x14ac:dyDescent="0.25">
      <c r="A9" s="7" t="s">
        <v>46</v>
      </c>
      <c r="B9" s="28">
        <f>IFERROR(AVERAGEIFS('задача 3. данные'!$D:$D,'задача 3. данные'!$A:$A,'задача 3. данные'!$A9,'задача 3. данные'!$H:$H,'задача 3.3'!B$1),"")</f>
        <v>48439</v>
      </c>
      <c r="C9" s="28">
        <f>IFERROR(AVERAGEIFS('задача 3. данные'!$D:$D,'задача 3. данные'!$A:$A,'задача 3. данные'!$A9,'задача 3. данные'!$H:$H,'задача 3.3'!C$1),"")</f>
        <v>46160.285714285717</v>
      </c>
      <c r="D9" s="28">
        <f>IFERROR(AVERAGEIFS('задача 3. данные'!$D:$D,'задача 3. данные'!$A:$A,'задача 3. данные'!$A9,'задача 3. данные'!$H:$H,'задача 3.3'!D$1),"")</f>
        <v>38849.833333333336</v>
      </c>
      <c r="E9" s="28">
        <f>IFERROR(AVERAGEIFS('задача 3. данные'!$D:$D,'задача 3. данные'!$A:$A,'задача 3. данные'!$A9,'задача 3. данные'!$H:$H,'задача 3.3'!E$1),"")</f>
        <v>70919</v>
      </c>
      <c r="F9" s="28">
        <f>IFERROR(AVERAGEIFS('задача 3. данные'!$D:$D,'задача 3. данные'!$A:$A,'задача 3. данные'!$A9,'задача 3. данные'!$H:$H,'задача 3.3'!F$1),"")</f>
        <v>59589</v>
      </c>
      <c r="G9" s="28">
        <f>IFERROR(AVERAGEIFS('задача 3. данные'!$D:$D,'задача 3. данные'!$A:$A,'задача 3. данные'!$A9,'задача 3. данные'!$H:$H,'задача 3.3'!G$1),"")</f>
        <v>40459</v>
      </c>
      <c r="H9" s="28">
        <f>IFERROR(AVERAGEIFS('задача 3. данные'!$D:$D,'задача 3. данные'!$A:$A,'задача 3. данные'!$A9,'задача 3. данные'!$H:$H,'задача 3.3'!H$1),"")</f>
        <v>75275.666666666672</v>
      </c>
      <c r="I9" s="28">
        <f>IFERROR(AVERAGEIFS('задача 3. данные'!$D:$D,'задача 3. данные'!$A:$A,'задача 3. данные'!$A9,'задача 3. данные'!$H:$H,'задача 3.3'!I$1),"")</f>
        <v>54387.5</v>
      </c>
      <c r="J9" s="28">
        <f>IFERROR(AVERAGEIFS('задача 3. данные'!$D:$D,'задача 3. данные'!$A:$A,'задача 3. данные'!$A9,'задача 3. данные'!$H:$H,'задача 3.3'!J$1),"")</f>
        <v>52547.75</v>
      </c>
      <c r="K9" s="28">
        <f>IFERROR(AVERAGEIFS('задача 3. данные'!$D:$D,'задача 3. данные'!$A:$A,'задача 3. данные'!$A9,'задача 3. данные'!$H:$H,'задача 3.3'!K$1),"")</f>
        <v>50102</v>
      </c>
      <c r="L9" s="28">
        <f>IFERROR(AVERAGEIFS('задача 3. данные'!$D:$D,'задача 3. данные'!$A:$A,'задача 3. данные'!$A9,'задача 3. данные'!$H:$H,'задача 3.3'!L$1),"")</f>
        <v>58754.125</v>
      </c>
      <c r="M9" s="28">
        <f>IFERROR(AVERAGEIFS('задача 3. данные'!$D:$D,'задача 3. данные'!$A:$A,'задача 3. данные'!$A9,'задача 3. данные'!$H:$H,'задача 3.3'!M$1),"")</f>
        <v>56581.75</v>
      </c>
      <c r="N9" s="28" t="str">
        <f>IFERROR(AVERAGEIFS('задача 3. данные'!$D:$D,'задача 3. данные'!$A:$A,'задача 3. данные'!$A9,'задача 3. данные'!$H:$H,'задача 3.3'!N$1),"")</f>
        <v/>
      </c>
    </row>
    <row r="10" spans="1:14" x14ac:dyDescent="0.25">
      <c r="A10" s="7" t="s">
        <v>12</v>
      </c>
      <c r="B10" s="28">
        <f>IFERROR(AVERAGEIFS('задача 3. данные'!$D:$D,'задача 3. данные'!$A:$A,'задача 3. данные'!$A10,'задача 3. данные'!$H:$H,'задача 3.3'!B$1),"")</f>
        <v>48439</v>
      </c>
      <c r="C10" s="28">
        <f>IFERROR(AVERAGEIFS('задача 3. данные'!$D:$D,'задача 3. данные'!$A:$A,'задача 3. данные'!$A10,'задача 3. данные'!$H:$H,'задача 3.3'!C$1),"")</f>
        <v>46160.285714285717</v>
      </c>
      <c r="D10" s="28">
        <f>IFERROR(AVERAGEIFS('задача 3. данные'!$D:$D,'задача 3. данные'!$A:$A,'задача 3. данные'!$A10,'задача 3. данные'!$H:$H,'задача 3.3'!D$1),"")</f>
        <v>38849.833333333336</v>
      </c>
      <c r="E10" s="28">
        <f>IFERROR(AVERAGEIFS('задача 3. данные'!$D:$D,'задача 3. данные'!$A:$A,'задача 3. данные'!$A10,'задача 3. данные'!$H:$H,'задача 3.3'!E$1),"")</f>
        <v>70919</v>
      </c>
      <c r="F10" s="28">
        <f>IFERROR(AVERAGEIFS('задача 3. данные'!$D:$D,'задача 3. данные'!$A:$A,'задача 3. данные'!$A10,'задача 3. данные'!$H:$H,'задача 3.3'!F$1),"")</f>
        <v>59589</v>
      </c>
      <c r="G10" s="28">
        <f>IFERROR(AVERAGEIFS('задача 3. данные'!$D:$D,'задача 3. данные'!$A:$A,'задача 3. данные'!$A10,'задача 3. данные'!$H:$H,'задача 3.3'!G$1),"")</f>
        <v>40459</v>
      </c>
      <c r="H10" s="28">
        <f>IFERROR(AVERAGEIFS('задача 3. данные'!$D:$D,'задача 3. данные'!$A:$A,'задача 3. данные'!$A10,'задача 3. данные'!$H:$H,'задача 3.3'!H$1),"")</f>
        <v>75275.666666666672</v>
      </c>
      <c r="I10" s="28">
        <f>IFERROR(AVERAGEIFS('задача 3. данные'!$D:$D,'задача 3. данные'!$A:$A,'задача 3. данные'!$A10,'задача 3. данные'!$H:$H,'задача 3.3'!I$1),"")</f>
        <v>54387.5</v>
      </c>
      <c r="J10" s="28">
        <f>IFERROR(AVERAGEIFS('задача 3. данные'!$D:$D,'задача 3. данные'!$A:$A,'задача 3. данные'!$A10,'задача 3. данные'!$H:$H,'задача 3.3'!J$1),"")</f>
        <v>52547.75</v>
      </c>
      <c r="K10" s="28">
        <f>IFERROR(AVERAGEIFS('задача 3. данные'!$D:$D,'задача 3. данные'!$A:$A,'задача 3. данные'!$A10,'задача 3. данные'!$H:$H,'задача 3.3'!K$1),"")</f>
        <v>50102</v>
      </c>
      <c r="L10" s="28">
        <f>IFERROR(AVERAGEIFS('задача 3. данные'!$D:$D,'задача 3. данные'!$A:$A,'задача 3. данные'!$A10,'задача 3. данные'!$H:$H,'задача 3.3'!L$1),"")</f>
        <v>58754.125</v>
      </c>
      <c r="M10" s="28">
        <f>IFERROR(AVERAGEIFS('задача 3. данные'!$D:$D,'задача 3. данные'!$A:$A,'задача 3. данные'!$A10,'задача 3. данные'!$H:$H,'задача 3.3'!M$1),"")</f>
        <v>56581.75</v>
      </c>
      <c r="N10" s="28" t="str">
        <f>IFERROR(AVERAGEIFS('задача 3. данные'!$D:$D,'задача 3. данные'!$A:$A,'задача 3. данные'!$A10,'задача 3. данные'!$H:$H,'задача 3.3'!N$1),"")</f>
        <v/>
      </c>
    </row>
    <row r="11" spans="1:14" x14ac:dyDescent="0.25">
      <c r="A11" s="7" t="s">
        <v>5</v>
      </c>
      <c r="B11" s="28">
        <f>IFERROR(AVERAGEIFS('задача 3. данные'!$D:$D,'задача 3. данные'!$A:$A,'задача 3. данные'!$A11,'задача 3. данные'!$H:$H,'задача 3.3'!B$1),"")</f>
        <v>62136.142857142855</v>
      </c>
      <c r="C11" s="28">
        <f>IFERROR(AVERAGEIFS('задача 3. данные'!$D:$D,'задача 3. данные'!$A:$A,'задача 3. данные'!$A11,'задача 3. данные'!$H:$H,'задача 3.3'!C$1),"")</f>
        <v>44260.2</v>
      </c>
      <c r="D11" s="28">
        <f>IFERROR(AVERAGEIFS('задача 3. данные'!$D:$D,'задача 3. данные'!$A:$A,'задача 3. данные'!$A11,'задача 3. данные'!$H:$H,'задача 3.3'!D$1),"")</f>
        <v>57768.461538461539</v>
      </c>
      <c r="E11" s="28">
        <f>IFERROR(AVERAGEIFS('задача 3. данные'!$D:$D,'задача 3. данные'!$A:$A,'задача 3. данные'!$A11,'задача 3. данные'!$H:$H,'задача 3.3'!E$1),"")</f>
        <v>64551.166666666664</v>
      </c>
      <c r="F11" s="28">
        <f>IFERROR(AVERAGEIFS('задача 3. данные'!$D:$D,'задача 3. данные'!$A:$A,'задача 3. данные'!$A11,'задача 3. данные'!$H:$H,'задача 3.3'!F$1),"")</f>
        <v>49520</v>
      </c>
      <c r="G11" s="28">
        <f>IFERROR(AVERAGEIFS('задача 3. данные'!$D:$D,'задача 3. данные'!$A:$A,'задача 3. данные'!$A11,'задача 3. данные'!$H:$H,'задача 3.3'!G$1),"")</f>
        <v>61236.5</v>
      </c>
      <c r="H11" s="28">
        <f>IFERROR(AVERAGEIFS('задача 3. данные'!$D:$D,'задача 3. данные'!$A:$A,'задача 3. данные'!$A11,'задача 3. данные'!$H:$H,'задача 3.3'!H$1),"")</f>
        <v>46081.666666666664</v>
      </c>
      <c r="I11" s="28">
        <f>IFERROR(AVERAGEIFS('задача 3. данные'!$D:$D,'задача 3. данные'!$A:$A,'задача 3. данные'!$A11,'задача 3. данные'!$H:$H,'задача 3.3'!I$1),"")</f>
        <v>49600.333333333336</v>
      </c>
      <c r="J11" s="28">
        <f>IFERROR(AVERAGEIFS('задача 3. данные'!$D:$D,'задача 3. данные'!$A:$A,'задача 3. данные'!$A11,'задача 3. данные'!$H:$H,'задача 3.3'!J$1),"")</f>
        <v>49720.285714285717</v>
      </c>
      <c r="K11" s="28">
        <f>IFERROR(AVERAGEIFS('задача 3. данные'!$D:$D,'задача 3. данные'!$A:$A,'задача 3. данные'!$A11,'задача 3. данные'!$H:$H,'задача 3.3'!K$1),"")</f>
        <v>43309.599999999999</v>
      </c>
      <c r="L11" s="28">
        <f>IFERROR(AVERAGEIFS('задача 3. данные'!$D:$D,'задача 3. данные'!$A:$A,'задача 3. данные'!$A11,'задача 3. данные'!$H:$H,'задача 3.3'!L$1),"")</f>
        <v>63847.333333333336</v>
      </c>
      <c r="M11" s="28">
        <f>IFERROR(AVERAGEIFS('задача 3. данные'!$D:$D,'задача 3. данные'!$A:$A,'задача 3. данные'!$A11,'задача 3. данные'!$H:$H,'задача 3.3'!M$1),"")</f>
        <v>55456.25</v>
      </c>
      <c r="N11" s="28" t="str">
        <f>IFERROR(AVERAGEIFS('задача 3. данные'!$D:$D,'задача 3. данные'!$A:$A,'задача 3. данные'!$A11,'задача 3. данные'!$H:$H,'задача 3.3'!N$1),"")</f>
        <v/>
      </c>
    </row>
    <row r="12" spans="1:14" x14ac:dyDescent="0.25">
      <c r="A12" s="7" t="s">
        <v>27</v>
      </c>
      <c r="B12" s="28">
        <f>IFERROR(AVERAGEIFS('задача 3. данные'!$D:$D,'задача 3. данные'!$A:$A,'задача 3. данные'!$A12,'задача 3. данные'!$H:$H,'задача 3.3'!B$1),"")</f>
        <v>46113.5</v>
      </c>
      <c r="C12" s="28">
        <f>IFERROR(AVERAGEIFS('задача 3. данные'!$D:$D,'задача 3. данные'!$A:$A,'задача 3. данные'!$A12,'задача 3. данные'!$H:$H,'задача 3.3'!C$1),"")</f>
        <v>56964.333333333336</v>
      </c>
      <c r="D12" s="28">
        <f>IFERROR(AVERAGEIFS('задача 3. данные'!$D:$D,'задача 3. данные'!$A:$A,'задача 3. данные'!$A12,'задача 3. данные'!$H:$H,'задача 3.3'!D$1),"")</f>
        <v>25958</v>
      </c>
      <c r="E12" s="28">
        <f>IFERROR(AVERAGEIFS('задача 3. данные'!$D:$D,'задача 3. данные'!$A:$A,'задача 3. данные'!$A12,'задача 3. данные'!$H:$H,'задача 3.3'!E$1),"")</f>
        <v>58114.25</v>
      </c>
      <c r="F12" s="28">
        <f>IFERROR(AVERAGEIFS('задача 3. данные'!$D:$D,'задача 3. данные'!$A:$A,'задача 3. данные'!$A12,'задача 3. данные'!$H:$H,'задача 3.3'!F$1),"")</f>
        <v>54315.6</v>
      </c>
      <c r="G12" s="28">
        <f>IFERROR(AVERAGEIFS('задача 3. данные'!$D:$D,'задача 3. данные'!$A:$A,'задача 3. данные'!$A12,'задача 3. данные'!$H:$H,'задача 3.3'!G$1),"")</f>
        <v>32023.285714285714</v>
      </c>
      <c r="H12" s="28">
        <f>IFERROR(AVERAGEIFS('задача 3. данные'!$D:$D,'задача 3. данные'!$A:$A,'задача 3. данные'!$A12,'задача 3. данные'!$H:$H,'задача 3.3'!H$1),"")</f>
        <v>48109.2</v>
      </c>
      <c r="I12" s="28">
        <f>IFERROR(AVERAGEIFS('задача 3. данные'!$D:$D,'задача 3. данные'!$A:$A,'задача 3. данные'!$A12,'задача 3. данные'!$H:$H,'задача 3.3'!I$1),"")</f>
        <v>59755.888888888891</v>
      </c>
      <c r="J12" s="28">
        <f>IFERROR(AVERAGEIFS('задача 3. данные'!$D:$D,'задача 3. данные'!$A:$A,'задача 3. данные'!$A12,'задача 3. данные'!$H:$H,'задача 3.3'!J$1),"")</f>
        <v>42991.142857142855</v>
      </c>
      <c r="K12" s="28">
        <f>IFERROR(AVERAGEIFS('задача 3. данные'!$D:$D,'задача 3. данные'!$A:$A,'задача 3. данные'!$A12,'задача 3. данные'!$H:$H,'задача 3.3'!K$1),"")</f>
        <v>50409.333333333336</v>
      </c>
      <c r="L12" s="28">
        <f>IFERROR(AVERAGEIFS('задача 3. данные'!$D:$D,'задача 3. данные'!$A:$A,'задача 3. данные'!$A12,'задача 3. данные'!$H:$H,'задача 3.3'!L$1),"")</f>
        <v>65059.888888888891</v>
      </c>
      <c r="M12" s="28">
        <f>IFERROR(AVERAGEIFS('задача 3. данные'!$D:$D,'задача 3. данные'!$A:$A,'задача 3. данные'!$A12,'задача 3. данные'!$H:$H,'задача 3.3'!M$1),"")</f>
        <v>62812.833333333336</v>
      </c>
      <c r="N12" s="28" t="str">
        <f>IFERROR(AVERAGEIFS('задача 3. данные'!$D:$D,'задача 3. данные'!$A:$A,'задача 3. данные'!$A12,'задача 3. данные'!$H:$H,'задача 3.3'!N$1),"")</f>
        <v/>
      </c>
    </row>
    <row r="13" spans="1:14" x14ac:dyDescent="0.25">
      <c r="A13" s="7" t="s">
        <v>52</v>
      </c>
      <c r="B13" s="28">
        <f>IFERROR(AVERAGEIFS('задача 3. данные'!$D:$D,'задача 3. данные'!$A:$A,'задача 3. данные'!$A13,'задача 3. данные'!$H:$H,'задача 3.3'!B$1),"")</f>
        <v>55100.818181818184</v>
      </c>
      <c r="C13" s="28">
        <f>IFERROR(AVERAGEIFS('задача 3. данные'!$D:$D,'задача 3. данные'!$A:$A,'задача 3. данные'!$A13,'задача 3. данные'!$H:$H,'задача 3.3'!C$1),"")</f>
        <v>38786.571428571428</v>
      </c>
      <c r="D13" s="28">
        <f>IFERROR(AVERAGEIFS('задача 3. данные'!$D:$D,'задача 3. данные'!$A:$A,'задача 3. данные'!$A13,'задача 3. данные'!$H:$H,'задача 3.3'!D$1),"")</f>
        <v>30682</v>
      </c>
      <c r="E13" s="28">
        <f>IFERROR(AVERAGEIFS('задача 3. данные'!$D:$D,'задача 3. данные'!$A:$A,'задача 3. данные'!$A13,'задача 3. данные'!$H:$H,'задача 3.3'!E$1),"")</f>
        <v>60800.571428571428</v>
      </c>
      <c r="F13" s="28">
        <f>IFERROR(AVERAGEIFS('задача 3. данные'!$D:$D,'задача 3. данные'!$A:$A,'задача 3. данные'!$A13,'задача 3. данные'!$H:$H,'задача 3.3'!F$1),"")</f>
        <v>50783.199999999997</v>
      </c>
      <c r="G13" s="28">
        <f>IFERROR(AVERAGEIFS('задача 3. данные'!$D:$D,'задача 3. данные'!$A:$A,'задача 3. данные'!$A13,'задача 3. данные'!$H:$H,'задача 3.3'!G$1),"")</f>
        <v>66376.28571428571</v>
      </c>
      <c r="H13" s="28">
        <f>IFERROR(AVERAGEIFS('задача 3. данные'!$D:$D,'задача 3. данные'!$A:$A,'задача 3. данные'!$A13,'задача 3. данные'!$H:$H,'задача 3.3'!H$1),"")</f>
        <v>39807.625</v>
      </c>
      <c r="I13" s="28">
        <f>IFERROR(AVERAGEIFS('задача 3. данные'!$D:$D,'задача 3. данные'!$A:$A,'задача 3. данные'!$A13,'задача 3. данные'!$H:$H,'задача 3.3'!I$1),"")</f>
        <v>54431.8</v>
      </c>
      <c r="J13" s="28">
        <f>IFERROR(AVERAGEIFS('задача 3. данные'!$D:$D,'задача 3. данные'!$A:$A,'задача 3. данные'!$A13,'задача 3. данные'!$H:$H,'задача 3.3'!J$1),"")</f>
        <v>50035.666666666664</v>
      </c>
      <c r="K13" s="28">
        <f>IFERROR(AVERAGEIFS('задача 3. данные'!$D:$D,'задача 3. данные'!$A:$A,'задача 3. данные'!$A13,'задача 3. данные'!$H:$H,'задача 3.3'!K$1),"")</f>
        <v>54502</v>
      </c>
      <c r="L13" s="28">
        <f>IFERROR(AVERAGEIFS('задача 3. данные'!$D:$D,'задача 3. данные'!$A:$A,'задача 3. данные'!$A13,'задача 3. данные'!$H:$H,'задача 3.3'!L$1),"")</f>
        <v>64262.9</v>
      </c>
      <c r="M13" s="28">
        <f>IFERROR(AVERAGEIFS('задача 3. данные'!$D:$D,'задача 3. данные'!$A:$A,'задача 3. данные'!$A13,'задача 3. данные'!$H:$H,'задача 3.3'!M$1),"")</f>
        <v>50879.833333333336</v>
      </c>
      <c r="N13" s="28" t="str">
        <f>IFERROR(AVERAGEIFS('задача 3. данные'!$D:$D,'задача 3. данные'!$A:$A,'задача 3. данные'!$A13,'задача 3. данные'!$H:$H,'задача 3.3'!N$1),"")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zoomScale="72" zoomScaleNormal="85" workbookViewId="0">
      <selection activeCell="C85" sqref="C85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455</v>
      </c>
      <c r="B1" s="2" t="s">
        <v>456</v>
      </c>
    </row>
    <row r="2" spans="1:11" ht="30" x14ac:dyDescent="0.25">
      <c r="A2" s="3" t="s">
        <v>457</v>
      </c>
      <c r="B2" t="s">
        <v>458</v>
      </c>
      <c r="F2" s="4"/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1" x14ac:dyDescent="0.25">
      <c r="B3" t="s">
        <v>463</v>
      </c>
      <c r="F3">
        <v>1</v>
      </c>
      <c r="G3" s="7" t="s">
        <v>8</v>
      </c>
      <c r="H3" s="7">
        <f>COUNTIF('задача 1'!D:D,результат!G3)</f>
        <v>63</v>
      </c>
      <c r="I3" s="8">
        <f>SUMIF(Данные!A:A,результат!G3,Данные!D:D)</f>
        <v>3879891</v>
      </c>
      <c r="J3" s="22">
        <f>VLOOKUP(G3,'задача 1.1'!A:E,5,0)</f>
        <v>238</v>
      </c>
      <c r="K3" s="23">
        <f>(COUNTIFS(Данные!A:A,результат!G3,Данные!E:E,"&gt;=9")-COUNTIFS(Данные!A:A,результат!G3,Данные!E:E,"&lt;=6")) / COUNTIFS(Данные!A:A,результат!G3,Данные!E:E,"&gt;=0")</f>
        <v>-0.34246575342465752</v>
      </c>
    </row>
    <row r="4" spans="1:11" x14ac:dyDescent="0.25">
      <c r="B4" t="s">
        <v>464</v>
      </c>
      <c r="F4">
        <v>2</v>
      </c>
      <c r="G4" s="7" t="s">
        <v>15</v>
      </c>
      <c r="H4" s="7">
        <f>COUNTIF('задача 1'!D:D,результат!G4)</f>
        <v>61</v>
      </c>
      <c r="I4" s="8">
        <f>SUMIF(Данные!A:A,результат!G4,Данные!D:D)</f>
        <v>3890016</v>
      </c>
      <c r="J4" s="22">
        <f>VLOOKUP(G4,'задача 1.1'!A:E,5,0)</f>
        <v>227</v>
      </c>
      <c r="K4" s="23">
        <f>(COUNTIFS(Данные!A:A,результат!G4,Данные!E:E,"&gt;=9")-COUNTIFS(Данные!A:A,результат!G4,Данные!E:E,"&lt;=6")) / COUNTIFS(Данные!A:A,результат!G4,Данные!E:E,"&gt;=0")</f>
        <v>-0.26027397260273971</v>
      </c>
    </row>
    <row r="5" spans="1:11" x14ac:dyDescent="0.25">
      <c r="B5" t="s">
        <v>465</v>
      </c>
      <c r="F5">
        <v>3</v>
      </c>
      <c r="G5" s="7" t="s">
        <v>48</v>
      </c>
      <c r="H5" s="7">
        <f>COUNTIF('задача 1'!D:D,результат!G5)</f>
        <v>73</v>
      </c>
      <c r="I5" s="8">
        <f>SUMIF(Данные!A:A,результат!G5,Данные!D:D)</f>
        <v>4368476</v>
      </c>
      <c r="J5" s="22">
        <f>VLOOKUP(G5,'задача 1.1'!A:E,5,0)</f>
        <v>178</v>
      </c>
      <c r="K5" s="23">
        <f>(COUNTIFS(Данные!A:A,результат!G5,Данные!E:E,"&gt;=9")-COUNTIFS(Данные!A:A,результат!G5,Данные!E:E,"&lt;=6")) / COUNTIFS(Данные!A:A,результат!G5,Данные!E:E,"&gt;=0")</f>
        <v>-0.3902439024390244</v>
      </c>
    </row>
    <row r="6" spans="1:11" x14ac:dyDescent="0.25">
      <c r="B6" s="9" t="s">
        <v>466</v>
      </c>
      <c r="F6">
        <v>4</v>
      </c>
      <c r="G6" s="7" t="s">
        <v>23</v>
      </c>
      <c r="H6" s="7">
        <f>COUNTIF('задача 1'!D:D,результат!G6)</f>
        <v>67</v>
      </c>
      <c r="I6" s="8">
        <f>SUMIF(Данные!A:A,результат!G6,Данные!D:D)</f>
        <v>5029442</v>
      </c>
      <c r="J6" s="22">
        <f>VLOOKUP(G6,'задача 1.1'!A:E,5,0)</f>
        <v>353</v>
      </c>
      <c r="K6" s="23">
        <f>(COUNTIFS(Данные!A:A,результат!G6,Данные!E:E,"&gt;=9")-COUNTIFS(Данные!A:A,результат!G6,Данные!E:E,"&lt;=6")) / COUNTIFS(Данные!A:A,результат!G6,Данные!E:E,"&gt;=0")</f>
        <v>-0.48351648351648352</v>
      </c>
    </row>
    <row r="7" spans="1:11" x14ac:dyDescent="0.25">
      <c r="B7" s="10" t="s">
        <v>467</v>
      </c>
      <c r="F7">
        <v>5</v>
      </c>
      <c r="G7" s="7" t="s">
        <v>10</v>
      </c>
      <c r="H7" s="7">
        <f>COUNTIF('задача 1'!D:D,результат!G7)</f>
        <v>66</v>
      </c>
      <c r="I7" s="8">
        <f>SUMIF(Данные!A:A,результат!G7,Данные!D:D)</f>
        <v>4443324</v>
      </c>
      <c r="J7" s="22">
        <f>VLOOKUP(G7,'задача 1.1'!A:E,5,0)</f>
        <v>360</v>
      </c>
      <c r="K7" s="23">
        <f>(COUNTIFS(Данные!A:A,результат!G7,Данные!E:E,"&gt;=9")-COUNTIFS(Данные!A:A,результат!G7,Данные!E:E,"&lt;=6")) / COUNTIFS(Данные!A:A,результат!G7,Данные!E:E,"&gt;=0")</f>
        <v>-0.35365853658536583</v>
      </c>
    </row>
    <row r="8" spans="1:11" x14ac:dyDescent="0.25">
      <c r="B8" t="s">
        <v>468</v>
      </c>
      <c r="F8">
        <v>6</v>
      </c>
      <c r="G8" s="7" t="s">
        <v>17</v>
      </c>
      <c r="H8" s="7">
        <f>COUNTIF('задача 1'!D:D,результат!G8)</f>
        <v>74</v>
      </c>
      <c r="I8" s="8">
        <f>SUMIF(Данные!A:A,результат!G8,Данные!D:D)</f>
        <v>5320974</v>
      </c>
      <c r="J8" s="22">
        <f>VLOOKUP(G8,'задача 1.1'!A:E,5,0)</f>
        <v>267</v>
      </c>
      <c r="K8" s="23">
        <f>(COUNTIFS(Данные!A:A,результат!G8,Данные!E:E,"&gt;=9")-COUNTIFS(Данные!A:A,результат!G8,Данные!E:E,"&lt;=6")) / COUNTIFS(Данные!A:A,результат!G8,Данные!E:E,"&gt;=0")</f>
        <v>-0.27835051546391754</v>
      </c>
    </row>
    <row r="9" spans="1:11" x14ac:dyDescent="0.25">
      <c r="F9">
        <v>7</v>
      </c>
      <c r="G9" s="7" t="s">
        <v>36</v>
      </c>
      <c r="H9" s="7">
        <f>COUNTIF('задача 1'!D:D,результат!G9)</f>
        <v>63</v>
      </c>
      <c r="I9" s="8">
        <f>SUMIF(Данные!A:A,результат!G9,Данные!D:D)</f>
        <v>4564618</v>
      </c>
      <c r="J9" s="22">
        <f>VLOOKUP(G9,'задача 1.1'!A:E,5,0)</f>
        <v>261</v>
      </c>
      <c r="K9" s="23">
        <f>(COUNTIFS(Данные!A:A,результат!G9,Данные!E:E,"&gt;=9")-COUNTIFS(Данные!A:A,результат!G9,Данные!E:E,"&lt;=6")) / COUNTIFS(Данные!A:A,результат!G9,Данные!E:E,"&gt;=0")</f>
        <v>-0.27710843373493976</v>
      </c>
    </row>
    <row r="10" spans="1:11" x14ac:dyDescent="0.25">
      <c r="F10">
        <v>8</v>
      </c>
      <c r="G10" s="7" t="s">
        <v>46</v>
      </c>
      <c r="H10" s="7">
        <f>COUNTIF('задача 1'!D:D,результат!G10)</f>
        <v>78</v>
      </c>
      <c r="I10" s="8">
        <f>SUMIF(Данные!A:A,результат!G10,Данные!D:D)</f>
        <v>5871447</v>
      </c>
      <c r="J10" s="22">
        <f>VLOOKUP(G10,'задача 1.1'!A:E,5,0)</f>
        <v>338</v>
      </c>
      <c r="K10" s="23">
        <f>(COUNTIFS(Данные!A:A,результат!G10,Данные!E:E,"&gt;=9")-COUNTIFS(Данные!A:A,результат!G10,Данные!E:E,"&lt;=6")) / COUNTIFS(Данные!A:A,результат!G10,Данные!E:E,"&gt;=0")</f>
        <v>-0.36893203883495146</v>
      </c>
    </row>
    <row r="11" spans="1:11" x14ac:dyDescent="0.25">
      <c r="E11" t="s">
        <v>506</v>
      </c>
      <c r="F11">
        <v>9</v>
      </c>
      <c r="G11" s="7" t="s">
        <v>12</v>
      </c>
      <c r="H11" s="7">
        <f>COUNTIF('задача 1'!D:D,результат!G11)</f>
        <v>64</v>
      </c>
      <c r="I11" s="8">
        <f>SUMIF(Данные!A:A,результат!G11,Данные!D:D)</f>
        <v>3860925</v>
      </c>
      <c r="J11" s="22">
        <f>VLOOKUP(G11,'задача 1.1'!A:E,5,0)</f>
        <v>171</v>
      </c>
      <c r="K11" s="23">
        <f>(COUNTIFS(Данные!A:A,результат!G11,Данные!E:E,"&gt;=9")-COUNTIFS(Данные!A:A,результат!G11,Данные!E:E,"&lt;=6")) / COUNTIFS(Данные!A:A,результат!G11,Данные!E:E,"&gt;=0")</f>
        <v>-0.41333333333333333</v>
      </c>
    </row>
    <row r="12" spans="1:11" x14ac:dyDescent="0.25">
      <c r="B12" t="s">
        <v>469</v>
      </c>
      <c r="F12">
        <v>10</v>
      </c>
      <c r="G12" s="7" t="s">
        <v>5</v>
      </c>
      <c r="H12" s="7">
        <f>COUNTIF('задача 1'!D:D,результат!G12)</f>
        <v>67</v>
      </c>
      <c r="I12" s="8">
        <f>SUMIF(Данные!A:A,результат!G12,Данные!D:D)</f>
        <v>4568280</v>
      </c>
      <c r="J12" s="22">
        <f>VLOOKUP(G12,'задача 1.1'!A:E,5,0)</f>
        <v>253</v>
      </c>
      <c r="K12" s="23">
        <f>(COUNTIFS(Данные!A:A,результат!G12,Данные!E:E,"&gt;=9")-COUNTIFS(Данные!A:A,результат!G12,Данные!E:E,"&lt;=6")) / COUNTIFS(Данные!A:A,результат!G12,Данные!E:E,"&gt;=0")</f>
        <v>-0.24691358024691357</v>
      </c>
    </row>
    <row r="13" spans="1:11" x14ac:dyDescent="0.25">
      <c r="A13" t="s">
        <v>470</v>
      </c>
      <c r="B13" s="11" t="str">
        <f>INDEX(G3:G14,MATCH(MAX(H3:H14),H3:H14,0))</f>
        <v>Семенова Ирина Валерьевна</v>
      </c>
      <c r="F13">
        <v>11</v>
      </c>
      <c r="G13" s="7" t="s">
        <v>27</v>
      </c>
      <c r="H13" s="7">
        <f>COUNTIF('задача 1'!D:D,результат!G13)</f>
        <v>60</v>
      </c>
      <c r="I13" s="8">
        <f>SUMIF(Данные!A:A,результат!G13,Данные!D:D)</f>
        <v>4407198</v>
      </c>
      <c r="J13" s="22">
        <f>VLOOKUP(G13,'задача 1.1'!A:E,5,0)</f>
        <v>308</v>
      </c>
      <c r="K13" s="23">
        <f>(COUNTIFS(Данные!A:A,результат!G13,Данные!E:E,"&gt;=9")-COUNTIFS(Данные!A:A,результат!G13,Данные!E:E,"&lt;=6")) / COUNTIFS(Данные!A:A,результат!G13,Данные!E:E,"&gt;=0")</f>
        <v>-0.24096385542168675</v>
      </c>
    </row>
    <row r="14" spans="1:11" x14ac:dyDescent="0.25">
      <c r="F14">
        <v>12</v>
      </c>
      <c r="G14" s="7" t="s">
        <v>52</v>
      </c>
      <c r="H14" s="7">
        <f>COUNTIF('задача 1'!D:D,результат!G14)</f>
        <v>63</v>
      </c>
      <c r="I14" s="8">
        <f>SUMIF(Данные!A:A,результат!G14,Данные!D:D)</f>
        <v>4111628</v>
      </c>
      <c r="J14" s="22">
        <f>VLOOKUP(G14,'задача 1.1'!A:E,5,0)</f>
        <v>350</v>
      </c>
      <c r="K14" s="23">
        <f>(COUNTIFS(Данные!A:A,результат!G14,Данные!E:E,"&gt;=9")-COUNTIFS(Данные!A:A,результат!G14,Данные!E:E,"&lt;=6")) / COUNTIFS(Данные!A:A,результат!G14,Данные!E:E,"&gt;=0")</f>
        <v>-0.42857142857142855</v>
      </c>
    </row>
    <row r="15" spans="1:11" x14ac:dyDescent="0.25">
      <c r="A15" t="s">
        <v>471</v>
      </c>
      <c r="B15" s="11" t="str">
        <f>INDEX(G3:G14,MATCH(MAX(I3:I14),I3:I14,0))</f>
        <v>Семенова Ирина Валерьевна</v>
      </c>
    </row>
    <row r="17" spans="1:11" ht="15.75" x14ac:dyDescent="0.25">
      <c r="A17" t="s">
        <v>472</v>
      </c>
      <c r="B17" s="11" t="str">
        <f>INDEX(G3:G14,MATCH(MAX(J3:J14),J3:J14,0))</f>
        <v>Новикова Ольга Петровна</v>
      </c>
      <c r="G17" s="12"/>
    </row>
    <row r="19" spans="1:11" x14ac:dyDescent="0.25">
      <c r="A19" t="s">
        <v>4</v>
      </c>
      <c r="B19" s="11" t="str">
        <f>INDEX(G3:G14,MATCH(MAX(K3:K14),K3:K14,0))</f>
        <v>Фролов Сергей Викторович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473</v>
      </c>
      <c r="B23" t="s">
        <v>474</v>
      </c>
      <c r="G23" t="s">
        <v>475</v>
      </c>
    </row>
    <row r="24" spans="1:11" x14ac:dyDescent="0.25">
      <c r="B24" s="14" t="s">
        <v>476</v>
      </c>
      <c r="G24" t="s">
        <v>477</v>
      </c>
      <c r="H24" t="s">
        <v>478</v>
      </c>
      <c r="I24" t="s">
        <v>461</v>
      </c>
    </row>
    <row r="25" spans="1:11" x14ac:dyDescent="0.25">
      <c r="B25" s="14" t="s">
        <v>479</v>
      </c>
      <c r="F25">
        <v>1</v>
      </c>
      <c r="G25" s="7" t="s">
        <v>66</v>
      </c>
      <c r="H25" s="7">
        <v>6</v>
      </c>
      <c r="I25" s="7">
        <v>412640</v>
      </c>
    </row>
    <row r="26" spans="1:11" x14ac:dyDescent="0.25">
      <c r="B26" s="24" t="s">
        <v>480</v>
      </c>
      <c r="F26">
        <v>2</v>
      </c>
      <c r="G26" s="7" t="s">
        <v>195</v>
      </c>
      <c r="H26" s="7">
        <v>3</v>
      </c>
      <c r="I26" s="7">
        <v>206946</v>
      </c>
    </row>
    <row r="27" spans="1:11" x14ac:dyDescent="0.25">
      <c r="F27">
        <v>3</v>
      </c>
      <c r="G27" s="7" t="s">
        <v>235</v>
      </c>
      <c r="H27" s="7">
        <v>3</v>
      </c>
      <c r="I27" s="7">
        <v>175211</v>
      </c>
    </row>
    <row r="28" spans="1:11" x14ac:dyDescent="0.25">
      <c r="F28">
        <v>4</v>
      </c>
      <c r="G28" s="7" t="s">
        <v>281</v>
      </c>
      <c r="H28" s="7">
        <v>2</v>
      </c>
      <c r="I28" s="7">
        <v>126403</v>
      </c>
    </row>
    <row r="29" spans="1:11" x14ac:dyDescent="0.25">
      <c r="F29">
        <v>5</v>
      </c>
      <c r="G29" s="7" t="s">
        <v>107</v>
      </c>
      <c r="H29" s="7">
        <v>7</v>
      </c>
      <c r="I29" s="7">
        <v>309026</v>
      </c>
    </row>
    <row r="30" spans="1:11" x14ac:dyDescent="0.25">
      <c r="F30">
        <v>6</v>
      </c>
      <c r="G30" s="7" t="s">
        <v>131</v>
      </c>
      <c r="H30" s="7">
        <v>6</v>
      </c>
      <c r="I30" s="7">
        <v>262474</v>
      </c>
    </row>
    <row r="31" spans="1:11" x14ac:dyDescent="0.25">
      <c r="F31">
        <v>7</v>
      </c>
      <c r="G31" s="7" t="s">
        <v>86</v>
      </c>
      <c r="H31" s="7">
        <v>7</v>
      </c>
      <c r="I31" s="7">
        <v>355858</v>
      </c>
    </row>
    <row r="32" spans="1:11" x14ac:dyDescent="0.25">
      <c r="F32">
        <v>8</v>
      </c>
      <c r="G32" s="7" t="s">
        <v>59</v>
      </c>
      <c r="H32" s="7">
        <v>8</v>
      </c>
      <c r="I32" s="7">
        <v>428509</v>
      </c>
    </row>
    <row r="33" spans="6:9" x14ac:dyDescent="0.25">
      <c r="F33">
        <v>9</v>
      </c>
      <c r="G33" s="7" t="s">
        <v>47</v>
      </c>
      <c r="H33" s="7">
        <v>7</v>
      </c>
      <c r="I33" s="7">
        <v>464070</v>
      </c>
    </row>
    <row r="34" spans="6:9" x14ac:dyDescent="0.25">
      <c r="F34">
        <v>10</v>
      </c>
      <c r="G34" s="7" t="s">
        <v>138</v>
      </c>
      <c r="H34" s="7">
        <v>5</v>
      </c>
      <c r="I34" s="7">
        <v>250305</v>
      </c>
    </row>
    <row r="37" spans="6:9" x14ac:dyDescent="0.25">
      <c r="G37" t="s">
        <v>481</v>
      </c>
    </row>
    <row r="38" spans="6:9" x14ac:dyDescent="0.25">
      <c r="G38" t="s">
        <v>477</v>
      </c>
      <c r="H38" t="s">
        <v>478</v>
      </c>
      <c r="I38" t="s">
        <v>461</v>
      </c>
    </row>
    <row r="39" spans="6:9" x14ac:dyDescent="0.25">
      <c r="F39">
        <v>1</v>
      </c>
      <c r="G39" s="7" t="s">
        <v>111</v>
      </c>
      <c r="H39" s="7">
        <v>7</v>
      </c>
      <c r="I39" s="7">
        <v>420965</v>
      </c>
    </row>
    <row r="40" spans="6:9" x14ac:dyDescent="0.25">
      <c r="F40">
        <v>2</v>
      </c>
      <c r="G40" s="7" t="s">
        <v>63</v>
      </c>
      <c r="H40" s="7">
        <v>5</v>
      </c>
      <c r="I40" s="7">
        <v>334870</v>
      </c>
    </row>
    <row r="41" spans="6:9" x14ac:dyDescent="0.25">
      <c r="F41">
        <v>3</v>
      </c>
      <c r="G41" s="7" t="s">
        <v>350</v>
      </c>
      <c r="H41" s="7">
        <v>2</v>
      </c>
      <c r="I41" s="7">
        <v>86575</v>
      </c>
    </row>
    <row r="42" spans="6:9" x14ac:dyDescent="0.25">
      <c r="F42">
        <v>4</v>
      </c>
      <c r="G42" s="7" t="s">
        <v>278</v>
      </c>
      <c r="H42" s="7">
        <v>3</v>
      </c>
      <c r="I42" s="7">
        <v>236450</v>
      </c>
    </row>
    <row r="43" spans="6:9" x14ac:dyDescent="0.25">
      <c r="F43">
        <v>5</v>
      </c>
      <c r="G43" s="7" t="s">
        <v>238</v>
      </c>
      <c r="H43" s="7">
        <v>7</v>
      </c>
      <c r="I43" s="7">
        <v>464070</v>
      </c>
    </row>
    <row r="44" spans="6:9" x14ac:dyDescent="0.25">
      <c r="F44">
        <v>6</v>
      </c>
      <c r="G44" s="7" t="s">
        <v>90</v>
      </c>
      <c r="H44" s="7">
        <v>3</v>
      </c>
      <c r="I44" s="7">
        <v>217177</v>
      </c>
    </row>
    <row r="45" spans="6:9" x14ac:dyDescent="0.25">
      <c r="F45">
        <v>7</v>
      </c>
      <c r="G45" s="7" t="s">
        <v>200</v>
      </c>
      <c r="H45" s="7">
        <v>3</v>
      </c>
      <c r="I45" s="7">
        <v>175986</v>
      </c>
    </row>
    <row r="46" spans="6:9" x14ac:dyDescent="0.25">
      <c r="F46">
        <v>8</v>
      </c>
      <c r="G46" s="7" t="s">
        <v>80</v>
      </c>
      <c r="H46" s="7">
        <v>5</v>
      </c>
      <c r="I46" s="7">
        <v>277071</v>
      </c>
    </row>
    <row r="47" spans="6:9" x14ac:dyDescent="0.25">
      <c r="F47">
        <v>9</v>
      </c>
      <c r="G47" s="7" t="s">
        <v>235</v>
      </c>
      <c r="H47" s="7">
        <v>3</v>
      </c>
      <c r="I47" s="7">
        <v>136918</v>
      </c>
    </row>
    <row r="48" spans="6:9" x14ac:dyDescent="0.25">
      <c r="F48">
        <v>10</v>
      </c>
      <c r="G48" s="7" t="s">
        <v>66</v>
      </c>
      <c r="H48" s="7">
        <v>3</v>
      </c>
      <c r="I48" s="7">
        <v>207087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482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483</v>
      </c>
      <c r="B52" t="s">
        <v>484</v>
      </c>
      <c r="C52" s="15"/>
      <c r="D52" s="15"/>
      <c r="G52" t="s">
        <v>485</v>
      </c>
    </row>
    <row r="53" spans="1:20" x14ac:dyDescent="0.25">
      <c r="B53" t="s">
        <v>486</v>
      </c>
      <c r="C53" s="15" t="s">
        <v>487</v>
      </c>
      <c r="D53" s="15" t="s">
        <v>488</v>
      </c>
      <c r="G53" s="17" t="s">
        <v>459</v>
      </c>
      <c r="H53" s="7" t="s">
        <v>489</v>
      </c>
      <c r="I53" s="7" t="s">
        <v>490</v>
      </c>
      <c r="J53" s="7" t="s">
        <v>491</v>
      </c>
      <c r="K53" s="7" t="s">
        <v>492</v>
      </c>
      <c r="L53" s="7" t="s">
        <v>493</v>
      </c>
      <c r="M53" s="7" t="s">
        <v>494</v>
      </c>
      <c r="N53" s="7" t="s">
        <v>495</v>
      </c>
      <c r="O53" s="7" t="s">
        <v>496</v>
      </c>
      <c r="P53" s="7" t="s">
        <v>497</v>
      </c>
      <c r="Q53" s="7" t="s">
        <v>498</v>
      </c>
      <c r="R53" s="7" t="s">
        <v>499</v>
      </c>
      <c r="S53" s="7" t="s">
        <v>500</v>
      </c>
      <c r="T53" s="7" t="s">
        <v>501</v>
      </c>
    </row>
    <row r="54" spans="1:20" x14ac:dyDescent="0.25">
      <c r="B54" t="s">
        <v>502</v>
      </c>
      <c r="C54" s="18">
        <v>45170</v>
      </c>
      <c r="D54" s="19">
        <v>45537</v>
      </c>
      <c r="G54" s="7" t="s">
        <v>8</v>
      </c>
      <c r="H54" s="7">
        <v>8</v>
      </c>
      <c r="I54" s="7">
        <v>5</v>
      </c>
      <c r="J54" s="7">
        <v>9</v>
      </c>
      <c r="K54" s="7">
        <v>3</v>
      </c>
      <c r="L54" s="7">
        <v>9</v>
      </c>
      <c r="M54" s="7">
        <v>4</v>
      </c>
      <c r="N54" s="7">
        <v>9</v>
      </c>
      <c r="O54" s="7">
        <v>5</v>
      </c>
      <c r="P54" s="7">
        <v>6</v>
      </c>
      <c r="Q54" s="7">
        <v>4</v>
      </c>
      <c r="R54" s="7">
        <v>7</v>
      </c>
      <c r="S54" s="7">
        <v>4</v>
      </c>
      <c r="T54" s="7">
        <v>0</v>
      </c>
    </row>
    <row r="55" spans="1:20" x14ac:dyDescent="0.25">
      <c r="B55" t="s">
        <v>503</v>
      </c>
      <c r="C55" s="15">
        <v>2023</v>
      </c>
      <c r="D55" s="15">
        <v>2024</v>
      </c>
      <c r="G55" s="7" t="s">
        <v>15</v>
      </c>
      <c r="H55" s="7">
        <v>3</v>
      </c>
      <c r="I55" s="7">
        <v>6</v>
      </c>
      <c r="J55" s="7">
        <v>6</v>
      </c>
      <c r="K55" s="7">
        <v>6</v>
      </c>
      <c r="L55" s="7">
        <v>7</v>
      </c>
      <c r="M55" s="7">
        <v>8</v>
      </c>
      <c r="N55" s="7">
        <v>7</v>
      </c>
      <c r="O55" s="7">
        <v>5</v>
      </c>
      <c r="P55" s="7">
        <v>5</v>
      </c>
      <c r="Q55" s="7">
        <v>3</v>
      </c>
      <c r="R55" s="7">
        <v>10</v>
      </c>
      <c r="S55" s="7">
        <v>7</v>
      </c>
      <c r="T55" s="7">
        <v>0</v>
      </c>
    </row>
    <row r="56" spans="1:20" x14ac:dyDescent="0.25">
      <c r="C56" s="15">
        <v>9</v>
      </c>
      <c r="D56" s="15">
        <v>9</v>
      </c>
      <c r="G56" s="7" t="s">
        <v>48</v>
      </c>
      <c r="H56" s="7">
        <v>5</v>
      </c>
      <c r="I56" s="7">
        <v>3</v>
      </c>
      <c r="J56" s="7">
        <v>5</v>
      </c>
      <c r="K56" s="7">
        <v>9</v>
      </c>
      <c r="L56" s="7">
        <v>3</v>
      </c>
      <c r="M56" s="7">
        <v>5</v>
      </c>
      <c r="N56" s="7">
        <v>10</v>
      </c>
      <c r="O56" s="7">
        <v>15</v>
      </c>
      <c r="P56" s="7">
        <v>6</v>
      </c>
      <c r="Q56" s="7">
        <v>2</v>
      </c>
      <c r="R56" s="7">
        <v>8</v>
      </c>
      <c r="S56" s="7">
        <v>9</v>
      </c>
      <c r="T56" s="7">
        <v>2</v>
      </c>
    </row>
    <row r="57" spans="1:20" x14ac:dyDescent="0.25">
      <c r="G57" s="7" t="s">
        <v>23</v>
      </c>
      <c r="H57" s="7">
        <v>7</v>
      </c>
      <c r="I57" s="7">
        <v>5</v>
      </c>
      <c r="J57" s="7">
        <v>13</v>
      </c>
      <c r="K57" s="7">
        <v>12</v>
      </c>
      <c r="L57" s="7">
        <v>9</v>
      </c>
      <c r="M57" s="7">
        <v>4</v>
      </c>
      <c r="N57" s="7">
        <v>6</v>
      </c>
      <c r="O57" s="7">
        <v>6</v>
      </c>
      <c r="P57" s="7">
        <v>7</v>
      </c>
      <c r="Q57" s="7">
        <v>5</v>
      </c>
      <c r="R57" s="7">
        <v>9</v>
      </c>
      <c r="S57" s="7">
        <v>8</v>
      </c>
      <c r="T57" s="7">
        <v>0</v>
      </c>
    </row>
    <row r="58" spans="1:20" x14ac:dyDescent="0.25">
      <c r="G58" s="7" t="s">
        <v>10</v>
      </c>
      <c r="H58" s="7">
        <v>10</v>
      </c>
      <c r="I58" s="7">
        <v>7</v>
      </c>
      <c r="J58" s="7">
        <v>6</v>
      </c>
      <c r="K58" s="7">
        <v>4</v>
      </c>
      <c r="L58" s="7">
        <v>7</v>
      </c>
      <c r="M58" s="7">
        <v>3</v>
      </c>
      <c r="N58" s="7">
        <v>6</v>
      </c>
      <c r="O58" s="7">
        <v>8</v>
      </c>
      <c r="P58" s="7">
        <v>8</v>
      </c>
      <c r="Q58" s="7">
        <v>7</v>
      </c>
      <c r="R58" s="7">
        <v>8</v>
      </c>
      <c r="S58" s="7">
        <v>8</v>
      </c>
      <c r="T58" s="7">
        <v>0</v>
      </c>
    </row>
    <row r="59" spans="1:20" x14ac:dyDescent="0.25">
      <c r="G59" s="7" t="s">
        <v>17</v>
      </c>
      <c r="H59" s="7">
        <v>7</v>
      </c>
      <c r="I59" s="7">
        <v>5</v>
      </c>
      <c r="J59" s="7">
        <v>6</v>
      </c>
      <c r="K59" s="7">
        <v>10</v>
      </c>
      <c r="L59" s="7">
        <v>12</v>
      </c>
      <c r="M59" s="7">
        <v>11</v>
      </c>
      <c r="N59" s="7">
        <v>9</v>
      </c>
      <c r="O59" s="7">
        <v>4</v>
      </c>
      <c r="P59" s="7">
        <v>7</v>
      </c>
      <c r="Q59" s="7">
        <v>6</v>
      </c>
      <c r="R59" s="7">
        <v>9</v>
      </c>
      <c r="S59" s="7">
        <v>11</v>
      </c>
      <c r="T59" s="7">
        <v>0</v>
      </c>
    </row>
    <row r="60" spans="1:20" x14ac:dyDescent="0.25">
      <c r="G60" s="7" t="s">
        <v>36</v>
      </c>
      <c r="H60" s="7">
        <v>5</v>
      </c>
      <c r="I60" s="7">
        <v>10</v>
      </c>
      <c r="J60" s="7">
        <v>9</v>
      </c>
      <c r="K60" s="7">
        <v>7</v>
      </c>
      <c r="L60" s="7">
        <v>7</v>
      </c>
      <c r="M60" s="7">
        <v>9</v>
      </c>
      <c r="N60" s="7">
        <v>7</v>
      </c>
      <c r="O60" s="7">
        <v>6</v>
      </c>
      <c r="P60" s="7">
        <v>6</v>
      </c>
      <c r="Q60" s="7">
        <v>6</v>
      </c>
      <c r="R60" s="7">
        <v>8</v>
      </c>
      <c r="S60" s="7">
        <v>3</v>
      </c>
      <c r="T60" s="7">
        <v>0</v>
      </c>
    </row>
    <row r="61" spans="1:20" x14ac:dyDescent="0.25">
      <c r="G61" s="7" t="s">
        <v>46</v>
      </c>
      <c r="H61" s="7">
        <v>2</v>
      </c>
      <c r="I61" s="7">
        <v>13</v>
      </c>
      <c r="J61" s="7">
        <v>11</v>
      </c>
      <c r="K61" s="7">
        <v>5</v>
      </c>
      <c r="L61" s="7">
        <v>11</v>
      </c>
      <c r="M61" s="7">
        <v>5</v>
      </c>
      <c r="N61" s="7">
        <v>9</v>
      </c>
      <c r="O61" s="7">
        <v>13</v>
      </c>
      <c r="P61" s="7">
        <v>7</v>
      </c>
      <c r="Q61" s="7">
        <v>8</v>
      </c>
      <c r="R61" s="7">
        <v>11</v>
      </c>
      <c r="S61" s="7">
        <v>8</v>
      </c>
      <c r="T61" s="7">
        <v>0</v>
      </c>
    </row>
    <row r="62" spans="1:20" x14ac:dyDescent="0.25">
      <c r="G62" s="7" t="s">
        <v>12</v>
      </c>
      <c r="H62" s="7">
        <v>8</v>
      </c>
      <c r="I62" s="7">
        <v>6</v>
      </c>
      <c r="J62" s="7">
        <v>3</v>
      </c>
      <c r="K62" s="7">
        <v>4</v>
      </c>
      <c r="L62" s="7">
        <v>5</v>
      </c>
      <c r="M62" s="7">
        <v>7</v>
      </c>
      <c r="N62" s="7">
        <v>5</v>
      </c>
      <c r="O62" s="7">
        <v>9</v>
      </c>
      <c r="P62" s="7">
        <v>7</v>
      </c>
      <c r="Q62" s="7">
        <v>6</v>
      </c>
      <c r="R62" s="7">
        <v>9</v>
      </c>
      <c r="S62" s="7">
        <v>6</v>
      </c>
      <c r="T62" s="7">
        <v>0</v>
      </c>
    </row>
    <row r="63" spans="1:20" x14ac:dyDescent="0.25">
      <c r="G63" s="7" t="s">
        <v>5</v>
      </c>
      <c r="H63" s="7">
        <v>9</v>
      </c>
      <c r="I63" s="7">
        <v>7</v>
      </c>
      <c r="J63" s="7">
        <v>2</v>
      </c>
      <c r="K63" s="7">
        <v>9</v>
      </c>
      <c r="L63" s="7">
        <v>7</v>
      </c>
      <c r="M63" s="7">
        <v>6</v>
      </c>
      <c r="N63" s="7">
        <v>7</v>
      </c>
      <c r="O63" s="7">
        <v>6</v>
      </c>
      <c r="P63" s="7">
        <v>6</v>
      </c>
      <c r="Q63" s="7">
        <v>8</v>
      </c>
      <c r="R63" s="7">
        <v>7</v>
      </c>
      <c r="S63" s="7">
        <v>6</v>
      </c>
      <c r="T63" s="7">
        <v>1</v>
      </c>
    </row>
    <row r="64" spans="1:20" x14ac:dyDescent="0.25">
      <c r="G64" s="7" t="s">
        <v>27</v>
      </c>
      <c r="H64" s="7">
        <v>11</v>
      </c>
      <c r="I64" s="7">
        <v>7</v>
      </c>
      <c r="J64" s="7">
        <v>2</v>
      </c>
      <c r="K64" s="7">
        <v>7</v>
      </c>
      <c r="L64" s="7">
        <v>10</v>
      </c>
      <c r="M64" s="7">
        <v>7</v>
      </c>
      <c r="N64" s="7">
        <v>8</v>
      </c>
      <c r="O64" s="7">
        <v>5</v>
      </c>
      <c r="P64" s="7">
        <v>3</v>
      </c>
      <c r="Q64" s="7">
        <v>7</v>
      </c>
      <c r="R64" s="7">
        <v>10</v>
      </c>
      <c r="S64" s="7">
        <v>6</v>
      </c>
      <c r="T64" s="7">
        <v>0</v>
      </c>
    </row>
    <row r="65" spans="7:20" x14ac:dyDescent="0.25">
      <c r="G65" s="7" t="s">
        <v>52</v>
      </c>
      <c r="H65" s="7">
        <v>5</v>
      </c>
      <c r="I65" s="7">
        <v>7</v>
      </c>
      <c r="J65" s="7">
        <v>4</v>
      </c>
      <c r="K65" s="7">
        <v>5</v>
      </c>
      <c r="L65" s="7">
        <v>7</v>
      </c>
      <c r="M65" s="7">
        <v>12</v>
      </c>
      <c r="N65" s="7">
        <v>8</v>
      </c>
      <c r="O65" s="7">
        <v>1</v>
      </c>
      <c r="P65" s="7">
        <v>8</v>
      </c>
      <c r="Q65" s="7">
        <v>8</v>
      </c>
      <c r="R65" s="7">
        <v>7</v>
      </c>
      <c r="S65" s="7">
        <v>5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459</v>
      </c>
      <c r="H68" s="7" t="s">
        <v>489</v>
      </c>
      <c r="I68" s="7" t="s">
        <v>490</v>
      </c>
      <c r="J68" s="7" t="s">
        <v>491</v>
      </c>
      <c r="K68" s="7" t="s">
        <v>492</v>
      </c>
      <c r="L68" s="7" t="s">
        <v>493</v>
      </c>
      <c r="M68" s="7" t="s">
        <v>494</v>
      </c>
      <c r="N68" s="7" t="s">
        <v>495</v>
      </c>
      <c r="O68" s="7" t="s">
        <v>496</v>
      </c>
      <c r="P68" s="7" t="s">
        <v>497</v>
      </c>
      <c r="Q68" s="7" t="s">
        <v>498</v>
      </c>
      <c r="R68" s="7" t="s">
        <v>499</v>
      </c>
      <c r="S68" s="7" t="s">
        <v>500</v>
      </c>
      <c r="T68" s="7" t="s">
        <v>501</v>
      </c>
    </row>
    <row r="69" spans="7:20" x14ac:dyDescent="0.25">
      <c r="G69" s="7" t="s">
        <v>8</v>
      </c>
      <c r="H69" s="27">
        <v>0.125</v>
      </c>
      <c r="I69" s="27">
        <v>-0.4</v>
      </c>
      <c r="J69" s="27">
        <v>-0.44444444444444442</v>
      </c>
      <c r="K69" s="27">
        <v>-1</v>
      </c>
      <c r="L69" s="27">
        <v>-0.33333333333333331</v>
      </c>
      <c r="M69" s="27">
        <v>-0.5</v>
      </c>
      <c r="N69" s="27">
        <v>-0.1111111111111111</v>
      </c>
      <c r="O69" s="27">
        <v>-0.6</v>
      </c>
      <c r="P69" s="27">
        <v>-0.16666666666666666</v>
      </c>
      <c r="Q69" s="27">
        <v>-0.5</v>
      </c>
      <c r="R69" s="27">
        <v>-0.42857142857142855</v>
      </c>
      <c r="S69" s="27">
        <v>-0.5</v>
      </c>
      <c r="T69" s="27" t="s">
        <v>504</v>
      </c>
    </row>
    <row r="70" spans="7:20" x14ac:dyDescent="0.25">
      <c r="G70" s="7" t="s">
        <v>15</v>
      </c>
      <c r="H70" s="27">
        <v>-0.33333333333333331</v>
      </c>
      <c r="I70" s="27">
        <v>-0.16666666666666666</v>
      </c>
      <c r="J70" s="27">
        <v>-0.16666666666666666</v>
      </c>
      <c r="K70" s="27">
        <v>-0.16666666666666666</v>
      </c>
      <c r="L70" s="27">
        <v>-0.14285714285714285</v>
      </c>
      <c r="M70" s="27">
        <v>-0.25</v>
      </c>
      <c r="N70" s="27">
        <v>-0.5714285714285714</v>
      </c>
      <c r="O70" s="27">
        <v>-0.2</v>
      </c>
      <c r="P70" s="27">
        <v>0</v>
      </c>
      <c r="Q70" s="27">
        <v>-0.33333333333333331</v>
      </c>
      <c r="R70" s="27">
        <v>-0.2</v>
      </c>
      <c r="S70" s="27">
        <v>-0.5714285714285714</v>
      </c>
      <c r="T70" s="27" t="s">
        <v>504</v>
      </c>
    </row>
    <row r="71" spans="7:20" x14ac:dyDescent="0.25">
      <c r="G71" s="7" t="s">
        <v>48</v>
      </c>
      <c r="H71" s="27">
        <v>-0.8</v>
      </c>
      <c r="I71" s="27">
        <v>-0.33333333333333331</v>
      </c>
      <c r="J71" s="27">
        <v>-0.2</v>
      </c>
      <c r="K71" s="27">
        <v>-0.22222222222222221</v>
      </c>
      <c r="L71" s="27">
        <v>-0.66666666666666663</v>
      </c>
      <c r="M71" s="27">
        <v>-0.2</v>
      </c>
      <c r="N71" s="27">
        <v>-0.6</v>
      </c>
      <c r="O71" s="27">
        <v>-0.33333333333333331</v>
      </c>
      <c r="P71" s="27">
        <v>-0.33333333333333331</v>
      </c>
      <c r="Q71" s="27">
        <v>-0.5</v>
      </c>
      <c r="R71" s="27">
        <v>-0.375</v>
      </c>
      <c r="S71" s="27">
        <v>-0.44444444444444442</v>
      </c>
      <c r="T71" s="27">
        <v>0</v>
      </c>
    </row>
    <row r="72" spans="7:20" x14ac:dyDescent="0.25">
      <c r="G72" s="7" t="s">
        <v>23</v>
      </c>
      <c r="H72" s="27">
        <v>-0.2857142857142857</v>
      </c>
      <c r="I72" s="27">
        <v>-0.4</v>
      </c>
      <c r="J72" s="27">
        <v>-0.46153846153846156</v>
      </c>
      <c r="K72" s="27">
        <v>-0.91666666666666663</v>
      </c>
      <c r="L72" s="27">
        <v>-0.44444444444444442</v>
      </c>
      <c r="M72" s="27">
        <v>-0.75</v>
      </c>
      <c r="N72" s="27">
        <v>-0.83333333333333337</v>
      </c>
      <c r="O72" s="27">
        <v>-0.83333333333333337</v>
      </c>
      <c r="P72" s="27">
        <v>-0.2857142857142857</v>
      </c>
      <c r="Q72" s="27">
        <v>-0.2</v>
      </c>
      <c r="R72" s="27">
        <v>0.1111111111111111</v>
      </c>
      <c r="S72" s="27">
        <v>-0.5</v>
      </c>
      <c r="T72" s="27" t="s">
        <v>504</v>
      </c>
    </row>
    <row r="73" spans="7:20" x14ac:dyDescent="0.25">
      <c r="G73" s="7" t="s">
        <v>10</v>
      </c>
      <c r="H73" s="27">
        <v>-0.4</v>
      </c>
      <c r="I73" s="27">
        <v>0</v>
      </c>
      <c r="J73" s="27">
        <v>-0.5</v>
      </c>
      <c r="K73" s="27">
        <v>-0.5</v>
      </c>
      <c r="L73" s="27">
        <v>-0.7142857142857143</v>
      </c>
      <c r="M73" s="27">
        <v>-0.66666666666666663</v>
      </c>
      <c r="N73" s="27">
        <v>-0.16666666666666666</v>
      </c>
      <c r="O73" s="27">
        <v>-0.5</v>
      </c>
      <c r="P73" s="27">
        <v>-0.25</v>
      </c>
      <c r="Q73" s="27">
        <v>-0.42857142857142855</v>
      </c>
      <c r="R73" s="27">
        <v>-0.25</v>
      </c>
      <c r="S73" s="27">
        <v>-0.125</v>
      </c>
      <c r="T73" s="27" t="s">
        <v>504</v>
      </c>
    </row>
    <row r="74" spans="7:20" x14ac:dyDescent="0.25">
      <c r="G74" s="7" t="s">
        <v>17</v>
      </c>
      <c r="H74" s="27">
        <v>-0.5714285714285714</v>
      </c>
      <c r="I74" s="27">
        <v>-0.6</v>
      </c>
      <c r="J74" s="27">
        <v>-0.16666666666666666</v>
      </c>
      <c r="K74" s="27">
        <v>-0.5</v>
      </c>
      <c r="L74" s="27">
        <v>0</v>
      </c>
      <c r="M74" s="27">
        <v>0</v>
      </c>
      <c r="N74" s="27">
        <v>-0.1111111111111111</v>
      </c>
      <c r="O74" s="27">
        <v>-0.5</v>
      </c>
      <c r="P74" s="27">
        <v>-0.7142857142857143</v>
      </c>
      <c r="Q74" s="27">
        <v>-0.5</v>
      </c>
      <c r="R74" s="27">
        <v>-0.44444444444444442</v>
      </c>
      <c r="S74" s="27">
        <v>9.0909090909090912E-2</v>
      </c>
      <c r="T74" s="27" t="s">
        <v>504</v>
      </c>
    </row>
    <row r="75" spans="7:20" x14ac:dyDescent="0.25">
      <c r="G75" s="7" t="s">
        <v>36</v>
      </c>
      <c r="H75" s="27">
        <v>-0.6</v>
      </c>
      <c r="I75" s="27">
        <v>-0.4</v>
      </c>
      <c r="J75" s="27">
        <v>-0.44444444444444442</v>
      </c>
      <c r="K75" s="27">
        <v>-0.42857142857142855</v>
      </c>
      <c r="L75" s="27">
        <v>-0.14285714285714285</v>
      </c>
      <c r="M75" s="27">
        <v>0.22222222222222221</v>
      </c>
      <c r="N75" s="27">
        <v>-0.42857142857142855</v>
      </c>
      <c r="O75" s="27">
        <v>-0.33333333333333331</v>
      </c>
      <c r="P75" s="27">
        <v>-0.16666666666666666</v>
      </c>
      <c r="Q75" s="27">
        <v>-0.33333333333333331</v>
      </c>
      <c r="R75" s="27">
        <v>-0.125</v>
      </c>
      <c r="S75" s="27">
        <v>-0.33333333333333331</v>
      </c>
      <c r="T75" s="27" t="s">
        <v>504</v>
      </c>
    </row>
    <row r="76" spans="7:20" x14ac:dyDescent="0.25">
      <c r="G76" s="7" t="s">
        <v>46</v>
      </c>
      <c r="H76" s="27">
        <v>-0.5</v>
      </c>
      <c r="I76" s="27">
        <v>-0.15384615384615385</v>
      </c>
      <c r="J76" s="27">
        <v>-0.81818181818181823</v>
      </c>
      <c r="K76" s="27">
        <v>0</v>
      </c>
      <c r="L76" s="27">
        <v>-0.18181818181818182</v>
      </c>
      <c r="M76" s="27">
        <v>-0.4</v>
      </c>
      <c r="N76" s="27">
        <v>-0.22222222222222221</v>
      </c>
      <c r="O76" s="27">
        <v>-0.84615384615384615</v>
      </c>
      <c r="P76" s="27">
        <v>0.14285714285714285</v>
      </c>
      <c r="Q76" s="27">
        <v>-0.125</v>
      </c>
      <c r="R76" s="27">
        <v>-0.45454545454545453</v>
      </c>
      <c r="S76" s="27">
        <v>-0.5</v>
      </c>
      <c r="T76" s="27" t="s">
        <v>504</v>
      </c>
    </row>
    <row r="77" spans="7:20" x14ac:dyDescent="0.25">
      <c r="G77" s="7" t="s">
        <v>12</v>
      </c>
      <c r="H77" s="27">
        <v>-0.375</v>
      </c>
      <c r="I77" s="27">
        <v>-0.16666666666666666</v>
      </c>
      <c r="J77" s="27">
        <v>-0.33333333333333331</v>
      </c>
      <c r="K77" s="27">
        <v>-0.75</v>
      </c>
      <c r="L77" s="27">
        <v>-0.6</v>
      </c>
      <c r="M77" s="27">
        <v>-0.5714285714285714</v>
      </c>
      <c r="N77" s="27">
        <v>-1</v>
      </c>
      <c r="O77" s="27">
        <v>-0.44444444444444442</v>
      </c>
      <c r="P77" s="27">
        <v>-0.8571428571428571</v>
      </c>
      <c r="Q77" s="27">
        <v>0</v>
      </c>
      <c r="R77" s="27">
        <v>-0.1111111111111111</v>
      </c>
      <c r="S77" s="27">
        <v>0</v>
      </c>
      <c r="T77" s="27" t="s">
        <v>504</v>
      </c>
    </row>
    <row r="78" spans="7:20" x14ac:dyDescent="0.25">
      <c r="G78" s="7" t="s">
        <v>5</v>
      </c>
      <c r="H78" s="27">
        <v>-0.66666666666666663</v>
      </c>
      <c r="I78" s="27">
        <v>0</v>
      </c>
      <c r="J78" s="27">
        <v>1</v>
      </c>
      <c r="K78" s="27">
        <v>-0.44444444444444442</v>
      </c>
      <c r="L78" s="27">
        <v>-0.5714285714285714</v>
      </c>
      <c r="M78" s="27">
        <v>-0.16666666666666666</v>
      </c>
      <c r="N78" s="27">
        <v>0</v>
      </c>
      <c r="O78" s="27">
        <v>-0.16666666666666666</v>
      </c>
      <c r="P78" s="27">
        <v>-0.16666666666666666</v>
      </c>
      <c r="Q78" s="27">
        <v>-0.75</v>
      </c>
      <c r="R78" s="27">
        <v>0.14285714285714285</v>
      </c>
      <c r="S78" s="27">
        <v>0</v>
      </c>
      <c r="T78" s="27">
        <v>0</v>
      </c>
    </row>
    <row r="79" spans="7:20" x14ac:dyDescent="0.25">
      <c r="G79" s="7" t="s">
        <v>27</v>
      </c>
      <c r="H79" s="27">
        <v>-0.45454545454545453</v>
      </c>
      <c r="I79" s="27">
        <v>-0.7142857142857143</v>
      </c>
      <c r="J79" s="27">
        <v>0</v>
      </c>
      <c r="K79" s="27">
        <v>-0.14285714285714285</v>
      </c>
      <c r="L79" s="27">
        <v>-0.5</v>
      </c>
      <c r="M79" s="27">
        <v>-0.14285714285714285</v>
      </c>
      <c r="N79" s="27">
        <v>-0.25</v>
      </c>
      <c r="O79" s="27">
        <v>-0.4</v>
      </c>
      <c r="P79" s="27">
        <v>-0.66666666666666663</v>
      </c>
      <c r="Q79" s="27">
        <v>0.2857142857142857</v>
      </c>
      <c r="R79" s="27">
        <v>-0.2</v>
      </c>
      <c r="S79" s="27">
        <v>0.5</v>
      </c>
      <c r="T79" s="27" t="s">
        <v>504</v>
      </c>
    </row>
    <row r="80" spans="7:20" x14ac:dyDescent="0.25">
      <c r="G80" s="7" t="s">
        <v>52</v>
      </c>
      <c r="H80" s="27">
        <v>0</v>
      </c>
      <c r="I80" s="27">
        <v>-0.14285714285714285</v>
      </c>
      <c r="J80" s="27">
        <v>-1</v>
      </c>
      <c r="K80" s="27">
        <v>-0.6</v>
      </c>
      <c r="L80" s="27">
        <v>-0.42857142857142855</v>
      </c>
      <c r="M80" s="27">
        <v>-0.66666666666666663</v>
      </c>
      <c r="N80" s="27">
        <v>-0.625</v>
      </c>
      <c r="O80" s="27">
        <v>-1</v>
      </c>
      <c r="P80" s="27">
        <v>-0.5</v>
      </c>
      <c r="Q80" s="27">
        <v>-0.25</v>
      </c>
      <c r="R80" s="27">
        <v>0</v>
      </c>
      <c r="S80" s="27">
        <v>-0.4</v>
      </c>
      <c r="T80" s="27" t="s">
        <v>504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505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459</v>
      </c>
      <c r="H83" s="7" t="s">
        <v>489</v>
      </c>
      <c r="I83" s="7" t="s">
        <v>490</v>
      </c>
      <c r="J83" s="7" t="s">
        <v>491</v>
      </c>
      <c r="K83" s="7" t="s">
        <v>492</v>
      </c>
      <c r="L83" s="7" t="s">
        <v>493</v>
      </c>
      <c r="M83" s="7" t="s">
        <v>494</v>
      </c>
      <c r="N83" s="7" t="s">
        <v>495</v>
      </c>
      <c r="O83" s="7" t="s">
        <v>496</v>
      </c>
      <c r="P83" s="7" t="s">
        <v>497</v>
      </c>
      <c r="Q83" s="7" t="s">
        <v>498</v>
      </c>
      <c r="R83" s="7" t="s">
        <v>499</v>
      </c>
      <c r="S83" s="7" t="s">
        <v>500</v>
      </c>
      <c r="T83" s="7" t="s">
        <v>501</v>
      </c>
    </row>
    <row r="84" spans="7:20" x14ac:dyDescent="0.25">
      <c r="G84" s="7" t="s">
        <v>8</v>
      </c>
      <c r="H84" s="8">
        <v>71124.555555555562</v>
      </c>
      <c r="I84" s="8">
        <v>60299.857142857145</v>
      </c>
      <c r="J84" s="8">
        <v>49575</v>
      </c>
      <c r="K84" s="8">
        <v>39807.333333333336</v>
      </c>
      <c r="L84" s="8">
        <v>57501.285714285717</v>
      </c>
      <c r="M84" s="8">
        <v>48980.833333333336</v>
      </c>
      <c r="N84" s="8">
        <v>58296.714285714283</v>
      </c>
      <c r="O84" s="8">
        <v>59238.833333333336</v>
      </c>
      <c r="P84" s="8">
        <v>50767.666666666664</v>
      </c>
      <c r="Q84" s="8">
        <v>58526.875</v>
      </c>
      <c r="R84" s="8">
        <v>63331.142857142855</v>
      </c>
      <c r="S84" s="8">
        <v>49949.166666666664</v>
      </c>
      <c r="T84" s="8">
        <v>72906</v>
      </c>
    </row>
    <row r="85" spans="7:20" x14ac:dyDescent="0.25">
      <c r="G85" s="7" t="s">
        <v>15</v>
      </c>
      <c r="H85" s="8">
        <v>42514.25</v>
      </c>
      <c r="I85" s="8">
        <v>49699.199999999997</v>
      </c>
      <c r="J85" s="8">
        <v>61280.777777777781</v>
      </c>
      <c r="K85" s="8">
        <v>69123.333333333328</v>
      </c>
      <c r="L85" s="8">
        <v>52360.333333333336</v>
      </c>
      <c r="M85" s="8">
        <v>46927.75</v>
      </c>
      <c r="N85" s="8">
        <v>47920.888888888891</v>
      </c>
      <c r="O85" s="8">
        <v>77257</v>
      </c>
      <c r="P85" s="8">
        <v>46406.166666666664</v>
      </c>
      <c r="Q85" s="8">
        <v>41409</v>
      </c>
      <c r="R85" s="8">
        <v>59128.857142857145</v>
      </c>
      <c r="S85" s="8">
        <v>49470.5</v>
      </c>
      <c r="T85" s="8" t="s">
        <v>504</v>
      </c>
    </row>
    <row r="86" spans="7:20" x14ac:dyDescent="0.25">
      <c r="G86" s="7" t="s">
        <v>48</v>
      </c>
      <c r="H86" s="8">
        <v>48439</v>
      </c>
      <c r="I86" s="8">
        <v>46160.285714285717</v>
      </c>
      <c r="J86" s="8">
        <v>38849.833333333336</v>
      </c>
      <c r="K86" s="8">
        <v>70919</v>
      </c>
      <c r="L86" s="8">
        <v>59589</v>
      </c>
      <c r="M86" s="8">
        <v>40459</v>
      </c>
      <c r="N86" s="8">
        <v>75275.666666666672</v>
      </c>
      <c r="O86" s="8">
        <v>54387.5</v>
      </c>
      <c r="P86" s="8">
        <v>52547.75</v>
      </c>
      <c r="Q86" s="8">
        <v>50102</v>
      </c>
      <c r="R86" s="8">
        <v>58754.125</v>
      </c>
      <c r="S86" s="8">
        <v>56581.75</v>
      </c>
      <c r="T86" s="8" t="s">
        <v>504</v>
      </c>
    </row>
    <row r="87" spans="7:20" x14ac:dyDescent="0.25">
      <c r="G87" s="7" t="s">
        <v>23</v>
      </c>
      <c r="H87" s="8">
        <v>46113.5</v>
      </c>
      <c r="I87" s="8">
        <v>56964.333333333336</v>
      </c>
      <c r="J87" s="8">
        <v>25958</v>
      </c>
      <c r="K87" s="8">
        <v>58114.25</v>
      </c>
      <c r="L87" s="8">
        <v>54315.6</v>
      </c>
      <c r="M87" s="8">
        <v>32023.285714285714</v>
      </c>
      <c r="N87" s="8">
        <v>48109.2</v>
      </c>
      <c r="O87" s="8">
        <v>59755.888888888891</v>
      </c>
      <c r="P87" s="8">
        <v>42991.142857142855</v>
      </c>
      <c r="Q87" s="8">
        <v>50409.333333333336</v>
      </c>
      <c r="R87" s="8">
        <v>65059.888888888891</v>
      </c>
      <c r="S87" s="8">
        <v>62812.833333333336</v>
      </c>
      <c r="T87" s="8" t="s">
        <v>504</v>
      </c>
    </row>
    <row r="88" spans="7:20" x14ac:dyDescent="0.25">
      <c r="G88" s="7" t="s">
        <v>10</v>
      </c>
      <c r="H88" s="8">
        <v>66919.333333333328</v>
      </c>
      <c r="I88" s="8">
        <v>54863.166666666664</v>
      </c>
      <c r="J88" s="8">
        <v>59163.5</v>
      </c>
      <c r="K88" s="8">
        <v>46080.333333333336</v>
      </c>
      <c r="L88" s="8">
        <v>61251.857142857145</v>
      </c>
      <c r="M88" s="8">
        <v>42912.75</v>
      </c>
      <c r="N88" s="8">
        <v>56430</v>
      </c>
      <c r="O88" s="8">
        <v>59479.8</v>
      </c>
      <c r="P88" s="8">
        <v>64010.8</v>
      </c>
      <c r="Q88" s="8">
        <v>44851.666666666664</v>
      </c>
      <c r="R88" s="8">
        <v>49899.199999999997</v>
      </c>
      <c r="S88" s="8">
        <v>44363</v>
      </c>
      <c r="T88" s="8" t="s">
        <v>504</v>
      </c>
    </row>
    <row r="89" spans="7:20" x14ac:dyDescent="0.25">
      <c r="G89" s="7" t="s">
        <v>17</v>
      </c>
      <c r="H89" s="8">
        <v>56495</v>
      </c>
      <c r="I89" s="8">
        <v>73958</v>
      </c>
      <c r="J89" s="8">
        <v>60856.166666666664</v>
      </c>
      <c r="K89" s="8">
        <v>55477.7</v>
      </c>
      <c r="L89" s="8">
        <v>50835.666666666664</v>
      </c>
      <c r="M89" s="8">
        <v>55620.909090909088</v>
      </c>
      <c r="N89" s="8">
        <v>58521.222222222219</v>
      </c>
      <c r="O89" s="8">
        <v>37718.75</v>
      </c>
      <c r="P89" s="8">
        <v>54949.428571428572</v>
      </c>
      <c r="Q89" s="8">
        <v>49828.5</v>
      </c>
      <c r="R89" s="8">
        <v>44178.888888888891</v>
      </c>
      <c r="S89" s="8">
        <v>59559.454545454544</v>
      </c>
      <c r="T89" s="8" t="s">
        <v>504</v>
      </c>
    </row>
    <row r="90" spans="7:20" x14ac:dyDescent="0.25">
      <c r="G90" s="7" t="s">
        <v>36</v>
      </c>
      <c r="H90" s="8">
        <v>42514.25</v>
      </c>
      <c r="I90" s="8">
        <v>49699.199999999997</v>
      </c>
      <c r="J90" s="8">
        <v>61280.777777777781</v>
      </c>
      <c r="K90" s="8">
        <v>69123.333333333328</v>
      </c>
      <c r="L90" s="8">
        <v>52360.333333333336</v>
      </c>
      <c r="M90" s="8">
        <v>46927.75</v>
      </c>
      <c r="N90" s="8">
        <v>47920.888888888891</v>
      </c>
      <c r="O90" s="8">
        <v>77257</v>
      </c>
      <c r="P90" s="8">
        <v>46406.166666666664</v>
      </c>
      <c r="Q90" s="8">
        <v>41409</v>
      </c>
      <c r="R90" s="8">
        <v>59128.857142857145</v>
      </c>
      <c r="S90" s="8">
        <v>49470.5</v>
      </c>
      <c r="T90" s="8" t="s">
        <v>504</v>
      </c>
    </row>
    <row r="91" spans="7:20" x14ac:dyDescent="0.25">
      <c r="G91" s="7" t="s">
        <v>46</v>
      </c>
      <c r="H91" s="8">
        <v>48439</v>
      </c>
      <c r="I91" s="8">
        <v>46160.285714285717</v>
      </c>
      <c r="J91" s="8">
        <v>38849.833333333336</v>
      </c>
      <c r="K91" s="8">
        <v>70919</v>
      </c>
      <c r="L91" s="8">
        <v>59589</v>
      </c>
      <c r="M91" s="8">
        <v>40459</v>
      </c>
      <c r="N91" s="8">
        <v>75275.666666666672</v>
      </c>
      <c r="O91" s="8">
        <v>54387.5</v>
      </c>
      <c r="P91" s="8">
        <v>52547.75</v>
      </c>
      <c r="Q91" s="8">
        <v>50102</v>
      </c>
      <c r="R91" s="8">
        <v>58754.125</v>
      </c>
      <c r="S91" s="8">
        <v>56581.75</v>
      </c>
      <c r="T91" s="8" t="s">
        <v>504</v>
      </c>
    </row>
    <row r="92" spans="7:20" x14ac:dyDescent="0.25">
      <c r="G92" s="7" t="s">
        <v>12</v>
      </c>
      <c r="H92" s="8">
        <v>48439</v>
      </c>
      <c r="I92" s="8">
        <v>46160.285714285717</v>
      </c>
      <c r="J92" s="8">
        <v>38849.833333333336</v>
      </c>
      <c r="K92" s="8">
        <v>70919</v>
      </c>
      <c r="L92" s="8">
        <v>59589</v>
      </c>
      <c r="M92" s="8">
        <v>40459</v>
      </c>
      <c r="N92" s="8">
        <v>75275.666666666672</v>
      </c>
      <c r="O92" s="8">
        <v>54387.5</v>
      </c>
      <c r="P92" s="8">
        <v>52547.75</v>
      </c>
      <c r="Q92" s="8">
        <v>50102</v>
      </c>
      <c r="R92" s="8">
        <v>58754.125</v>
      </c>
      <c r="S92" s="8">
        <v>56581.75</v>
      </c>
      <c r="T92" s="8" t="s">
        <v>504</v>
      </c>
    </row>
    <row r="93" spans="7:20" x14ac:dyDescent="0.25">
      <c r="G93" s="7" t="s">
        <v>5</v>
      </c>
      <c r="H93" s="8">
        <v>62136.142857142855</v>
      </c>
      <c r="I93" s="8">
        <v>44260.2</v>
      </c>
      <c r="J93" s="8">
        <v>57768.461538461539</v>
      </c>
      <c r="K93" s="8">
        <v>64551.166666666664</v>
      </c>
      <c r="L93" s="8">
        <v>49520</v>
      </c>
      <c r="M93" s="8">
        <v>61236.5</v>
      </c>
      <c r="N93" s="8">
        <v>46081.666666666664</v>
      </c>
      <c r="O93" s="8">
        <v>49600.333333333336</v>
      </c>
      <c r="P93" s="8">
        <v>49720.285714285717</v>
      </c>
      <c r="Q93" s="8">
        <v>43309.599999999999</v>
      </c>
      <c r="R93" s="8">
        <v>63847.333333333336</v>
      </c>
      <c r="S93" s="8">
        <v>55456.25</v>
      </c>
      <c r="T93" s="8" t="s">
        <v>504</v>
      </c>
    </row>
    <row r="94" spans="7:20" x14ac:dyDescent="0.25">
      <c r="G94" s="7" t="s">
        <v>27</v>
      </c>
      <c r="H94" s="8">
        <v>46113.5</v>
      </c>
      <c r="I94" s="8">
        <v>56964.333333333336</v>
      </c>
      <c r="J94" s="8">
        <v>25958</v>
      </c>
      <c r="K94" s="8">
        <v>58114.25</v>
      </c>
      <c r="L94" s="8">
        <v>54315.6</v>
      </c>
      <c r="M94" s="8">
        <v>32023.285714285714</v>
      </c>
      <c r="N94" s="8">
        <v>48109.2</v>
      </c>
      <c r="O94" s="8">
        <v>59755.888888888891</v>
      </c>
      <c r="P94" s="8">
        <v>42991.142857142855</v>
      </c>
      <c r="Q94" s="8">
        <v>50409.333333333336</v>
      </c>
      <c r="R94" s="8">
        <v>65059.888888888891</v>
      </c>
      <c r="S94" s="8">
        <v>62812.833333333336</v>
      </c>
      <c r="T94" s="8" t="s">
        <v>504</v>
      </c>
    </row>
    <row r="95" spans="7:20" x14ac:dyDescent="0.25">
      <c r="G95" s="7" t="s">
        <v>52</v>
      </c>
      <c r="H95" s="8">
        <v>55100.818181818184</v>
      </c>
      <c r="I95" s="8">
        <v>38786.571428571428</v>
      </c>
      <c r="J95" s="8">
        <v>30682</v>
      </c>
      <c r="K95" s="8">
        <v>60800.571428571428</v>
      </c>
      <c r="L95" s="8">
        <v>50783.199999999997</v>
      </c>
      <c r="M95" s="8">
        <v>66376.28571428571</v>
      </c>
      <c r="N95" s="8">
        <v>39807.625</v>
      </c>
      <c r="O95" s="8">
        <v>54431.8</v>
      </c>
      <c r="P95" s="8">
        <v>50035.666666666664</v>
      </c>
      <c r="Q95" s="8">
        <v>54502</v>
      </c>
      <c r="R95" s="8">
        <v>64262.9</v>
      </c>
      <c r="S95" s="8">
        <v>50879.833333333336</v>
      </c>
      <c r="T95" s="8" t="s">
        <v>504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Данные</vt:lpstr>
      <vt:lpstr>задача 1</vt:lpstr>
      <vt:lpstr>задача 1.1</vt:lpstr>
      <vt:lpstr>задача 2</vt:lpstr>
      <vt:lpstr>задача 2.1</vt:lpstr>
      <vt:lpstr>задача 3.1</vt:lpstr>
      <vt:lpstr>задача 3. данные</vt:lpstr>
      <vt:lpstr>задача 3.2</vt:lpstr>
      <vt:lpstr>задача 3.3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Ника Солнцева</cp:lastModifiedBy>
  <dcterms:created xsi:type="dcterms:W3CDTF">2025-11-13T20:18:33Z</dcterms:created>
  <dcterms:modified xsi:type="dcterms:W3CDTF">2026-09-21T20:28:28Z</dcterms:modified>
</cp:coreProperties>
</file>