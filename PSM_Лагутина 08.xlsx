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а Солнцева\Desktop\Бизнес аналитика\контр точки\"/>
    </mc:Choice>
  </mc:AlternateContent>
  <xr:revisionPtr revIDLastSave="0" documentId="13_ncr:1_{3040B1B9-E15C-47D1-B123-74EC810D7BA8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Данные" sheetId="1" r:id="rId1"/>
    <sheet name="результат" sheetId="2" r:id="rId2"/>
    <sheet name="1 способ" sheetId="3" r:id="rId3"/>
    <sheet name="2 способ" sheetId="4" r:id="rId4"/>
    <sheet name="3 способ" sheetId="5" r:id="rId5"/>
    <sheet name="4 способ" sheetId="6" r:id="rId6"/>
  </sheets>
  <externalReferences>
    <externalReference r:id="rId7"/>
  </externalReferences>
  <definedNames>
    <definedName name="_xlnm._FilterDatabase" localSheetId="0" hidden="1">Данные!$A$1:$K$1001</definedName>
  </definedNames>
  <calcPr calcId="191029"/>
  <pivotCaches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8" i="5" l="1"/>
  <c r="J98" i="5"/>
  <c r="M97" i="5"/>
  <c r="L97" i="5"/>
  <c r="K97" i="5"/>
  <c r="J97" i="5"/>
  <c r="M96" i="5"/>
  <c r="L96" i="5"/>
  <c r="K96" i="5"/>
  <c r="J96" i="5"/>
  <c r="K94" i="5"/>
  <c r="J94" i="5"/>
  <c r="M93" i="5"/>
  <c r="L93" i="5"/>
  <c r="K93" i="5"/>
  <c r="J93" i="5"/>
  <c r="M92" i="5"/>
  <c r="L92" i="5"/>
  <c r="K92" i="5"/>
  <c r="J92" i="5"/>
  <c r="K90" i="5"/>
  <c r="J90" i="5"/>
  <c r="M89" i="5"/>
  <c r="L89" i="5"/>
  <c r="K89" i="5"/>
  <c r="J89" i="5"/>
  <c r="M88" i="5"/>
  <c r="L88" i="5"/>
  <c r="K88" i="5"/>
  <c r="J88" i="5"/>
  <c r="K86" i="5"/>
  <c r="J86" i="5"/>
  <c r="M85" i="5"/>
  <c r="L85" i="5"/>
  <c r="K85" i="5"/>
  <c r="J85" i="5"/>
  <c r="M84" i="5"/>
  <c r="L84" i="5"/>
  <c r="K84" i="5"/>
  <c r="J84" i="5"/>
  <c r="K82" i="5"/>
  <c r="J82" i="5"/>
  <c r="M81" i="5"/>
  <c r="L81" i="5"/>
  <c r="K81" i="5"/>
  <c r="J81" i="5"/>
  <c r="M80" i="5"/>
  <c r="L80" i="5"/>
  <c r="K80" i="5"/>
  <c r="J80" i="5"/>
  <c r="K78" i="5"/>
  <c r="J78" i="5"/>
  <c r="M77" i="5"/>
  <c r="L77" i="5"/>
  <c r="K77" i="5"/>
  <c r="J77" i="5"/>
  <c r="M76" i="5"/>
  <c r="L76" i="5"/>
  <c r="K76" i="5"/>
  <c r="J76" i="5"/>
  <c r="K74" i="5"/>
  <c r="J74" i="5"/>
  <c r="M73" i="5"/>
  <c r="L73" i="5"/>
  <c r="K73" i="5"/>
  <c r="J73" i="5"/>
  <c r="M72" i="5"/>
  <c r="L72" i="5"/>
  <c r="K72" i="5"/>
  <c r="J72" i="5"/>
  <c r="K70" i="5"/>
  <c r="J70" i="5"/>
  <c r="M69" i="5"/>
  <c r="L69" i="5"/>
  <c r="K69" i="5"/>
  <c r="J69" i="5"/>
  <c r="M68" i="5"/>
  <c r="L68" i="5"/>
  <c r="K68" i="5"/>
  <c r="J68" i="5"/>
  <c r="K66" i="5"/>
  <c r="J66" i="5"/>
  <c r="M65" i="5"/>
  <c r="L65" i="5"/>
  <c r="K65" i="5"/>
  <c r="J65" i="5"/>
  <c r="M64" i="5"/>
  <c r="L64" i="5"/>
  <c r="K64" i="5"/>
  <c r="J64" i="5"/>
  <c r="K62" i="5"/>
  <c r="J62" i="5"/>
  <c r="M61" i="5"/>
  <c r="L61" i="5"/>
  <c r="K61" i="5"/>
  <c r="J61" i="5"/>
  <c r="M60" i="5"/>
  <c r="L60" i="5"/>
  <c r="K60" i="5"/>
  <c r="J60" i="5"/>
  <c r="K58" i="5"/>
  <c r="J58" i="5"/>
  <c r="M57" i="5"/>
  <c r="L57" i="5"/>
  <c r="K57" i="5"/>
  <c r="J57" i="5"/>
  <c r="M56" i="5"/>
  <c r="L56" i="5"/>
  <c r="K56" i="5"/>
  <c r="J56" i="5"/>
  <c r="K54" i="5"/>
  <c r="J54" i="5"/>
  <c r="M53" i="5"/>
  <c r="L53" i="5"/>
  <c r="K53" i="5"/>
  <c r="J53" i="5"/>
  <c r="M52" i="5"/>
  <c r="L52" i="5"/>
  <c r="K52" i="5"/>
  <c r="J52" i="5"/>
  <c r="K50" i="5"/>
  <c r="J50" i="5"/>
  <c r="M49" i="5"/>
  <c r="L49" i="5"/>
  <c r="K49" i="5"/>
  <c r="J49" i="5"/>
  <c r="M48" i="5"/>
  <c r="L48" i="5"/>
  <c r="K48" i="5"/>
  <c r="J48" i="5"/>
  <c r="K46" i="5"/>
  <c r="J46" i="5"/>
  <c r="M45" i="5"/>
  <c r="L45" i="5"/>
  <c r="K45" i="5"/>
  <c r="J45" i="5"/>
  <c r="M44" i="5"/>
  <c r="L44" i="5"/>
  <c r="K44" i="5"/>
  <c r="J44" i="5"/>
  <c r="K42" i="5"/>
  <c r="J42" i="5"/>
  <c r="M41" i="5"/>
  <c r="L41" i="5"/>
  <c r="K41" i="5"/>
  <c r="J41" i="5"/>
  <c r="M40" i="5"/>
  <c r="L40" i="5"/>
  <c r="K40" i="5"/>
  <c r="J40" i="5"/>
  <c r="K38" i="5"/>
  <c r="J38" i="5"/>
  <c r="M37" i="5"/>
  <c r="L37" i="5"/>
  <c r="K37" i="5"/>
  <c r="J37" i="5"/>
  <c r="M36" i="5"/>
  <c r="L36" i="5"/>
  <c r="K36" i="5"/>
  <c r="J36" i="5"/>
  <c r="K34" i="5"/>
  <c r="J34" i="5"/>
  <c r="M33" i="5"/>
  <c r="L33" i="5"/>
  <c r="K33" i="5"/>
  <c r="J33" i="5"/>
  <c r="M32" i="5"/>
  <c r="L32" i="5"/>
  <c r="K32" i="5"/>
  <c r="J32" i="5"/>
  <c r="K30" i="5"/>
  <c r="J30" i="5"/>
  <c r="M29" i="5"/>
  <c r="L29" i="5"/>
  <c r="K29" i="5"/>
  <c r="J29" i="5"/>
  <c r="M28" i="5"/>
  <c r="L28" i="5"/>
  <c r="K28" i="5"/>
  <c r="J28" i="5"/>
  <c r="K26" i="5"/>
  <c r="J26" i="5"/>
  <c r="M25" i="5"/>
  <c r="L25" i="5"/>
  <c r="K25" i="5"/>
  <c r="J25" i="5"/>
  <c r="M24" i="5"/>
  <c r="L24" i="5"/>
  <c r="K24" i="5"/>
  <c r="J24" i="5"/>
  <c r="K22" i="5"/>
  <c r="J22" i="5"/>
  <c r="M21" i="5"/>
  <c r="L21" i="5"/>
  <c r="K21" i="5"/>
  <c r="J21" i="5"/>
  <c r="M20" i="5"/>
  <c r="L20" i="5"/>
  <c r="K20" i="5"/>
  <c r="J20" i="5"/>
  <c r="K18" i="5"/>
  <c r="J18" i="5"/>
  <c r="M17" i="5"/>
  <c r="L17" i="5"/>
  <c r="K17" i="5"/>
  <c r="J17" i="5"/>
  <c r="M16" i="5"/>
  <c r="L16" i="5"/>
  <c r="K16" i="5"/>
  <c r="J16" i="5"/>
  <c r="K14" i="5"/>
  <c r="J14" i="5"/>
  <c r="M13" i="5"/>
  <c r="L13" i="5"/>
  <c r="K13" i="5"/>
  <c r="J13" i="5"/>
  <c r="M12" i="5"/>
  <c r="L12" i="5"/>
  <c r="K12" i="5"/>
  <c r="J12" i="5"/>
  <c r="K10" i="5"/>
  <c r="J10" i="5"/>
  <c r="M9" i="5"/>
  <c r="L9" i="5"/>
  <c r="K9" i="5"/>
  <c r="J9" i="5"/>
  <c r="M8" i="5"/>
  <c r="L8" i="5"/>
  <c r="K8" i="5"/>
  <c r="J8" i="5"/>
  <c r="G7" i="5"/>
  <c r="M99" i="5" s="1"/>
  <c r="L6" i="5"/>
  <c r="K6" i="5"/>
  <c r="J6" i="5"/>
  <c r="M5" i="5"/>
  <c r="L5" i="5"/>
  <c r="K5" i="5"/>
  <c r="J5" i="5"/>
  <c r="M4" i="5"/>
  <c r="L4" i="5"/>
  <c r="K4" i="5"/>
  <c r="G4" i="5"/>
  <c r="K3" i="5"/>
  <c r="G3" i="5"/>
  <c r="M2" i="5"/>
  <c r="L2" i="5"/>
  <c r="K2" i="5"/>
  <c r="J2" i="5"/>
  <c r="G2" i="5"/>
  <c r="G1" i="5"/>
  <c r="L3" i="4"/>
  <c r="M3" i="4"/>
  <c r="L4" i="4"/>
  <c r="M4" i="4"/>
  <c r="L5" i="4"/>
  <c r="M5" i="4"/>
  <c r="L6" i="4"/>
  <c r="M6" i="4"/>
  <c r="L7" i="4"/>
  <c r="M7" i="4"/>
  <c r="L8" i="4"/>
  <c r="M8" i="4"/>
  <c r="L9" i="4"/>
  <c r="M9" i="4"/>
  <c r="L10" i="4"/>
  <c r="M10" i="4"/>
  <c r="L11" i="4"/>
  <c r="M11" i="4"/>
  <c r="L12" i="4"/>
  <c r="M12" i="4"/>
  <c r="L13" i="4"/>
  <c r="M13" i="4"/>
  <c r="L14" i="4"/>
  <c r="M14" i="4"/>
  <c r="L15" i="4"/>
  <c r="M15" i="4"/>
  <c r="L16" i="4"/>
  <c r="M16" i="4"/>
  <c r="L17" i="4"/>
  <c r="M17" i="4"/>
  <c r="L18" i="4"/>
  <c r="M18" i="4"/>
  <c r="L19" i="4"/>
  <c r="M19" i="4"/>
  <c r="L20" i="4"/>
  <c r="M20" i="4"/>
  <c r="L21" i="4"/>
  <c r="M21" i="4"/>
  <c r="L22" i="4"/>
  <c r="M22" i="4"/>
  <c r="L23" i="4"/>
  <c r="M23" i="4"/>
  <c r="L24" i="4"/>
  <c r="M24" i="4"/>
  <c r="L25" i="4"/>
  <c r="M25" i="4"/>
  <c r="L26" i="4"/>
  <c r="M26" i="4"/>
  <c r="L27" i="4"/>
  <c r="M27" i="4"/>
  <c r="L28" i="4"/>
  <c r="M28" i="4"/>
  <c r="L29" i="4"/>
  <c r="M29" i="4"/>
  <c r="L30" i="4"/>
  <c r="M30" i="4"/>
  <c r="L31" i="4"/>
  <c r="M31" i="4"/>
  <c r="L32" i="4"/>
  <c r="M32" i="4"/>
  <c r="L33" i="4"/>
  <c r="M33" i="4"/>
  <c r="L34" i="4"/>
  <c r="M34" i="4"/>
  <c r="L35" i="4"/>
  <c r="M35" i="4"/>
  <c r="L36" i="4"/>
  <c r="M36" i="4"/>
  <c r="L37" i="4"/>
  <c r="M37" i="4"/>
  <c r="L38" i="4"/>
  <c r="M38" i="4"/>
  <c r="L39" i="4"/>
  <c r="M39" i="4"/>
  <c r="L40" i="4"/>
  <c r="M40" i="4"/>
  <c r="L41" i="4"/>
  <c r="M41" i="4"/>
  <c r="L42" i="4"/>
  <c r="M42" i="4"/>
  <c r="L43" i="4"/>
  <c r="M43" i="4"/>
  <c r="L44" i="4"/>
  <c r="M44" i="4"/>
  <c r="L45" i="4"/>
  <c r="M45" i="4"/>
  <c r="L46" i="4"/>
  <c r="M46" i="4"/>
  <c r="L47" i="4"/>
  <c r="M47" i="4"/>
  <c r="L48" i="4"/>
  <c r="M48" i="4"/>
  <c r="L49" i="4"/>
  <c r="M49" i="4"/>
  <c r="L50" i="4"/>
  <c r="M50" i="4"/>
  <c r="L51" i="4"/>
  <c r="M51" i="4"/>
  <c r="L52" i="4"/>
  <c r="M52" i="4"/>
  <c r="L53" i="4"/>
  <c r="M53" i="4"/>
  <c r="L54" i="4"/>
  <c r="M54" i="4"/>
  <c r="L55" i="4"/>
  <c r="M55" i="4"/>
  <c r="L56" i="4"/>
  <c r="M56" i="4"/>
  <c r="L57" i="4"/>
  <c r="M57" i="4"/>
  <c r="L58" i="4"/>
  <c r="M58" i="4"/>
  <c r="L59" i="4"/>
  <c r="M59" i="4"/>
  <c r="L60" i="4"/>
  <c r="M60" i="4"/>
  <c r="L61" i="4"/>
  <c r="M61" i="4"/>
  <c r="L62" i="4"/>
  <c r="M62" i="4"/>
  <c r="L63" i="4"/>
  <c r="M63" i="4"/>
  <c r="L64" i="4"/>
  <c r="M64" i="4"/>
  <c r="L65" i="4"/>
  <c r="M65" i="4"/>
  <c r="L66" i="4"/>
  <c r="M66" i="4"/>
  <c r="L67" i="4"/>
  <c r="M67" i="4"/>
  <c r="L68" i="4"/>
  <c r="M68" i="4"/>
  <c r="L69" i="4"/>
  <c r="M69" i="4"/>
  <c r="L70" i="4"/>
  <c r="M70" i="4"/>
  <c r="L71" i="4"/>
  <c r="M71" i="4"/>
  <c r="L72" i="4"/>
  <c r="M72" i="4"/>
  <c r="L73" i="4"/>
  <c r="M73" i="4"/>
  <c r="L74" i="4"/>
  <c r="M74" i="4"/>
  <c r="L75" i="4"/>
  <c r="M75" i="4"/>
  <c r="L76" i="4"/>
  <c r="M76" i="4"/>
  <c r="L77" i="4"/>
  <c r="M77" i="4"/>
  <c r="L78" i="4"/>
  <c r="M78" i="4"/>
  <c r="L79" i="4"/>
  <c r="M79" i="4"/>
  <c r="L80" i="4"/>
  <c r="M80" i="4"/>
  <c r="L81" i="4"/>
  <c r="M81" i="4"/>
  <c r="L82" i="4"/>
  <c r="M82" i="4"/>
  <c r="L83" i="4"/>
  <c r="M83" i="4"/>
  <c r="L84" i="4"/>
  <c r="M84" i="4"/>
  <c r="L85" i="4"/>
  <c r="M85" i="4"/>
  <c r="L86" i="4"/>
  <c r="M86" i="4"/>
  <c r="L87" i="4"/>
  <c r="M87" i="4"/>
  <c r="L88" i="4"/>
  <c r="M88" i="4"/>
  <c r="L89" i="4"/>
  <c r="M89" i="4"/>
  <c r="L90" i="4"/>
  <c r="M90" i="4"/>
  <c r="L91" i="4"/>
  <c r="M91" i="4"/>
  <c r="L92" i="4"/>
  <c r="M92" i="4"/>
  <c r="L93" i="4"/>
  <c r="M93" i="4"/>
  <c r="L94" i="4"/>
  <c r="M94" i="4"/>
  <c r="L95" i="4"/>
  <c r="M95" i="4"/>
  <c r="L96" i="4"/>
  <c r="M96" i="4"/>
  <c r="L97" i="4"/>
  <c r="M97" i="4"/>
  <c r="L98" i="4"/>
  <c r="M98" i="4"/>
  <c r="L99" i="4"/>
  <c r="M99" i="4"/>
  <c r="L2" i="4"/>
  <c r="M2" i="4"/>
  <c r="J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G7" i="4"/>
  <c r="G4" i="4"/>
  <c r="G3" i="4"/>
  <c r="G2" i="4"/>
  <c r="G1" i="4"/>
  <c r="S39" i="3"/>
  <c r="S29" i="3"/>
  <c r="S28" i="3"/>
  <c r="Z2" i="3"/>
  <c r="X3" i="3"/>
  <c r="Y3" i="3" s="1"/>
  <c r="X4" i="3"/>
  <c r="X5" i="3"/>
  <c r="X6" i="3"/>
  <c r="Y8" i="3" s="1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" i="3"/>
  <c r="Y2" i="3" s="1"/>
  <c r="AC3" i="3"/>
  <c r="AD3" i="3" s="1"/>
  <c r="AC4" i="3"/>
  <c r="AC5" i="3"/>
  <c r="AC6" i="3"/>
  <c r="AC7" i="3"/>
  <c r="AC8" i="3"/>
  <c r="AC9" i="3"/>
  <c r="AC10" i="3"/>
  <c r="AC11" i="3"/>
  <c r="AC12" i="3"/>
  <c r="AC13" i="3"/>
  <c r="AC14" i="3"/>
  <c r="AC15" i="3"/>
  <c r="AD15" i="3" s="1"/>
  <c r="AC16" i="3"/>
  <c r="AD16" i="3" s="1"/>
  <c r="AC17" i="3"/>
  <c r="AD17" i="3" s="1"/>
  <c r="AC18" i="3"/>
  <c r="AD18" i="3" s="1"/>
  <c r="AC19" i="3"/>
  <c r="AD19" i="3" s="1"/>
  <c r="AC20" i="3"/>
  <c r="AC21" i="3"/>
  <c r="AC22" i="3"/>
  <c r="AC23" i="3"/>
  <c r="AD14" i="3"/>
  <c r="AB2" i="3"/>
  <c r="AC2" i="3" s="1"/>
  <c r="P2" i="3"/>
  <c r="Q17" i="3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T3" i="3"/>
  <c r="U3" i="3" s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" i="3"/>
  <c r="U2" i="3" s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F90" i="2"/>
  <c r="F65" i="2"/>
  <c r="F41" i="2"/>
  <c r="F17" i="2"/>
  <c r="W17" i="2"/>
  <c r="R16" i="2"/>
  <c r="T17" i="2"/>
  <c r="V18" i="2"/>
  <c r="T16" i="2"/>
  <c r="V17" i="2"/>
  <c r="U17" i="2"/>
  <c r="Q18" i="2"/>
  <c r="U18" i="2"/>
  <c r="S18" i="2"/>
  <c r="Q19" i="2"/>
  <c r="R17" i="2"/>
  <c r="Q21" i="2"/>
  <c r="Q23" i="2"/>
  <c r="W18" i="2"/>
  <c r="Q20" i="2"/>
  <c r="Q16" i="2"/>
  <c r="S16" i="2"/>
  <c r="G65" i="2"/>
  <c r="Q24" i="2"/>
  <c r="G17" i="2"/>
  <c r="Q17" i="2"/>
  <c r="Q25" i="2"/>
  <c r="S17" i="2"/>
  <c r="V19" i="2"/>
  <c r="G90" i="2"/>
  <c r="T19" i="2"/>
  <c r="Q22" i="2"/>
  <c r="V16" i="2"/>
  <c r="T18" i="2"/>
  <c r="W16" i="2"/>
  <c r="U16" i="2"/>
  <c r="G41" i="2"/>
  <c r="J3" i="5" l="1"/>
  <c r="M6" i="5"/>
  <c r="L10" i="5"/>
  <c r="L14" i="5"/>
  <c r="L18" i="5"/>
  <c r="L22" i="5"/>
  <c r="L26" i="5"/>
  <c r="L30" i="5"/>
  <c r="L34" i="5"/>
  <c r="L38" i="5"/>
  <c r="L42" i="5"/>
  <c r="L46" i="5"/>
  <c r="L50" i="5"/>
  <c r="L54" i="5"/>
  <c r="L58" i="5"/>
  <c r="L62" i="5"/>
  <c r="L66" i="5"/>
  <c r="L70" i="5"/>
  <c r="L74" i="5"/>
  <c r="L78" i="5"/>
  <c r="L82" i="5"/>
  <c r="L86" i="5"/>
  <c r="L90" i="5"/>
  <c r="L94" i="5"/>
  <c r="L98" i="5"/>
  <c r="M10" i="5"/>
  <c r="M14" i="5"/>
  <c r="M18" i="5"/>
  <c r="M22" i="5"/>
  <c r="M26" i="5"/>
  <c r="M30" i="5"/>
  <c r="M34" i="5"/>
  <c r="M38" i="5"/>
  <c r="M42" i="5"/>
  <c r="M46" i="5"/>
  <c r="M50" i="5"/>
  <c r="M54" i="5"/>
  <c r="M58" i="5"/>
  <c r="M62" i="5"/>
  <c r="M66" i="5"/>
  <c r="M70" i="5"/>
  <c r="M74" i="5"/>
  <c r="M78" i="5"/>
  <c r="M82" i="5"/>
  <c r="M86" i="5"/>
  <c r="M90" i="5"/>
  <c r="M94" i="5"/>
  <c r="M98" i="5"/>
  <c r="L3" i="5"/>
  <c r="J7" i="5"/>
  <c r="J11" i="5"/>
  <c r="J15" i="5"/>
  <c r="J19" i="5"/>
  <c r="J23" i="5"/>
  <c r="J27" i="5"/>
  <c r="J31" i="5"/>
  <c r="J35" i="5"/>
  <c r="J39" i="5"/>
  <c r="J43" i="5"/>
  <c r="J47" i="5"/>
  <c r="J51" i="5"/>
  <c r="J55" i="5"/>
  <c r="J59" i="5"/>
  <c r="J63" i="5"/>
  <c r="J67" i="5"/>
  <c r="J71" i="5"/>
  <c r="J75" i="5"/>
  <c r="J79" i="5"/>
  <c r="J83" i="5"/>
  <c r="J87" i="5"/>
  <c r="J91" i="5"/>
  <c r="J95" i="5"/>
  <c r="J99" i="5"/>
  <c r="M3" i="5"/>
  <c r="K7" i="5"/>
  <c r="K11" i="5"/>
  <c r="K15" i="5"/>
  <c r="K19" i="5"/>
  <c r="K23" i="5"/>
  <c r="K27" i="5"/>
  <c r="K31" i="5"/>
  <c r="K35" i="5"/>
  <c r="K39" i="5"/>
  <c r="K43" i="5"/>
  <c r="K47" i="5"/>
  <c r="K51" i="5"/>
  <c r="K55" i="5"/>
  <c r="K59" i="5"/>
  <c r="K63" i="5"/>
  <c r="K67" i="5"/>
  <c r="K71" i="5"/>
  <c r="K75" i="5"/>
  <c r="K79" i="5"/>
  <c r="K83" i="5"/>
  <c r="K87" i="5"/>
  <c r="K91" i="5"/>
  <c r="K95" i="5"/>
  <c r="K99" i="5"/>
  <c r="L7" i="5"/>
  <c r="L11" i="5"/>
  <c r="L15" i="5"/>
  <c r="L19" i="5"/>
  <c r="L23" i="5"/>
  <c r="L27" i="5"/>
  <c r="L31" i="5"/>
  <c r="L35" i="5"/>
  <c r="L39" i="5"/>
  <c r="L43" i="5"/>
  <c r="L47" i="5"/>
  <c r="L51" i="5"/>
  <c r="L55" i="5"/>
  <c r="L59" i="5"/>
  <c r="L63" i="5"/>
  <c r="L67" i="5"/>
  <c r="L71" i="5"/>
  <c r="L75" i="5"/>
  <c r="L79" i="5"/>
  <c r="L83" i="5"/>
  <c r="L87" i="5"/>
  <c r="L91" i="5"/>
  <c r="L95" i="5"/>
  <c r="L99" i="5"/>
  <c r="J4" i="5"/>
  <c r="M7" i="5"/>
  <c r="M11" i="5"/>
  <c r="M15" i="5"/>
  <c r="M19" i="5"/>
  <c r="M23" i="5"/>
  <c r="M27" i="5"/>
  <c r="M31" i="5"/>
  <c r="M35" i="5"/>
  <c r="M39" i="5"/>
  <c r="M43" i="5"/>
  <c r="M47" i="5"/>
  <c r="M51" i="5"/>
  <c r="M55" i="5"/>
  <c r="M59" i="5"/>
  <c r="M63" i="5"/>
  <c r="M67" i="5"/>
  <c r="M71" i="5"/>
  <c r="M75" i="5"/>
  <c r="M79" i="5"/>
  <c r="M83" i="5"/>
  <c r="M87" i="5"/>
  <c r="M91" i="5"/>
  <c r="M95" i="5"/>
  <c r="Y7" i="3"/>
  <c r="Y12" i="3"/>
  <c r="Y17" i="3"/>
  <c r="Y22" i="3"/>
  <c r="Y6" i="3"/>
  <c r="Y16" i="3"/>
  <c r="Y21" i="3"/>
  <c r="Y5" i="3"/>
  <c r="Y10" i="3"/>
  <c r="Y13" i="3"/>
  <c r="Y23" i="3"/>
  <c r="Y11" i="3"/>
  <c r="Y15" i="3"/>
  <c r="Z15" i="3" s="1"/>
  <c r="Y4" i="3"/>
  <c r="Y9" i="3"/>
  <c r="Y18" i="3"/>
  <c r="Y20" i="3"/>
  <c r="Y14" i="3"/>
  <c r="Y19" i="3"/>
  <c r="AD9" i="3"/>
  <c r="AD10" i="3"/>
  <c r="AD2" i="3"/>
  <c r="AD7" i="3"/>
  <c r="AD20" i="3"/>
  <c r="AD13" i="3"/>
  <c r="AD12" i="3"/>
  <c r="AD11" i="3"/>
  <c r="AD8" i="3"/>
  <c r="AD23" i="3"/>
  <c r="AD22" i="3"/>
  <c r="AD6" i="3"/>
  <c r="AD21" i="3"/>
  <c r="AD5" i="3"/>
  <c r="AD4" i="3"/>
  <c r="Q16" i="3"/>
  <c r="Q15" i="3"/>
  <c r="Q14" i="3"/>
  <c r="Q12" i="3"/>
  <c r="R12" i="3" s="1"/>
  <c r="Q11" i="3"/>
  <c r="Q10" i="3"/>
  <c r="Q9" i="3"/>
  <c r="Q8" i="3"/>
  <c r="Q7" i="3"/>
  <c r="Q6" i="3"/>
  <c r="Q21" i="3"/>
  <c r="Q5" i="3"/>
  <c r="Q20" i="3"/>
  <c r="Q4" i="3"/>
  <c r="Q19" i="3"/>
  <c r="Q3" i="3"/>
  <c r="Q13" i="3"/>
  <c r="Q18" i="3"/>
  <c r="Q2" i="3"/>
  <c r="U13" i="3"/>
  <c r="U18" i="3"/>
  <c r="U7" i="3"/>
  <c r="U6" i="3"/>
  <c r="U11" i="3"/>
  <c r="U5" i="3"/>
  <c r="U10" i="3"/>
  <c r="U8" i="3"/>
  <c r="U17" i="3"/>
  <c r="U16" i="3"/>
  <c r="U15" i="3"/>
  <c r="U12" i="3"/>
  <c r="U21" i="3"/>
  <c r="U20" i="3"/>
  <c r="U4" i="3"/>
  <c r="U9" i="3"/>
  <c r="U14" i="3"/>
  <c r="U19" i="3"/>
  <c r="D17" i="2"/>
  <c r="D41" i="2"/>
  <c r="D65" i="2"/>
  <c r="D90" i="2"/>
  <c r="Z5" i="3" l="1"/>
  <c r="Z21" i="3"/>
  <c r="Z16" i="3"/>
  <c r="Z6" i="3"/>
  <c r="Z19" i="3"/>
  <c r="Z22" i="3"/>
  <c r="Z14" i="3"/>
  <c r="Z17" i="3"/>
  <c r="Z20" i="3"/>
  <c r="Z12" i="3"/>
  <c r="Z18" i="3"/>
  <c r="Z7" i="3"/>
  <c r="Z3" i="3"/>
  <c r="Z9" i="3"/>
  <c r="Z8" i="3"/>
  <c r="Z4" i="3"/>
  <c r="Z11" i="3"/>
  <c r="Z23" i="3"/>
  <c r="Z13" i="3"/>
  <c r="Z10" i="3"/>
  <c r="R2" i="3"/>
  <c r="R14" i="3"/>
  <c r="R18" i="3"/>
  <c r="R15" i="3"/>
  <c r="R13" i="3"/>
  <c r="R16" i="3"/>
  <c r="R3" i="3"/>
  <c r="R17" i="3"/>
  <c r="R19" i="3"/>
  <c r="R4" i="3"/>
  <c r="R20" i="3"/>
  <c r="R5" i="3"/>
  <c r="R21" i="3"/>
  <c r="R6" i="3"/>
  <c r="R7" i="3"/>
  <c r="R8" i="3"/>
  <c r="R9" i="3"/>
  <c r="R10" i="3"/>
  <c r="R11" i="3"/>
  <c r="V2" i="3"/>
  <c r="S35" i="3"/>
  <c r="S36" i="3" s="1"/>
</calcChain>
</file>

<file path=xl/sharedStrings.xml><?xml version="1.0" encoding="utf-8"?>
<sst xmlns="http://schemas.openxmlformats.org/spreadsheetml/2006/main" count="7201" uniqueCount="107">
  <si>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</si>
  <si>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</si>
  <si>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</si>
  <si>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</si>
  <si>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</si>
  <si>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</si>
  <si>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</si>
  <si>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</si>
  <si>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</si>
  <si>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</si>
  <si>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</si>
  <si>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</si>
  <si>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</si>
  <si>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</si>
  <si>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</si>
  <si>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</si>
  <si>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</si>
  <si>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</si>
  <si>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</si>
  <si>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</si>
  <si>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</si>
  <si>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</si>
  <si>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</si>
  <si>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</si>
  <si>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</si>
  <si>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</si>
  <si>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</si>
  <si>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</si>
  <si>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</si>
  <si>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</si>
  <si>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</si>
  <si>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</si>
  <si>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</si>
  <si>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</si>
  <si>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</si>
  <si>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</si>
  <si>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</si>
  <si>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</si>
  <si>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</si>
  <si>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</si>
  <si>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</si>
  <si>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</si>
  <si>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</si>
  <si>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</si>
  <si>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</si>
  <si>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</si>
  <si>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</si>
  <si>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</si>
  <si>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</si>
  <si>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</si>
  <si>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</si>
  <si>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</si>
  <si>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</si>
  <si>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</si>
  <si>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</si>
  <si>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</si>
  <si>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</si>
  <si>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</si>
  <si>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</si>
  <si>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</si>
  <si>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</si>
  <si>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</si>
  <si>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</si>
  <si>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</si>
  <si>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</si>
  <si>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</si>
  <si>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</si>
  <si>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</si>
  <si>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</si>
  <si>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</si>
  <si>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</si>
  <si>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</si>
  <si>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</si>
  <si>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</si>
  <si>
    <t xml:space="preserve"> </t>
  </si>
  <si>
    <t>сл. низкая</t>
  </si>
  <si>
    <t>выг. сделка</t>
  </si>
  <si>
    <t>завышенная, куплю</t>
  </si>
  <si>
    <t>сл. высокая</t>
  </si>
  <si>
    <t>респ.</t>
  </si>
  <si>
    <t>доля</t>
  </si>
  <si>
    <t>накоп.</t>
  </si>
  <si>
    <t>дорого</t>
  </si>
  <si>
    <t>сл. Дорого</t>
  </si>
  <si>
    <t>дешево</t>
  </si>
  <si>
    <t>сл. Дешево</t>
  </si>
  <si>
    <t>X</t>
  </si>
  <si>
    <t>Y</t>
  </si>
  <si>
    <t>k</t>
  </si>
  <si>
    <t>b</t>
  </si>
  <si>
    <t>K2</t>
  </si>
  <si>
    <t>B2</t>
  </si>
  <si>
    <t>IPP</t>
  </si>
  <si>
    <t>мин</t>
  </si>
  <si>
    <t>макс</t>
  </si>
  <si>
    <t>сред</t>
  </si>
  <si>
    <t>медиана</t>
  </si>
  <si>
    <t>Цена</t>
  </si>
  <si>
    <t>респонденты</t>
  </si>
  <si>
    <t>Дорого</t>
  </si>
  <si>
    <t>Сл.Дорого</t>
  </si>
  <si>
    <t>Дешево</t>
  </si>
  <si>
    <t>Названия строк</t>
  </si>
  <si>
    <t>Количество по полю сл. Дешево</t>
  </si>
  <si>
    <t>Количество по полю Дешево</t>
  </si>
  <si>
    <t>Количество по полю Дорого</t>
  </si>
  <si>
    <t>Количество по полю Сл.Дорого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</si>
</sst>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1" fillId="8" borderId="1" xfId="0" applyFont="1" applyFill="1" applyBorder="1" applyAlignment="1">
      <alignment horizontal="center" vertical="top"/>
    </xf>
    <xf numFmtId="0" fontId="0" fillId="8" borderId="0" xfId="0" applyFill="1"/>
    <xf numFmtId="164" fontId="0" fillId="5" borderId="0" xfId="1" applyNumberFormat="1" applyFont="1" applyFill="1"/>
    <xf numFmtId="164" fontId="0" fillId="6" borderId="0" xfId="1" applyNumberFormat="1" applyFont="1" applyFill="1"/>
    <xf numFmtId="0" fontId="0" fillId="0" borderId="0" xfId="0" applyFill="1"/>
    <xf numFmtId="164" fontId="0" fillId="0" borderId="0" xfId="1" applyNumberFormat="1" applyFont="1" applyFill="1"/>
    <xf numFmtId="164" fontId="0" fillId="8" borderId="0" xfId="1" applyNumberFormat="1" applyFont="1" applyFill="1"/>
    <xf numFmtId="164" fontId="0" fillId="7" borderId="0" xfId="1" applyNumberFormat="1" applyFont="1" applyFill="1"/>
    <xf numFmtId="0" fontId="0" fillId="9" borderId="0" xfId="0" applyFill="1"/>
    <xf numFmtId="164" fontId="0" fillId="9" borderId="0" xfId="1" applyNumberFormat="1" applyFont="1" applyFill="1"/>
    <xf numFmtId="0" fontId="0" fillId="10" borderId="0" xfId="0" applyFill="1"/>
    <xf numFmtId="164" fontId="0" fillId="10" borderId="0" xfId="1" applyNumberFormat="1" applyFont="1" applyFill="1"/>
    <xf numFmtId="0" fontId="0" fillId="0" borderId="0" xfId="1" applyNumberFormat="1" applyFont="1"/>
    <xf numFmtId="0" fontId="1" fillId="0" borderId="3" xfId="0" applyFont="1" applyFill="1" applyBorder="1" applyAlignment="1">
      <alignment horizontal="center" vertical="top"/>
    </xf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0" fontId="0" fillId="0" borderId="0" xfId="0" pivotButton="1"/>
    <xf numFmtId="10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363563281279077E-2"/>
          <c:y val="3.8546427198712215E-2"/>
          <c:w val="0.86787615493426751"/>
          <c:h val="0.880161723922045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'1 способ'!$O$1</c:f>
              <c:strCache>
                <c:ptCount val="1"/>
                <c:pt idx="0">
                  <c:v>сл.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 способ'!$O$2:$O$21</c:f>
              <c:numCache>
                <c:formatCode>General</c:formatCode>
                <c:ptCount val="20"/>
                <c:pt idx="0">
                  <c:v>2400</c:v>
                </c:pt>
                <c:pt idx="1">
                  <c:v>2300</c:v>
                </c:pt>
                <c:pt idx="2">
                  <c:v>2200</c:v>
                </c:pt>
                <c:pt idx="3">
                  <c:v>2100</c:v>
                </c:pt>
                <c:pt idx="4">
                  <c:v>2000</c:v>
                </c:pt>
                <c:pt idx="5">
                  <c:v>1900</c:v>
                </c:pt>
                <c:pt idx="6">
                  <c:v>1800</c:v>
                </c:pt>
                <c:pt idx="7">
                  <c:v>1700</c:v>
                </c:pt>
                <c:pt idx="8">
                  <c:v>1600</c:v>
                </c:pt>
                <c:pt idx="9">
                  <c:v>1500</c:v>
                </c:pt>
                <c:pt idx="10">
                  <c:v>1400</c:v>
                </c:pt>
                <c:pt idx="11">
                  <c:v>1300</c:v>
                </c:pt>
                <c:pt idx="12">
                  <c:v>1200</c:v>
                </c:pt>
                <c:pt idx="13">
                  <c:v>1100</c:v>
                </c:pt>
                <c:pt idx="14">
                  <c:v>1000</c:v>
                </c:pt>
                <c:pt idx="15">
                  <c:v>800</c:v>
                </c:pt>
                <c:pt idx="16">
                  <c:v>700</c:v>
                </c:pt>
                <c:pt idx="17">
                  <c:v>600</c:v>
                </c:pt>
                <c:pt idx="18">
                  <c:v>500</c:v>
                </c:pt>
                <c:pt idx="19">
                  <c:v>400</c:v>
                </c:pt>
              </c:numCache>
            </c:numRef>
          </c:xVal>
          <c:yVal>
            <c:numRef>
              <c:f>'1 способ'!$R$2:$R$21</c:f>
              <c:numCache>
                <c:formatCode>0.0%</c:formatCode>
                <c:ptCount val="20"/>
                <c:pt idx="0">
                  <c:v>2.2421524663677129E-2</c:v>
                </c:pt>
                <c:pt idx="1">
                  <c:v>5.829596412556054E-2</c:v>
                </c:pt>
                <c:pt idx="2">
                  <c:v>6.2780269058295965E-2</c:v>
                </c:pt>
                <c:pt idx="3">
                  <c:v>7.623318385650224E-2</c:v>
                </c:pt>
                <c:pt idx="4">
                  <c:v>0.13452914798206278</c:v>
                </c:pt>
                <c:pt idx="5">
                  <c:v>0.17937219730941703</c:v>
                </c:pt>
                <c:pt idx="6">
                  <c:v>0.2556053811659193</c:v>
                </c:pt>
                <c:pt idx="7">
                  <c:v>0.3273542600896861</c:v>
                </c:pt>
                <c:pt idx="8">
                  <c:v>0.41255605381165922</c:v>
                </c:pt>
                <c:pt idx="9">
                  <c:v>0.4349775784753363</c:v>
                </c:pt>
                <c:pt idx="10">
                  <c:v>0.48430493273542602</c:v>
                </c:pt>
                <c:pt idx="11">
                  <c:v>0.5246636771300448</c:v>
                </c:pt>
                <c:pt idx="12">
                  <c:v>0.5964125560538116</c:v>
                </c:pt>
                <c:pt idx="13">
                  <c:v>0.6547085201793722</c:v>
                </c:pt>
                <c:pt idx="14">
                  <c:v>0.6905829596412556</c:v>
                </c:pt>
                <c:pt idx="15">
                  <c:v>0.73542600896860988</c:v>
                </c:pt>
                <c:pt idx="16">
                  <c:v>0.80717488789237668</c:v>
                </c:pt>
                <c:pt idx="17">
                  <c:v>0.87443946188340804</c:v>
                </c:pt>
                <c:pt idx="18">
                  <c:v>0.9641255605381166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9-410E-B8C0-6D8D3EFFC001}"/>
            </c:ext>
          </c:extLst>
        </c:ser>
        <c:ser>
          <c:idx val="1"/>
          <c:order val="1"/>
          <c:tx>
            <c:strRef>
              <c:f>'1 способ'!$S$1</c:f>
              <c:strCache>
                <c:ptCount val="1"/>
                <c:pt idx="0">
                  <c:v>дешево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669-410E-B8C0-6D8D3EFFC001}"/>
              </c:ext>
            </c:extLst>
          </c:dPt>
          <c:xVal>
            <c:numRef>
              <c:f>'1 способ'!$S$2:$S$21</c:f>
              <c:numCache>
                <c:formatCode>General</c:formatCode>
                <c:ptCount val="20"/>
                <c:pt idx="0">
                  <c:v>5800</c:v>
                </c:pt>
                <c:pt idx="1">
                  <c:v>5600</c:v>
                </c:pt>
                <c:pt idx="2">
                  <c:v>5400</c:v>
                </c:pt>
                <c:pt idx="3">
                  <c:v>5200</c:v>
                </c:pt>
                <c:pt idx="4">
                  <c:v>5000</c:v>
                </c:pt>
                <c:pt idx="5">
                  <c:v>4800</c:v>
                </c:pt>
                <c:pt idx="6">
                  <c:v>4600</c:v>
                </c:pt>
                <c:pt idx="7">
                  <c:v>4400</c:v>
                </c:pt>
                <c:pt idx="8">
                  <c:v>4200</c:v>
                </c:pt>
                <c:pt idx="9">
                  <c:v>4000</c:v>
                </c:pt>
                <c:pt idx="10">
                  <c:v>3800</c:v>
                </c:pt>
                <c:pt idx="11">
                  <c:v>3600</c:v>
                </c:pt>
                <c:pt idx="12">
                  <c:v>3400</c:v>
                </c:pt>
                <c:pt idx="13">
                  <c:v>3200</c:v>
                </c:pt>
                <c:pt idx="14">
                  <c:v>3000</c:v>
                </c:pt>
                <c:pt idx="15">
                  <c:v>1800</c:v>
                </c:pt>
                <c:pt idx="16">
                  <c:v>1600</c:v>
                </c:pt>
                <c:pt idx="17">
                  <c:v>1400</c:v>
                </c:pt>
                <c:pt idx="18">
                  <c:v>1200</c:v>
                </c:pt>
                <c:pt idx="19">
                  <c:v>1000</c:v>
                </c:pt>
              </c:numCache>
            </c:numRef>
          </c:xVal>
          <c:yVal>
            <c:numRef>
              <c:f>'1 способ'!$V$2:$V$21</c:f>
              <c:numCache>
                <c:formatCode>0.0%</c:formatCode>
                <c:ptCount val="20"/>
                <c:pt idx="0">
                  <c:v>1.7937219730941704E-2</c:v>
                </c:pt>
                <c:pt idx="1">
                  <c:v>4.4843049327354258E-2</c:v>
                </c:pt>
                <c:pt idx="2">
                  <c:v>6.726457399103139E-2</c:v>
                </c:pt>
                <c:pt idx="3">
                  <c:v>0.1031390134529148</c:v>
                </c:pt>
                <c:pt idx="4">
                  <c:v>0.17488789237668162</c:v>
                </c:pt>
                <c:pt idx="5">
                  <c:v>0.22421524663677131</c:v>
                </c:pt>
                <c:pt idx="6">
                  <c:v>0.2914798206278027</c:v>
                </c:pt>
                <c:pt idx="7">
                  <c:v>0.34080717488789236</c:v>
                </c:pt>
                <c:pt idx="8">
                  <c:v>0.4170403587443946</c:v>
                </c:pt>
                <c:pt idx="9">
                  <c:v>0.47982062780269058</c:v>
                </c:pt>
                <c:pt idx="10">
                  <c:v>0.5246636771300448</c:v>
                </c:pt>
                <c:pt idx="11">
                  <c:v>0.59192825112107628</c:v>
                </c:pt>
                <c:pt idx="12">
                  <c:v>0.64573991031390132</c:v>
                </c:pt>
                <c:pt idx="13">
                  <c:v>0.66816143497757852</c:v>
                </c:pt>
                <c:pt idx="14">
                  <c:v>0.6905829596412556</c:v>
                </c:pt>
                <c:pt idx="15">
                  <c:v>0.71748878923766812</c:v>
                </c:pt>
                <c:pt idx="16">
                  <c:v>0.81165919282511212</c:v>
                </c:pt>
                <c:pt idx="17">
                  <c:v>0.8923766816143498</c:v>
                </c:pt>
                <c:pt idx="18">
                  <c:v>0.95515695067264572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69-410E-B8C0-6D8D3EFFC001}"/>
            </c:ext>
          </c:extLst>
        </c:ser>
        <c:ser>
          <c:idx val="2"/>
          <c:order val="2"/>
          <c:tx>
            <c:strRef>
              <c:f>'1 способ'!$W$1</c:f>
              <c:strCache>
                <c:ptCount val="1"/>
                <c:pt idx="0">
                  <c:v>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 способ'!$W$2:$W$23</c:f>
              <c:numCache>
                <c:formatCode>General</c:formatCode>
                <c:ptCount val="22"/>
                <c:pt idx="0">
                  <c:v>2400</c:v>
                </c:pt>
                <c:pt idx="1">
                  <c:v>2700</c:v>
                </c:pt>
                <c:pt idx="2">
                  <c:v>3000</c:v>
                </c:pt>
                <c:pt idx="3">
                  <c:v>3300</c:v>
                </c:pt>
                <c:pt idx="4">
                  <c:v>3600</c:v>
                </c:pt>
                <c:pt idx="5">
                  <c:v>7200</c:v>
                </c:pt>
                <c:pt idx="6">
                  <c:v>7500</c:v>
                </c:pt>
                <c:pt idx="7">
                  <c:v>7800</c:v>
                </c:pt>
                <c:pt idx="8">
                  <c:v>8100</c:v>
                </c:pt>
                <c:pt idx="9">
                  <c:v>8400</c:v>
                </c:pt>
                <c:pt idx="10">
                  <c:v>8700</c:v>
                </c:pt>
                <c:pt idx="11">
                  <c:v>9000</c:v>
                </c:pt>
                <c:pt idx="12">
                  <c:v>9300</c:v>
                </c:pt>
                <c:pt idx="13">
                  <c:v>9600</c:v>
                </c:pt>
                <c:pt idx="14">
                  <c:v>9900</c:v>
                </c:pt>
                <c:pt idx="15">
                  <c:v>10200</c:v>
                </c:pt>
                <c:pt idx="16">
                  <c:v>10500</c:v>
                </c:pt>
                <c:pt idx="17">
                  <c:v>10800</c:v>
                </c:pt>
                <c:pt idx="18">
                  <c:v>11100</c:v>
                </c:pt>
                <c:pt idx="19">
                  <c:v>11400</c:v>
                </c:pt>
                <c:pt idx="20">
                  <c:v>11700</c:v>
                </c:pt>
                <c:pt idx="21">
                  <c:v>12000</c:v>
                </c:pt>
              </c:numCache>
            </c:numRef>
          </c:xVal>
          <c:yVal>
            <c:numRef>
              <c:f>'1 способ'!$Z$2:$Z$23</c:f>
              <c:numCache>
                <c:formatCode>0.0%</c:formatCode>
                <c:ptCount val="22"/>
                <c:pt idx="0">
                  <c:v>1.7937219730941704E-2</c:v>
                </c:pt>
                <c:pt idx="1">
                  <c:v>0.12556053811659193</c:v>
                </c:pt>
                <c:pt idx="2">
                  <c:v>0.21076233183856502</c:v>
                </c:pt>
                <c:pt idx="3">
                  <c:v>0.30493273542600896</c:v>
                </c:pt>
                <c:pt idx="4">
                  <c:v>0.3094170403587444</c:v>
                </c:pt>
                <c:pt idx="5">
                  <c:v>0.35874439461883406</c:v>
                </c:pt>
                <c:pt idx="6">
                  <c:v>0.39013452914798208</c:v>
                </c:pt>
                <c:pt idx="7">
                  <c:v>0.44394618834080718</c:v>
                </c:pt>
                <c:pt idx="8">
                  <c:v>0.50672645739910316</c:v>
                </c:pt>
                <c:pt idx="9">
                  <c:v>0.56950672645739908</c:v>
                </c:pt>
                <c:pt idx="10">
                  <c:v>0.61434977578475336</c:v>
                </c:pt>
                <c:pt idx="11">
                  <c:v>0.66816143497757852</c:v>
                </c:pt>
                <c:pt idx="12">
                  <c:v>0.73094170403587444</c:v>
                </c:pt>
                <c:pt idx="13">
                  <c:v>0.80269058295964124</c:v>
                </c:pt>
                <c:pt idx="14">
                  <c:v>0.84304932735426008</c:v>
                </c:pt>
                <c:pt idx="15">
                  <c:v>0.85201793721973096</c:v>
                </c:pt>
                <c:pt idx="16">
                  <c:v>0.87443946188340804</c:v>
                </c:pt>
                <c:pt idx="17">
                  <c:v>0.8923766816143498</c:v>
                </c:pt>
                <c:pt idx="18">
                  <c:v>0.93721973094170408</c:v>
                </c:pt>
                <c:pt idx="19">
                  <c:v>0.97757847533632292</c:v>
                </c:pt>
                <c:pt idx="20">
                  <c:v>0.99551569506726456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69-410E-B8C0-6D8D3EFFC001}"/>
            </c:ext>
          </c:extLst>
        </c:ser>
        <c:ser>
          <c:idx val="3"/>
          <c:order val="3"/>
          <c:tx>
            <c:strRef>
              <c:f>'1 способ'!$AA$1</c:f>
              <c:strCache>
                <c:ptCount val="1"/>
                <c:pt idx="0">
                  <c:v>сл. 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 способ'!$AA$2:$AA$23</c:f>
              <c:numCache>
                <c:formatCode>General</c:formatCode>
                <c:ptCount val="22"/>
                <c:pt idx="0">
                  <c:v>4000</c:v>
                </c:pt>
                <c:pt idx="1">
                  <c:v>4500</c:v>
                </c:pt>
                <c:pt idx="2">
                  <c:v>5000</c:v>
                </c:pt>
                <c:pt idx="3">
                  <c:v>5500</c:v>
                </c:pt>
                <c:pt idx="4">
                  <c:v>6000</c:v>
                </c:pt>
                <c:pt idx="5">
                  <c:v>12000</c:v>
                </c:pt>
                <c:pt idx="6">
                  <c:v>12500</c:v>
                </c:pt>
                <c:pt idx="7">
                  <c:v>13000</c:v>
                </c:pt>
                <c:pt idx="8">
                  <c:v>13500</c:v>
                </c:pt>
                <c:pt idx="9">
                  <c:v>14000</c:v>
                </c:pt>
                <c:pt idx="10">
                  <c:v>14500</c:v>
                </c:pt>
                <c:pt idx="11">
                  <c:v>15000</c:v>
                </c:pt>
                <c:pt idx="12">
                  <c:v>15500</c:v>
                </c:pt>
                <c:pt idx="13">
                  <c:v>16000</c:v>
                </c:pt>
                <c:pt idx="14">
                  <c:v>16500</c:v>
                </c:pt>
                <c:pt idx="15">
                  <c:v>17000</c:v>
                </c:pt>
                <c:pt idx="16">
                  <c:v>17500</c:v>
                </c:pt>
                <c:pt idx="17">
                  <c:v>18000</c:v>
                </c:pt>
                <c:pt idx="18">
                  <c:v>18500</c:v>
                </c:pt>
                <c:pt idx="19">
                  <c:v>19000</c:v>
                </c:pt>
                <c:pt idx="20">
                  <c:v>19500</c:v>
                </c:pt>
                <c:pt idx="21">
                  <c:v>20000</c:v>
                </c:pt>
              </c:numCache>
            </c:numRef>
          </c:xVal>
          <c:yVal>
            <c:numRef>
              <c:f>'1 способ'!$AD$2:$AD$23</c:f>
              <c:numCache>
                <c:formatCode>0.0%</c:formatCode>
                <c:ptCount val="22"/>
                <c:pt idx="0">
                  <c:v>5.3811659192825115E-2</c:v>
                </c:pt>
                <c:pt idx="1">
                  <c:v>0.15246636771300448</c:v>
                </c:pt>
                <c:pt idx="2">
                  <c:v>0.22421524663677131</c:v>
                </c:pt>
                <c:pt idx="3">
                  <c:v>0.26905829596412556</c:v>
                </c:pt>
                <c:pt idx="4">
                  <c:v>0.3094170403587444</c:v>
                </c:pt>
                <c:pt idx="5">
                  <c:v>0.3632286995515695</c:v>
                </c:pt>
                <c:pt idx="6">
                  <c:v>0.46188340807174888</c:v>
                </c:pt>
                <c:pt idx="7">
                  <c:v>0.5246636771300448</c:v>
                </c:pt>
                <c:pt idx="8">
                  <c:v>0.59192825112107628</c:v>
                </c:pt>
                <c:pt idx="9">
                  <c:v>0.67713004484304928</c:v>
                </c:pt>
                <c:pt idx="10">
                  <c:v>0.7488789237668162</c:v>
                </c:pt>
                <c:pt idx="11">
                  <c:v>0.79372197309417036</c:v>
                </c:pt>
                <c:pt idx="12">
                  <c:v>0.82959641255605376</c:v>
                </c:pt>
                <c:pt idx="13">
                  <c:v>0.84753363228699552</c:v>
                </c:pt>
                <c:pt idx="14">
                  <c:v>0.85201793721973096</c:v>
                </c:pt>
                <c:pt idx="15">
                  <c:v>0.8699551569506726</c:v>
                </c:pt>
                <c:pt idx="16">
                  <c:v>0.89686098654708524</c:v>
                </c:pt>
                <c:pt idx="17">
                  <c:v>0.93273542600896864</c:v>
                </c:pt>
                <c:pt idx="18">
                  <c:v>0.95515695067264572</c:v>
                </c:pt>
                <c:pt idx="19">
                  <c:v>0.95964125560538116</c:v>
                </c:pt>
                <c:pt idx="20">
                  <c:v>0.98654708520179368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69-410E-B8C0-6D8D3EFFC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546575"/>
        <c:axId val="533548239"/>
      </c:scatterChart>
      <c:valAx>
        <c:axId val="533546575"/>
        <c:scaling>
          <c:orientation val="minMax"/>
          <c:max val="50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548239"/>
        <c:crosses val="autoZero"/>
        <c:crossBetween val="midCat"/>
        <c:majorUnit val="200"/>
      </c:valAx>
      <c:valAx>
        <c:axId val="533548239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546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 способ'!$J$1</c:f>
              <c:strCache>
                <c:ptCount val="1"/>
                <c:pt idx="0">
                  <c:v>сл.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способ'!$J$2:$J$99</c:f>
              <c:numCache>
                <c:formatCode>0.0%</c:formatCode>
                <c:ptCount val="98"/>
                <c:pt idx="0">
                  <c:v>1</c:v>
                </c:pt>
                <c:pt idx="1">
                  <c:v>0.99188640973630826</c:v>
                </c:pt>
                <c:pt idx="2">
                  <c:v>0.95740365111561865</c:v>
                </c:pt>
                <c:pt idx="3">
                  <c:v>0.92900608519269778</c:v>
                </c:pt>
                <c:pt idx="4">
                  <c:v>0.86004056795131845</c:v>
                </c:pt>
                <c:pt idx="5">
                  <c:v>0.81135902636916835</c:v>
                </c:pt>
                <c:pt idx="6">
                  <c:v>0.76673427991886411</c:v>
                </c:pt>
                <c:pt idx="7">
                  <c:v>0.67545638945233266</c:v>
                </c:pt>
                <c:pt idx="8">
                  <c:v>0.59026369168356996</c:v>
                </c:pt>
                <c:pt idx="9">
                  <c:v>0.53752535496957399</c:v>
                </c:pt>
                <c:pt idx="10">
                  <c:v>0.47667342799188639</c:v>
                </c:pt>
                <c:pt idx="11">
                  <c:v>0.40567951318458417</c:v>
                </c:pt>
                <c:pt idx="12">
                  <c:v>0.3225152129817444</c:v>
                </c:pt>
                <c:pt idx="13">
                  <c:v>0.24949290060851928</c:v>
                </c:pt>
                <c:pt idx="14">
                  <c:v>0.20283975659229209</c:v>
                </c:pt>
                <c:pt idx="15">
                  <c:v>0.1643002028397566</c:v>
                </c:pt>
                <c:pt idx="16">
                  <c:v>0.13184584178498987</c:v>
                </c:pt>
                <c:pt idx="17">
                  <c:v>8.9249492900608518E-2</c:v>
                </c:pt>
                <c:pt idx="18">
                  <c:v>6.6937119675456389E-2</c:v>
                </c:pt>
                <c:pt idx="19">
                  <c:v>6.0851926977687626E-2</c:v>
                </c:pt>
                <c:pt idx="20">
                  <c:v>5.2738336713995942E-2</c:v>
                </c:pt>
                <c:pt idx="21">
                  <c:v>4.2596348884381338E-2</c:v>
                </c:pt>
                <c:pt idx="22">
                  <c:v>3.0425963488843813E-2</c:v>
                </c:pt>
                <c:pt idx="23">
                  <c:v>2.231237322515213E-2</c:v>
                </c:pt>
                <c:pt idx="24">
                  <c:v>1.4198782961460446E-2</c:v>
                </c:pt>
                <c:pt idx="25">
                  <c:v>1.2170385395537525E-2</c:v>
                </c:pt>
                <c:pt idx="26">
                  <c:v>6.0851926977687626E-3</c:v>
                </c:pt>
                <c:pt idx="27">
                  <c:v>2.0283975659229209E-3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5-458D-AFCD-D9C096436EC9}"/>
            </c:ext>
          </c:extLst>
        </c:ser>
        <c:ser>
          <c:idx val="1"/>
          <c:order val="1"/>
          <c:tx>
            <c:strRef>
              <c:f>'2 способ'!$K$1</c:f>
              <c:strCache>
                <c:ptCount val="1"/>
                <c:pt idx="0">
                  <c:v>дешево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способ'!$K$2:$K$99</c:f>
              <c:numCache>
                <c:formatCode>0.0%</c:formatCode>
                <c:ptCount val="9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0.99188640973630826</c:v>
                </c:pt>
                <c:pt idx="9">
                  <c:v>0.99188640973630826</c:v>
                </c:pt>
                <c:pt idx="10">
                  <c:v>0.97160243407707914</c:v>
                </c:pt>
                <c:pt idx="11">
                  <c:v>0.97160243407707914</c:v>
                </c:pt>
                <c:pt idx="12">
                  <c:v>0.9513184584178499</c:v>
                </c:pt>
                <c:pt idx="13">
                  <c:v>0.9513184584178499</c:v>
                </c:pt>
                <c:pt idx="14">
                  <c:v>0.88640973630831643</c:v>
                </c:pt>
                <c:pt idx="15">
                  <c:v>0.88640973630831643</c:v>
                </c:pt>
                <c:pt idx="16">
                  <c:v>0.83164300202839758</c:v>
                </c:pt>
                <c:pt idx="17">
                  <c:v>0.83164300202839758</c:v>
                </c:pt>
                <c:pt idx="18">
                  <c:v>0.78093306288032449</c:v>
                </c:pt>
                <c:pt idx="19">
                  <c:v>0.78093306288032449</c:v>
                </c:pt>
                <c:pt idx="20">
                  <c:v>0.7565922920892495</c:v>
                </c:pt>
                <c:pt idx="21">
                  <c:v>0.7565922920892495</c:v>
                </c:pt>
                <c:pt idx="22">
                  <c:v>0.70588235294117652</c:v>
                </c:pt>
                <c:pt idx="23">
                  <c:v>0.70588235294117652</c:v>
                </c:pt>
                <c:pt idx="24">
                  <c:v>0.67951318458417853</c:v>
                </c:pt>
                <c:pt idx="25">
                  <c:v>0.67951318458417853</c:v>
                </c:pt>
                <c:pt idx="26">
                  <c:v>0.65111561866125756</c:v>
                </c:pt>
                <c:pt idx="27">
                  <c:v>0.65111561866125756</c:v>
                </c:pt>
                <c:pt idx="28">
                  <c:v>0.62068965517241381</c:v>
                </c:pt>
                <c:pt idx="29">
                  <c:v>0.62068965517241381</c:v>
                </c:pt>
                <c:pt idx="30">
                  <c:v>0.57809330628803246</c:v>
                </c:pt>
                <c:pt idx="31">
                  <c:v>0.57809330628803246</c:v>
                </c:pt>
                <c:pt idx="32">
                  <c:v>0.53144016227180524</c:v>
                </c:pt>
                <c:pt idx="33">
                  <c:v>0.53144016227180524</c:v>
                </c:pt>
                <c:pt idx="34">
                  <c:v>0.48073022312373226</c:v>
                </c:pt>
                <c:pt idx="35">
                  <c:v>0.48073022312373226</c:v>
                </c:pt>
                <c:pt idx="36">
                  <c:v>0.39756592292089249</c:v>
                </c:pt>
                <c:pt idx="37">
                  <c:v>0.39756592292089249</c:v>
                </c:pt>
                <c:pt idx="38">
                  <c:v>0.33874239350912777</c:v>
                </c:pt>
                <c:pt idx="39">
                  <c:v>0.33874239350912777</c:v>
                </c:pt>
                <c:pt idx="40">
                  <c:v>0.29817444219066935</c:v>
                </c:pt>
                <c:pt idx="41">
                  <c:v>0.29817444219066935</c:v>
                </c:pt>
                <c:pt idx="42">
                  <c:v>0.25152129817444219</c:v>
                </c:pt>
                <c:pt idx="43">
                  <c:v>0.25152129817444219</c:v>
                </c:pt>
                <c:pt idx="44">
                  <c:v>0.21906693711967545</c:v>
                </c:pt>
                <c:pt idx="45">
                  <c:v>0.21906693711967545</c:v>
                </c:pt>
                <c:pt idx="46">
                  <c:v>0.17038539553752535</c:v>
                </c:pt>
                <c:pt idx="47">
                  <c:v>0.17038539553752535</c:v>
                </c:pt>
                <c:pt idx="48">
                  <c:v>0.13387423935091278</c:v>
                </c:pt>
                <c:pt idx="49">
                  <c:v>0.13387423935091278</c:v>
                </c:pt>
                <c:pt idx="50">
                  <c:v>0.10344827586206896</c:v>
                </c:pt>
                <c:pt idx="51">
                  <c:v>0.10344827586206896</c:v>
                </c:pt>
                <c:pt idx="52">
                  <c:v>6.6937119675456389E-2</c:v>
                </c:pt>
                <c:pt idx="53">
                  <c:v>6.6937119675456389E-2</c:v>
                </c:pt>
                <c:pt idx="54">
                  <c:v>5.6795131845841784E-2</c:v>
                </c:pt>
                <c:pt idx="55">
                  <c:v>5.6795131845841784E-2</c:v>
                </c:pt>
                <c:pt idx="56">
                  <c:v>5.4766734279918863E-2</c:v>
                </c:pt>
                <c:pt idx="57">
                  <c:v>5.4766734279918863E-2</c:v>
                </c:pt>
                <c:pt idx="58">
                  <c:v>4.665314401622718E-2</c:v>
                </c:pt>
                <c:pt idx="59">
                  <c:v>4.665314401622718E-2</c:v>
                </c:pt>
                <c:pt idx="60">
                  <c:v>4.4624746450304259E-2</c:v>
                </c:pt>
                <c:pt idx="61">
                  <c:v>4.4624746450304259E-2</c:v>
                </c:pt>
                <c:pt idx="62">
                  <c:v>4.2596348884381338E-2</c:v>
                </c:pt>
                <c:pt idx="63">
                  <c:v>4.2596348884381338E-2</c:v>
                </c:pt>
                <c:pt idx="64">
                  <c:v>3.6511156186612576E-2</c:v>
                </c:pt>
                <c:pt idx="65">
                  <c:v>3.6511156186612576E-2</c:v>
                </c:pt>
                <c:pt idx="66">
                  <c:v>2.6369168356997971E-2</c:v>
                </c:pt>
                <c:pt idx="67">
                  <c:v>2.6369168356997971E-2</c:v>
                </c:pt>
                <c:pt idx="68">
                  <c:v>2.0283975659229209E-2</c:v>
                </c:pt>
                <c:pt idx="69">
                  <c:v>2.0283975659229209E-2</c:v>
                </c:pt>
                <c:pt idx="70">
                  <c:v>1.8255578093306288E-2</c:v>
                </c:pt>
                <c:pt idx="71">
                  <c:v>1.8255578093306288E-2</c:v>
                </c:pt>
                <c:pt idx="72">
                  <c:v>8.1135902636916835E-3</c:v>
                </c:pt>
                <c:pt idx="73">
                  <c:v>8.1135902636916835E-3</c:v>
                </c:pt>
                <c:pt idx="74">
                  <c:v>2.0283975659229209E-3</c:v>
                </c:pt>
                <c:pt idx="75">
                  <c:v>2.0283975659229209E-3</c:v>
                </c:pt>
                <c:pt idx="76">
                  <c:v>2.0283975659229209E-3</c:v>
                </c:pt>
                <c:pt idx="77">
                  <c:v>2.0283975659229209E-3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5-458D-AFCD-D9C096436EC9}"/>
            </c:ext>
          </c:extLst>
        </c:ser>
        <c:ser>
          <c:idx val="2"/>
          <c:order val="2"/>
          <c:tx>
            <c:strRef>
              <c:f>'2 способ'!$L$1</c:f>
              <c:strCache>
                <c:ptCount val="1"/>
                <c:pt idx="0">
                  <c:v>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способ'!$L$2:$L$99</c:f>
              <c:numCache>
                <c:formatCode>0.0%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1.6227180527383367E-2</c:v>
                </c:pt>
                <c:pt idx="28">
                  <c:v>1.6227180527383367E-2</c:v>
                </c:pt>
                <c:pt idx="29">
                  <c:v>1.6227180527383367E-2</c:v>
                </c:pt>
                <c:pt idx="30">
                  <c:v>4.4624746450304259E-2</c:v>
                </c:pt>
                <c:pt idx="31">
                  <c:v>4.4624746450304259E-2</c:v>
                </c:pt>
                <c:pt idx="32">
                  <c:v>4.4624746450304259E-2</c:v>
                </c:pt>
                <c:pt idx="33">
                  <c:v>5.2738336713995942E-2</c:v>
                </c:pt>
                <c:pt idx="34">
                  <c:v>5.2738336713995942E-2</c:v>
                </c:pt>
                <c:pt idx="35">
                  <c:v>5.2738336713995942E-2</c:v>
                </c:pt>
                <c:pt idx="36">
                  <c:v>6.8965517241379309E-2</c:v>
                </c:pt>
                <c:pt idx="37">
                  <c:v>6.8965517241379309E-2</c:v>
                </c:pt>
                <c:pt idx="38">
                  <c:v>6.8965517241379309E-2</c:v>
                </c:pt>
                <c:pt idx="39">
                  <c:v>0.10953346855983773</c:v>
                </c:pt>
                <c:pt idx="40">
                  <c:v>0.10953346855983773</c:v>
                </c:pt>
                <c:pt idx="41">
                  <c:v>0.10953346855983773</c:v>
                </c:pt>
                <c:pt idx="42">
                  <c:v>0.14198782961460446</c:v>
                </c:pt>
                <c:pt idx="43">
                  <c:v>0.14198782961460446</c:v>
                </c:pt>
                <c:pt idx="44">
                  <c:v>0.14198782961460446</c:v>
                </c:pt>
                <c:pt idx="45">
                  <c:v>0.17444219066937119</c:v>
                </c:pt>
                <c:pt idx="46">
                  <c:v>0.17444219066937119</c:v>
                </c:pt>
                <c:pt idx="47">
                  <c:v>0.17444219066937119</c:v>
                </c:pt>
                <c:pt idx="48">
                  <c:v>0.21095334685598377</c:v>
                </c:pt>
                <c:pt idx="49">
                  <c:v>0.21095334685598377</c:v>
                </c:pt>
                <c:pt idx="50">
                  <c:v>0.21095334685598377</c:v>
                </c:pt>
                <c:pt idx="51">
                  <c:v>0.2434077079107505</c:v>
                </c:pt>
                <c:pt idx="52">
                  <c:v>0.2434077079107505</c:v>
                </c:pt>
                <c:pt idx="53">
                  <c:v>0.2434077079107505</c:v>
                </c:pt>
                <c:pt idx="54">
                  <c:v>0.2738336713995943</c:v>
                </c:pt>
                <c:pt idx="55">
                  <c:v>0.2738336713995943</c:v>
                </c:pt>
                <c:pt idx="56">
                  <c:v>0.2738336713995943</c:v>
                </c:pt>
                <c:pt idx="57">
                  <c:v>0.30020283975659229</c:v>
                </c:pt>
                <c:pt idx="58">
                  <c:v>0.30020283975659229</c:v>
                </c:pt>
                <c:pt idx="59">
                  <c:v>0.30020283975659229</c:v>
                </c:pt>
                <c:pt idx="60">
                  <c:v>0.3225152129817444</c:v>
                </c:pt>
                <c:pt idx="61">
                  <c:v>0.3225152129817444</c:v>
                </c:pt>
                <c:pt idx="62">
                  <c:v>0.3225152129817444</c:v>
                </c:pt>
                <c:pt idx="63">
                  <c:v>0.34482758620689657</c:v>
                </c:pt>
                <c:pt idx="64">
                  <c:v>0.34482758620689657</c:v>
                </c:pt>
                <c:pt idx="65">
                  <c:v>0.34482758620689657</c:v>
                </c:pt>
                <c:pt idx="66">
                  <c:v>0.3711967545638945</c:v>
                </c:pt>
                <c:pt idx="67">
                  <c:v>0.3711967545638945</c:v>
                </c:pt>
                <c:pt idx="68">
                  <c:v>0.3711967545638945</c:v>
                </c:pt>
                <c:pt idx="69">
                  <c:v>0.40567951318458417</c:v>
                </c:pt>
                <c:pt idx="70">
                  <c:v>0.40567951318458417</c:v>
                </c:pt>
                <c:pt idx="71">
                  <c:v>0.40567951318458417</c:v>
                </c:pt>
                <c:pt idx="72">
                  <c:v>0.43407707910750509</c:v>
                </c:pt>
                <c:pt idx="73">
                  <c:v>0.43407707910750509</c:v>
                </c:pt>
                <c:pt idx="74">
                  <c:v>0.43407707910750509</c:v>
                </c:pt>
                <c:pt idx="75">
                  <c:v>0.47058823529411764</c:v>
                </c:pt>
                <c:pt idx="76">
                  <c:v>0.47058823529411764</c:v>
                </c:pt>
                <c:pt idx="77">
                  <c:v>0.47058823529411764</c:v>
                </c:pt>
                <c:pt idx="78">
                  <c:v>0.51724137931034486</c:v>
                </c:pt>
                <c:pt idx="79">
                  <c:v>0.51724137931034486</c:v>
                </c:pt>
                <c:pt idx="80">
                  <c:v>0.51724137931034486</c:v>
                </c:pt>
                <c:pt idx="81">
                  <c:v>0.59229208924949295</c:v>
                </c:pt>
                <c:pt idx="82">
                  <c:v>0.59229208924949295</c:v>
                </c:pt>
                <c:pt idx="83">
                  <c:v>0.59229208924949295</c:v>
                </c:pt>
                <c:pt idx="84">
                  <c:v>0.65517241379310343</c:v>
                </c:pt>
                <c:pt idx="85">
                  <c:v>0.65517241379310343</c:v>
                </c:pt>
                <c:pt idx="86">
                  <c:v>0.65517241379310343</c:v>
                </c:pt>
                <c:pt idx="87">
                  <c:v>0.70993914807302227</c:v>
                </c:pt>
                <c:pt idx="88">
                  <c:v>0.70993914807302227</c:v>
                </c:pt>
                <c:pt idx="89">
                  <c:v>0.70993914807302227</c:v>
                </c:pt>
                <c:pt idx="90">
                  <c:v>0.73833671399594325</c:v>
                </c:pt>
                <c:pt idx="91">
                  <c:v>0.73833671399594325</c:v>
                </c:pt>
                <c:pt idx="92">
                  <c:v>0.73833671399594325</c:v>
                </c:pt>
                <c:pt idx="93">
                  <c:v>0.78296146044624748</c:v>
                </c:pt>
                <c:pt idx="94">
                  <c:v>0.78296146044624748</c:v>
                </c:pt>
                <c:pt idx="95">
                  <c:v>0.78296146044624748</c:v>
                </c:pt>
                <c:pt idx="96">
                  <c:v>0.82961460446247459</c:v>
                </c:pt>
                <c:pt idx="97">
                  <c:v>0.82961460446247459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15-458D-AFCD-D9C096436EC9}"/>
            </c:ext>
          </c:extLst>
        </c:ser>
        <c:ser>
          <c:idx val="3"/>
          <c:order val="3"/>
          <c:tx>
            <c:strRef>
              <c:f>'2 способ'!$M$1</c:f>
              <c:strCache>
                <c:ptCount val="1"/>
                <c:pt idx="0">
                  <c:v>сл. 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способ'!$M$2:$M$99</c:f>
              <c:numCache>
                <c:formatCode>0.0%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1.2170385395537525E-2</c:v>
                </c:pt>
                <c:pt idx="48">
                  <c:v>1.2170385395537525E-2</c:v>
                </c:pt>
                <c:pt idx="49">
                  <c:v>1.2170385395537525E-2</c:v>
                </c:pt>
                <c:pt idx="50">
                  <c:v>1.2170385395537525E-2</c:v>
                </c:pt>
                <c:pt idx="51">
                  <c:v>1.2170385395537525E-2</c:v>
                </c:pt>
                <c:pt idx="52">
                  <c:v>3.2454361054766734E-2</c:v>
                </c:pt>
                <c:pt idx="53">
                  <c:v>3.2454361054766734E-2</c:v>
                </c:pt>
                <c:pt idx="54">
                  <c:v>3.2454361054766734E-2</c:v>
                </c:pt>
                <c:pt idx="55">
                  <c:v>3.2454361054766734E-2</c:v>
                </c:pt>
                <c:pt idx="56">
                  <c:v>3.2454361054766734E-2</c:v>
                </c:pt>
                <c:pt idx="57">
                  <c:v>7.099391480730223E-2</c:v>
                </c:pt>
                <c:pt idx="58">
                  <c:v>7.099391480730223E-2</c:v>
                </c:pt>
                <c:pt idx="59">
                  <c:v>7.099391480730223E-2</c:v>
                </c:pt>
                <c:pt idx="60">
                  <c:v>7.099391480730223E-2</c:v>
                </c:pt>
                <c:pt idx="61">
                  <c:v>7.099391480730223E-2</c:v>
                </c:pt>
                <c:pt idx="62">
                  <c:v>8.3164300202839755E-2</c:v>
                </c:pt>
                <c:pt idx="63">
                  <c:v>8.3164300202839755E-2</c:v>
                </c:pt>
                <c:pt idx="64">
                  <c:v>8.3164300202839755E-2</c:v>
                </c:pt>
                <c:pt idx="65">
                  <c:v>8.3164300202839755E-2</c:v>
                </c:pt>
                <c:pt idx="66">
                  <c:v>8.3164300202839755E-2</c:v>
                </c:pt>
                <c:pt idx="67">
                  <c:v>0.11561866125760649</c:v>
                </c:pt>
                <c:pt idx="68">
                  <c:v>0.11561866125760649</c:v>
                </c:pt>
                <c:pt idx="69">
                  <c:v>0.11561866125760649</c:v>
                </c:pt>
                <c:pt idx="70">
                  <c:v>0.11561866125760649</c:v>
                </c:pt>
                <c:pt idx="71">
                  <c:v>0.11561866125760649</c:v>
                </c:pt>
                <c:pt idx="72">
                  <c:v>0.15010141987829614</c:v>
                </c:pt>
                <c:pt idx="73">
                  <c:v>0.15010141987829614</c:v>
                </c:pt>
                <c:pt idx="74">
                  <c:v>0.15010141987829614</c:v>
                </c:pt>
                <c:pt idx="75">
                  <c:v>0.15010141987829614</c:v>
                </c:pt>
                <c:pt idx="76">
                  <c:v>0.15010141987829614</c:v>
                </c:pt>
                <c:pt idx="77">
                  <c:v>0.18255578093306288</c:v>
                </c:pt>
                <c:pt idx="78">
                  <c:v>0.18255578093306288</c:v>
                </c:pt>
                <c:pt idx="79">
                  <c:v>0.18255578093306288</c:v>
                </c:pt>
                <c:pt idx="80">
                  <c:v>0.18255578093306288</c:v>
                </c:pt>
                <c:pt idx="81">
                  <c:v>0.18255578093306288</c:v>
                </c:pt>
                <c:pt idx="82">
                  <c:v>0.21501014198782961</c:v>
                </c:pt>
                <c:pt idx="83">
                  <c:v>0.21501014198782961</c:v>
                </c:pt>
                <c:pt idx="84">
                  <c:v>0.21501014198782961</c:v>
                </c:pt>
                <c:pt idx="85">
                  <c:v>0.21501014198782961</c:v>
                </c:pt>
                <c:pt idx="86">
                  <c:v>0.21501014198782961</c:v>
                </c:pt>
                <c:pt idx="87">
                  <c:v>0.2434077079107505</c:v>
                </c:pt>
                <c:pt idx="88">
                  <c:v>0.2434077079107505</c:v>
                </c:pt>
                <c:pt idx="89">
                  <c:v>0.2434077079107505</c:v>
                </c:pt>
                <c:pt idx="90">
                  <c:v>0.2434077079107505</c:v>
                </c:pt>
                <c:pt idx="91">
                  <c:v>0.2434077079107505</c:v>
                </c:pt>
                <c:pt idx="92">
                  <c:v>0.28194726166328599</c:v>
                </c:pt>
                <c:pt idx="93">
                  <c:v>0.28194726166328599</c:v>
                </c:pt>
                <c:pt idx="94">
                  <c:v>0.28194726166328599</c:v>
                </c:pt>
                <c:pt idx="95">
                  <c:v>0.28194726166328599</c:v>
                </c:pt>
                <c:pt idx="96">
                  <c:v>0.28194726166328599</c:v>
                </c:pt>
                <c:pt idx="97">
                  <c:v>0.30831643002028397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15-458D-AFCD-D9C096436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663024"/>
        <c:axId val="1936646800"/>
      </c:scatterChart>
      <c:valAx>
        <c:axId val="1936663024"/>
        <c:scaling>
          <c:orientation val="minMax"/>
          <c:max val="5300"/>
          <c:min val="4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646800"/>
        <c:crosses val="autoZero"/>
        <c:crossBetween val="midCat"/>
        <c:majorUnit val="200"/>
      </c:valAx>
      <c:valAx>
        <c:axId val="1936646800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66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 способ'!$J$1</c:f>
              <c:strCache>
                <c:ptCount val="1"/>
                <c:pt idx="0">
                  <c:v>сл.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 способ'!$I$2:$I$494</c:f>
              <c:numCache>
                <c:formatCode>General</c:formatCode>
                <c:ptCount val="49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'3 способ'!$J$2:$J$494</c:f>
              <c:numCache>
                <c:formatCode>0.0%</c:formatCode>
                <c:ptCount val="493"/>
                <c:pt idx="0">
                  <c:v>1</c:v>
                </c:pt>
                <c:pt idx="1">
                  <c:v>0.97802197802197799</c:v>
                </c:pt>
                <c:pt idx="2">
                  <c:v>0.88461538461538458</c:v>
                </c:pt>
                <c:pt idx="3">
                  <c:v>0.79395604395604391</c:v>
                </c:pt>
                <c:pt idx="4">
                  <c:v>0.65934065934065933</c:v>
                </c:pt>
                <c:pt idx="5">
                  <c:v>0.59065934065934067</c:v>
                </c:pt>
                <c:pt idx="6">
                  <c:v>0.49175824175824173</c:v>
                </c:pt>
                <c:pt idx="7">
                  <c:v>0.34340659340659341</c:v>
                </c:pt>
                <c:pt idx="8">
                  <c:v>0.27197802197802196</c:v>
                </c:pt>
                <c:pt idx="9">
                  <c:v>0.2445054945054945</c:v>
                </c:pt>
                <c:pt idx="10">
                  <c:v>0.21978021978021978</c:v>
                </c:pt>
                <c:pt idx="11">
                  <c:v>0.18406593406593408</c:v>
                </c:pt>
                <c:pt idx="12">
                  <c:v>0.13461538461538461</c:v>
                </c:pt>
                <c:pt idx="13">
                  <c:v>0.1043956043956044</c:v>
                </c:pt>
                <c:pt idx="14">
                  <c:v>0.1043956043956044</c:v>
                </c:pt>
                <c:pt idx="15">
                  <c:v>0.1043956043956044</c:v>
                </c:pt>
                <c:pt idx="16">
                  <c:v>0.1043956043956044</c:v>
                </c:pt>
                <c:pt idx="17">
                  <c:v>0.1043956043956044</c:v>
                </c:pt>
                <c:pt idx="18">
                  <c:v>9.0659340659340656E-2</c:v>
                </c:pt>
                <c:pt idx="19">
                  <c:v>8.2417582417582416E-2</c:v>
                </c:pt>
                <c:pt idx="20">
                  <c:v>7.1428571428571425E-2</c:v>
                </c:pt>
                <c:pt idx="21">
                  <c:v>5.7692307692307696E-2</c:v>
                </c:pt>
                <c:pt idx="22">
                  <c:v>4.1208791208791208E-2</c:v>
                </c:pt>
                <c:pt idx="23">
                  <c:v>3.021978021978022E-2</c:v>
                </c:pt>
                <c:pt idx="24">
                  <c:v>1.9230769230769232E-2</c:v>
                </c:pt>
                <c:pt idx="25">
                  <c:v>1.6483516483516484E-2</c:v>
                </c:pt>
                <c:pt idx="26">
                  <c:v>8.241758241758242E-3</c:v>
                </c:pt>
                <c:pt idx="27">
                  <c:v>2.7472527472527475E-3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D-4D47-911A-60F8D5F4F7A4}"/>
            </c:ext>
          </c:extLst>
        </c:ser>
        <c:ser>
          <c:idx val="1"/>
          <c:order val="1"/>
          <c:tx>
            <c:strRef>
              <c:f>'3 способ'!$K$1</c:f>
              <c:strCache>
                <c:ptCount val="1"/>
                <c:pt idx="0">
                  <c:v>дешево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 способ'!$I$2:$I$494</c:f>
              <c:numCache>
                <c:formatCode>General</c:formatCode>
                <c:ptCount val="49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'3 способ'!$K$2:$K$494</c:f>
              <c:numCache>
                <c:formatCode>0.0%</c:formatCode>
                <c:ptCount val="49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0.96703296703296704</c:v>
                </c:pt>
                <c:pt idx="7">
                  <c:v>0.96703296703296704</c:v>
                </c:pt>
                <c:pt idx="8">
                  <c:v>0.90934065934065933</c:v>
                </c:pt>
                <c:pt idx="9">
                  <c:v>0.90934065934065933</c:v>
                </c:pt>
                <c:pt idx="10">
                  <c:v>0.85439560439560436</c:v>
                </c:pt>
                <c:pt idx="11">
                  <c:v>0.85439560439560436</c:v>
                </c:pt>
                <c:pt idx="12">
                  <c:v>0.78021978021978022</c:v>
                </c:pt>
                <c:pt idx="13">
                  <c:v>0.78021978021978022</c:v>
                </c:pt>
                <c:pt idx="14">
                  <c:v>0.68956043956043955</c:v>
                </c:pt>
                <c:pt idx="15">
                  <c:v>0.68956043956043955</c:v>
                </c:pt>
                <c:pt idx="16">
                  <c:v>0.60164835164835162</c:v>
                </c:pt>
                <c:pt idx="17">
                  <c:v>0.60164835164835162</c:v>
                </c:pt>
                <c:pt idx="18">
                  <c:v>0.52472527472527475</c:v>
                </c:pt>
                <c:pt idx="19">
                  <c:v>0.52472527472527475</c:v>
                </c:pt>
                <c:pt idx="20">
                  <c:v>0.45879120879120877</c:v>
                </c:pt>
                <c:pt idx="21">
                  <c:v>0.45879120879120877</c:v>
                </c:pt>
                <c:pt idx="22">
                  <c:v>0.39010989010989011</c:v>
                </c:pt>
                <c:pt idx="23">
                  <c:v>0.39010989010989011</c:v>
                </c:pt>
                <c:pt idx="24">
                  <c:v>0.35439560439560441</c:v>
                </c:pt>
                <c:pt idx="25">
                  <c:v>0.35439560439560441</c:v>
                </c:pt>
                <c:pt idx="26">
                  <c:v>0.31593406593406592</c:v>
                </c:pt>
                <c:pt idx="27">
                  <c:v>0.31593406593406592</c:v>
                </c:pt>
                <c:pt idx="28">
                  <c:v>0.28296703296703296</c:v>
                </c:pt>
                <c:pt idx="29">
                  <c:v>0.28296703296703296</c:v>
                </c:pt>
                <c:pt idx="30">
                  <c:v>0.2445054945054945</c:v>
                </c:pt>
                <c:pt idx="31">
                  <c:v>0.2445054945054945</c:v>
                </c:pt>
                <c:pt idx="32">
                  <c:v>0.19780219780219779</c:v>
                </c:pt>
                <c:pt idx="33">
                  <c:v>0.19780219780219779</c:v>
                </c:pt>
                <c:pt idx="34">
                  <c:v>0.17582417582417584</c:v>
                </c:pt>
                <c:pt idx="35">
                  <c:v>0.17582417582417584</c:v>
                </c:pt>
                <c:pt idx="36">
                  <c:v>0.12362637362637363</c:v>
                </c:pt>
                <c:pt idx="37">
                  <c:v>0.12362637362637363</c:v>
                </c:pt>
                <c:pt idx="38">
                  <c:v>0.1043956043956044</c:v>
                </c:pt>
                <c:pt idx="39">
                  <c:v>0.1043956043956044</c:v>
                </c:pt>
                <c:pt idx="40">
                  <c:v>0.1043956043956044</c:v>
                </c:pt>
                <c:pt idx="41">
                  <c:v>0.1043956043956044</c:v>
                </c:pt>
                <c:pt idx="42">
                  <c:v>0.1043956043956044</c:v>
                </c:pt>
                <c:pt idx="43">
                  <c:v>0.1043956043956044</c:v>
                </c:pt>
                <c:pt idx="44">
                  <c:v>0.1043956043956044</c:v>
                </c:pt>
                <c:pt idx="45">
                  <c:v>0.1043956043956044</c:v>
                </c:pt>
                <c:pt idx="46">
                  <c:v>0.1043956043956044</c:v>
                </c:pt>
                <c:pt idx="47">
                  <c:v>0.1043956043956044</c:v>
                </c:pt>
                <c:pt idx="48">
                  <c:v>0.10164835164835165</c:v>
                </c:pt>
                <c:pt idx="49">
                  <c:v>0.10164835164835165</c:v>
                </c:pt>
                <c:pt idx="50">
                  <c:v>9.6153846153846159E-2</c:v>
                </c:pt>
                <c:pt idx="51">
                  <c:v>9.6153846153846159E-2</c:v>
                </c:pt>
                <c:pt idx="52">
                  <c:v>9.0659340659340656E-2</c:v>
                </c:pt>
                <c:pt idx="53">
                  <c:v>9.0659340659340656E-2</c:v>
                </c:pt>
                <c:pt idx="54">
                  <c:v>7.6923076923076927E-2</c:v>
                </c:pt>
                <c:pt idx="55">
                  <c:v>7.6923076923076927E-2</c:v>
                </c:pt>
                <c:pt idx="56">
                  <c:v>7.4175824175824176E-2</c:v>
                </c:pt>
                <c:pt idx="57">
                  <c:v>7.4175824175824176E-2</c:v>
                </c:pt>
                <c:pt idx="58">
                  <c:v>6.3186813186813184E-2</c:v>
                </c:pt>
                <c:pt idx="59">
                  <c:v>6.3186813186813184E-2</c:v>
                </c:pt>
                <c:pt idx="60">
                  <c:v>6.043956043956044E-2</c:v>
                </c:pt>
                <c:pt idx="61">
                  <c:v>6.043956043956044E-2</c:v>
                </c:pt>
                <c:pt idx="62">
                  <c:v>5.7692307692307696E-2</c:v>
                </c:pt>
                <c:pt idx="63">
                  <c:v>5.7692307692307696E-2</c:v>
                </c:pt>
                <c:pt idx="64">
                  <c:v>4.9450549450549448E-2</c:v>
                </c:pt>
                <c:pt idx="65">
                  <c:v>4.9450549450549448E-2</c:v>
                </c:pt>
                <c:pt idx="66">
                  <c:v>3.5714285714285712E-2</c:v>
                </c:pt>
                <c:pt idx="67">
                  <c:v>3.5714285714285712E-2</c:v>
                </c:pt>
                <c:pt idx="68">
                  <c:v>2.7472527472527472E-2</c:v>
                </c:pt>
                <c:pt idx="69">
                  <c:v>2.7472527472527472E-2</c:v>
                </c:pt>
                <c:pt idx="70">
                  <c:v>2.4725274725274724E-2</c:v>
                </c:pt>
                <c:pt idx="71">
                  <c:v>2.4725274725274724E-2</c:v>
                </c:pt>
                <c:pt idx="72">
                  <c:v>1.098901098901099E-2</c:v>
                </c:pt>
                <c:pt idx="73">
                  <c:v>1.098901098901099E-2</c:v>
                </c:pt>
                <c:pt idx="74">
                  <c:v>2.7472527472527475E-3</c:v>
                </c:pt>
                <c:pt idx="75">
                  <c:v>2.7472527472527475E-3</c:v>
                </c:pt>
                <c:pt idx="76">
                  <c:v>2.7472527472527475E-3</c:v>
                </c:pt>
                <c:pt idx="77">
                  <c:v>2.7472527472527475E-3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9D-4D47-911A-60F8D5F4F7A4}"/>
            </c:ext>
          </c:extLst>
        </c:ser>
        <c:ser>
          <c:idx val="2"/>
          <c:order val="2"/>
          <c:tx>
            <c:strRef>
              <c:f>'3 способ'!$L$1</c:f>
              <c:strCache>
                <c:ptCount val="1"/>
                <c:pt idx="0">
                  <c:v>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'3 способ'!$I$2:$I$494</c:f>
              <c:numCache>
                <c:formatCode>General</c:formatCode>
                <c:ptCount val="49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'3 способ'!$L$2:$L$494</c:f>
              <c:numCache>
                <c:formatCode>0.0%</c:formatCode>
                <c:ptCount val="4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4.1208791208791208E-2</c:v>
                </c:pt>
                <c:pt idx="19">
                  <c:v>4.1208791208791208E-2</c:v>
                </c:pt>
                <c:pt idx="20">
                  <c:v>4.1208791208791208E-2</c:v>
                </c:pt>
                <c:pt idx="21">
                  <c:v>8.5164835164835168E-2</c:v>
                </c:pt>
                <c:pt idx="22">
                  <c:v>8.5164835164835168E-2</c:v>
                </c:pt>
                <c:pt idx="23">
                  <c:v>8.5164835164835168E-2</c:v>
                </c:pt>
                <c:pt idx="24">
                  <c:v>0.13736263736263737</c:v>
                </c:pt>
                <c:pt idx="25">
                  <c:v>0.13736263736263737</c:v>
                </c:pt>
                <c:pt idx="26">
                  <c:v>0.13736263736263737</c:v>
                </c:pt>
                <c:pt idx="27">
                  <c:v>0.17582417582417584</c:v>
                </c:pt>
                <c:pt idx="28">
                  <c:v>0.17582417582417584</c:v>
                </c:pt>
                <c:pt idx="29">
                  <c:v>0.17582417582417584</c:v>
                </c:pt>
                <c:pt idx="30">
                  <c:v>0.21428571428571427</c:v>
                </c:pt>
                <c:pt idx="31">
                  <c:v>0.21428571428571427</c:v>
                </c:pt>
                <c:pt idx="32">
                  <c:v>0.21428571428571427</c:v>
                </c:pt>
                <c:pt idx="33">
                  <c:v>0.29395604395604397</c:v>
                </c:pt>
                <c:pt idx="34">
                  <c:v>0.29395604395604397</c:v>
                </c:pt>
                <c:pt idx="35">
                  <c:v>0.29395604395604397</c:v>
                </c:pt>
                <c:pt idx="36">
                  <c:v>0.38186813186813184</c:v>
                </c:pt>
                <c:pt idx="37">
                  <c:v>0.38186813186813184</c:v>
                </c:pt>
                <c:pt idx="38">
                  <c:v>0.38186813186813184</c:v>
                </c:pt>
                <c:pt idx="39">
                  <c:v>0.4642857142857143</c:v>
                </c:pt>
                <c:pt idx="40">
                  <c:v>0.4642857142857143</c:v>
                </c:pt>
                <c:pt idx="41">
                  <c:v>0.4642857142857143</c:v>
                </c:pt>
                <c:pt idx="42">
                  <c:v>0.53846153846153844</c:v>
                </c:pt>
                <c:pt idx="43">
                  <c:v>0.53846153846153844</c:v>
                </c:pt>
                <c:pt idx="44">
                  <c:v>0.53846153846153844</c:v>
                </c:pt>
                <c:pt idx="45">
                  <c:v>0.59615384615384615</c:v>
                </c:pt>
                <c:pt idx="46">
                  <c:v>0.59615384615384615</c:v>
                </c:pt>
                <c:pt idx="47">
                  <c:v>0.59615384615384615</c:v>
                </c:pt>
                <c:pt idx="48">
                  <c:v>0.60989010989010994</c:v>
                </c:pt>
                <c:pt idx="49">
                  <c:v>0.60989010989010994</c:v>
                </c:pt>
                <c:pt idx="50">
                  <c:v>0.60989010989010994</c:v>
                </c:pt>
                <c:pt idx="51">
                  <c:v>0.60989010989010994</c:v>
                </c:pt>
                <c:pt idx="52">
                  <c:v>0.60989010989010994</c:v>
                </c:pt>
                <c:pt idx="53">
                  <c:v>0.60989010989010994</c:v>
                </c:pt>
                <c:pt idx="54">
                  <c:v>0.60989010989010994</c:v>
                </c:pt>
                <c:pt idx="55">
                  <c:v>0.60989010989010994</c:v>
                </c:pt>
                <c:pt idx="56">
                  <c:v>0.60989010989010994</c:v>
                </c:pt>
                <c:pt idx="57">
                  <c:v>0.61813186813186816</c:v>
                </c:pt>
                <c:pt idx="58">
                  <c:v>0.61813186813186816</c:v>
                </c:pt>
                <c:pt idx="59">
                  <c:v>0.61813186813186816</c:v>
                </c:pt>
                <c:pt idx="60">
                  <c:v>0.64835164835164838</c:v>
                </c:pt>
                <c:pt idx="61">
                  <c:v>0.64835164835164838</c:v>
                </c:pt>
                <c:pt idx="62">
                  <c:v>0.64835164835164838</c:v>
                </c:pt>
                <c:pt idx="63">
                  <c:v>0.6785714285714286</c:v>
                </c:pt>
                <c:pt idx="64">
                  <c:v>0.6785714285714286</c:v>
                </c:pt>
                <c:pt idx="65">
                  <c:v>0.6785714285714286</c:v>
                </c:pt>
                <c:pt idx="66">
                  <c:v>0.7142857142857143</c:v>
                </c:pt>
                <c:pt idx="67">
                  <c:v>0.7142857142857143</c:v>
                </c:pt>
                <c:pt idx="68">
                  <c:v>0.7142857142857143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0.77472527472527475</c:v>
                </c:pt>
                <c:pt idx="73">
                  <c:v>0.77472527472527475</c:v>
                </c:pt>
                <c:pt idx="74">
                  <c:v>0.77472527472527475</c:v>
                </c:pt>
                <c:pt idx="75">
                  <c:v>0.80769230769230771</c:v>
                </c:pt>
                <c:pt idx="76">
                  <c:v>0.80769230769230771</c:v>
                </c:pt>
                <c:pt idx="77">
                  <c:v>0.80769230769230771</c:v>
                </c:pt>
                <c:pt idx="78">
                  <c:v>0.82967032967032972</c:v>
                </c:pt>
                <c:pt idx="79">
                  <c:v>0.82967032967032972</c:v>
                </c:pt>
                <c:pt idx="80">
                  <c:v>0.82967032967032972</c:v>
                </c:pt>
                <c:pt idx="81">
                  <c:v>0.85439560439560436</c:v>
                </c:pt>
                <c:pt idx="82">
                  <c:v>0.85439560439560436</c:v>
                </c:pt>
                <c:pt idx="83">
                  <c:v>0.85439560439560436</c:v>
                </c:pt>
                <c:pt idx="84">
                  <c:v>0.88461538461538458</c:v>
                </c:pt>
                <c:pt idx="85">
                  <c:v>0.88461538461538458</c:v>
                </c:pt>
                <c:pt idx="86">
                  <c:v>0.88461538461538458</c:v>
                </c:pt>
                <c:pt idx="87">
                  <c:v>0.89560439560439564</c:v>
                </c:pt>
                <c:pt idx="88">
                  <c:v>0.89560439560439564</c:v>
                </c:pt>
                <c:pt idx="89">
                  <c:v>0.89560439560439564</c:v>
                </c:pt>
                <c:pt idx="90">
                  <c:v>0.89560439560439564</c:v>
                </c:pt>
                <c:pt idx="91">
                  <c:v>0.89560439560439564</c:v>
                </c:pt>
                <c:pt idx="92">
                  <c:v>0.89560439560439564</c:v>
                </c:pt>
                <c:pt idx="93">
                  <c:v>0.89560439560439564</c:v>
                </c:pt>
                <c:pt idx="94">
                  <c:v>0.89560439560439564</c:v>
                </c:pt>
                <c:pt idx="95">
                  <c:v>0.89560439560439564</c:v>
                </c:pt>
                <c:pt idx="96">
                  <c:v>0.89560439560439564</c:v>
                </c:pt>
                <c:pt idx="97">
                  <c:v>0.89560439560439564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9D-4D47-911A-60F8D5F4F7A4}"/>
            </c:ext>
          </c:extLst>
        </c:ser>
        <c:ser>
          <c:idx val="3"/>
          <c:order val="3"/>
          <c:tx>
            <c:strRef>
              <c:f>'3 способ'!$M$1</c:f>
              <c:strCache>
                <c:ptCount val="1"/>
                <c:pt idx="0">
                  <c:v>сл. 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'3 способ'!$I$2:$I$494</c:f>
              <c:numCache>
                <c:formatCode>General</c:formatCode>
                <c:ptCount val="49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'3 способ'!$M$2:$M$494</c:f>
              <c:numCache>
                <c:formatCode>0.0%</c:formatCode>
                <c:ptCount val="4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2.197802197802198E-2</c:v>
                </c:pt>
                <c:pt idx="33">
                  <c:v>2.197802197802198E-2</c:v>
                </c:pt>
                <c:pt idx="34">
                  <c:v>2.197802197802198E-2</c:v>
                </c:pt>
                <c:pt idx="35">
                  <c:v>2.197802197802198E-2</c:v>
                </c:pt>
                <c:pt idx="36">
                  <c:v>2.197802197802198E-2</c:v>
                </c:pt>
                <c:pt idx="37">
                  <c:v>7.1428571428571425E-2</c:v>
                </c:pt>
                <c:pt idx="38">
                  <c:v>7.1428571428571425E-2</c:v>
                </c:pt>
                <c:pt idx="39">
                  <c:v>7.1428571428571425E-2</c:v>
                </c:pt>
                <c:pt idx="40">
                  <c:v>7.1428571428571425E-2</c:v>
                </c:pt>
                <c:pt idx="41">
                  <c:v>7.1428571428571425E-2</c:v>
                </c:pt>
                <c:pt idx="42">
                  <c:v>0.11538461538461539</c:v>
                </c:pt>
                <c:pt idx="43">
                  <c:v>0.11538461538461539</c:v>
                </c:pt>
                <c:pt idx="44">
                  <c:v>0.11538461538461539</c:v>
                </c:pt>
                <c:pt idx="45">
                  <c:v>0.11538461538461539</c:v>
                </c:pt>
                <c:pt idx="46">
                  <c:v>0.11538461538461539</c:v>
                </c:pt>
                <c:pt idx="47">
                  <c:v>0.17032967032967034</c:v>
                </c:pt>
                <c:pt idx="48">
                  <c:v>0.17032967032967034</c:v>
                </c:pt>
                <c:pt idx="49">
                  <c:v>0.17032967032967034</c:v>
                </c:pt>
                <c:pt idx="50">
                  <c:v>0.17032967032967034</c:v>
                </c:pt>
                <c:pt idx="51">
                  <c:v>0.17032967032967034</c:v>
                </c:pt>
                <c:pt idx="52">
                  <c:v>0.19780219780219779</c:v>
                </c:pt>
                <c:pt idx="53">
                  <c:v>0.19780219780219779</c:v>
                </c:pt>
                <c:pt idx="54">
                  <c:v>0.19780219780219779</c:v>
                </c:pt>
                <c:pt idx="55">
                  <c:v>0.19780219780219779</c:v>
                </c:pt>
                <c:pt idx="56">
                  <c:v>0.19780219780219779</c:v>
                </c:pt>
                <c:pt idx="57">
                  <c:v>0.29945054945054944</c:v>
                </c:pt>
                <c:pt idx="58">
                  <c:v>0.29945054945054944</c:v>
                </c:pt>
                <c:pt idx="59">
                  <c:v>0.29945054945054944</c:v>
                </c:pt>
                <c:pt idx="60">
                  <c:v>0.29945054945054944</c:v>
                </c:pt>
                <c:pt idx="61">
                  <c:v>0.29945054945054944</c:v>
                </c:pt>
                <c:pt idx="62">
                  <c:v>0.39010989010989011</c:v>
                </c:pt>
                <c:pt idx="63">
                  <c:v>0.39010989010989011</c:v>
                </c:pt>
                <c:pt idx="64">
                  <c:v>0.39010989010989011</c:v>
                </c:pt>
                <c:pt idx="65">
                  <c:v>0.39010989010989011</c:v>
                </c:pt>
                <c:pt idx="66">
                  <c:v>0.39010989010989011</c:v>
                </c:pt>
                <c:pt idx="67">
                  <c:v>0.48901098901098899</c:v>
                </c:pt>
                <c:pt idx="68">
                  <c:v>0.48901098901098899</c:v>
                </c:pt>
                <c:pt idx="69">
                  <c:v>0.48901098901098899</c:v>
                </c:pt>
                <c:pt idx="70">
                  <c:v>0.48901098901098899</c:v>
                </c:pt>
                <c:pt idx="71">
                  <c:v>0.48901098901098899</c:v>
                </c:pt>
                <c:pt idx="72">
                  <c:v>0.56318681318681318</c:v>
                </c:pt>
                <c:pt idx="73">
                  <c:v>0.56318681318681318</c:v>
                </c:pt>
                <c:pt idx="74">
                  <c:v>0.56318681318681318</c:v>
                </c:pt>
                <c:pt idx="75">
                  <c:v>0.56318681318681318</c:v>
                </c:pt>
                <c:pt idx="76">
                  <c:v>0.56318681318681318</c:v>
                </c:pt>
                <c:pt idx="77">
                  <c:v>0.60989010989010994</c:v>
                </c:pt>
                <c:pt idx="78">
                  <c:v>0.60989010989010994</c:v>
                </c:pt>
                <c:pt idx="79">
                  <c:v>0.60989010989010994</c:v>
                </c:pt>
                <c:pt idx="80">
                  <c:v>0.60989010989010994</c:v>
                </c:pt>
                <c:pt idx="81">
                  <c:v>0.60989010989010994</c:v>
                </c:pt>
                <c:pt idx="82">
                  <c:v>0.60989010989010994</c:v>
                </c:pt>
                <c:pt idx="83">
                  <c:v>0.60989010989010994</c:v>
                </c:pt>
                <c:pt idx="84">
                  <c:v>0.60989010989010994</c:v>
                </c:pt>
                <c:pt idx="85">
                  <c:v>0.60989010989010994</c:v>
                </c:pt>
                <c:pt idx="86">
                  <c:v>0.60989010989010994</c:v>
                </c:pt>
                <c:pt idx="87">
                  <c:v>0.60989010989010994</c:v>
                </c:pt>
                <c:pt idx="88">
                  <c:v>0.60989010989010994</c:v>
                </c:pt>
                <c:pt idx="89">
                  <c:v>0.60989010989010994</c:v>
                </c:pt>
                <c:pt idx="90">
                  <c:v>0.60989010989010994</c:v>
                </c:pt>
                <c:pt idx="91">
                  <c:v>0.60989010989010994</c:v>
                </c:pt>
                <c:pt idx="92">
                  <c:v>0.60989010989010994</c:v>
                </c:pt>
                <c:pt idx="93">
                  <c:v>0.60989010989010994</c:v>
                </c:pt>
                <c:pt idx="94">
                  <c:v>0.60989010989010994</c:v>
                </c:pt>
                <c:pt idx="95">
                  <c:v>0.60989010989010994</c:v>
                </c:pt>
                <c:pt idx="96">
                  <c:v>0.60989010989010994</c:v>
                </c:pt>
                <c:pt idx="97">
                  <c:v>0.62912087912087911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9D-4D47-911A-60F8D5F4F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290192"/>
        <c:axId val="1691298096"/>
      </c:scatterChart>
      <c:valAx>
        <c:axId val="1691290192"/>
        <c:scaling>
          <c:orientation val="minMax"/>
          <c:max val="50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298096"/>
        <c:crosses val="autoZero"/>
        <c:crossBetween val="midCat"/>
        <c:majorUnit val="200"/>
      </c:valAx>
      <c:valAx>
        <c:axId val="1691298096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29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 способ'!$A$1</c:f>
              <c:strCache>
                <c:ptCount val="1"/>
                <c:pt idx="0">
                  <c:v>сл.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 способ'!$F$2:$F$23</c:f>
              <c:numCache>
                <c:formatCode>General</c:formatCode>
                <c:ptCount val="22"/>
                <c:pt idx="0">
                  <c:v>2500</c:v>
                </c:pt>
                <c:pt idx="1">
                  <c:v>2400</c:v>
                </c:pt>
                <c:pt idx="2">
                  <c:v>2300</c:v>
                </c:pt>
                <c:pt idx="3">
                  <c:v>2200</c:v>
                </c:pt>
                <c:pt idx="4">
                  <c:v>2100</c:v>
                </c:pt>
                <c:pt idx="5">
                  <c:v>2000</c:v>
                </c:pt>
                <c:pt idx="6">
                  <c:v>1900</c:v>
                </c:pt>
                <c:pt idx="7">
                  <c:v>1800</c:v>
                </c:pt>
                <c:pt idx="8">
                  <c:v>1700</c:v>
                </c:pt>
                <c:pt idx="9">
                  <c:v>1600</c:v>
                </c:pt>
                <c:pt idx="10">
                  <c:v>1500</c:v>
                </c:pt>
                <c:pt idx="11">
                  <c:v>1400</c:v>
                </c:pt>
                <c:pt idx="12">
                  <c:v>1300</c:v>
                </c:pt>
                <c:pt idx="13">
                  <c:v>1200</c:v>
                </c:pt>
                <c:pt idx="14">
                  <c:v>1100</c:v>
                </c:pt>
                <c:pt idx="15">
                  <c:v>1000</c:v>
                </c:pt>
                <c:pt idx="16">
                  <c:v>900</c:v>
                </c:pt>
                <c:pt idx="17">
                  <c:v>800</c:v>
                </c:pt>
                <c:pt idx="18">
                  <c:v>700</c:v>
                </c:pt>
                <c:pt idx="19">
                  <c:v>600</c:v>
                </c:pt>
                <c:pt idx="20">
                  <c:v>500</c:v>
                </c:pt>
                <c:pt idx="21">
                  <c:v>400</c:v>
                </c:pt>
              </c:numCache>
            </c:numRef>
          </c:xVal>
          <c:yVal>
            <c:numRef>
              <c:f>'4 способ'!$G$2:$G$23</c:f>
              <c:numCache>
                <c:formatCode>0.00%</c:formatCode>
                <c:ptCount val="22"/>
                <c:pt idx="0">
                  <c:v>4.7169811320754715E-3</c:v>
                </c:pt>
                <c:pt idx="1">
                  <c:v>2.6729559748427674E-2</c:v>
                </c:pt>
                <c:pt idx="2">
                  <c:v>5.0314465408805034E-2</c:v>
                </c:pt>
                <c:pt idx="3">
                  <c:v>5.9748427672955975E-2</c:v>
                </c:pt>
                <c:pt idx="4">
                  <c:v>7.5471698113207544E-2</c:v>
                </c:pt>
                <c:pt idx="5">
                  <c:v>0.11006289308176101</c:v>
                </c:pt>
                <c:pt idx="6">
                  <c:v>0.1650943396226415</c:v>
                </c:pt>
                <c:pt idx="7">
                  <c:v>0.2279874213836478</c:v>
                </c:pt>
                <c:pt idx="8">
                  <c:v>0.29716981132075471</c:v>
                </c:pt>
                <c:pt idx="9">
                  <c:v>0.36792452830188677</c:v>
                </c:pt>
                <c:pt idx="10">
                  <c:v>0.41823899371069184</c:v>
                </c:pt>
                <c:pt idx="11">
                  <c:v>0.47169811320754718</c:v>
                </c:pt>
                <c:pt idx="12">
                  <c:v>0.52044025157232709</c:v>
                </c:pt>
                <c:pt idx="13">
                  <c:v>0.57861635220125784</c:v>
                </c:pt>
                <c:pt idx="14">
                  <c:v>0.62421383647798745</c:v>
                </c:pt>
                <c:pt idx="15">
                  <c:v>0.67610062893081757</c:v>
                </c:pt>
                <c:pt idx="16">
                  <c:v>0.71855345911949686</c:v>
                </c:pt>
                <c:pt idx="17">
                  <c:v>0.7720125786163522</c:v>
                </c:pt>
                <c:pt idx="18">
                  <c:v>0.83805031446540879</c:v>
                </c:pt>
                <c:pt idx="19">
                  <c:v>0.91823899371069184</c:v>
                </c:pt>
                <c:pt idx="20">
                  <c:v>0.97327044025157228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CE-4C74-8B6E-C6A06FD3836A}"/>
            </c:ext>
          </c:extLst>
        </c:ser>
        <c:ser>
          <c:idx val="1"/>
          <c:order val="1"/>
          <c:tx>
            <c:strRef>
              <c:f>'4 способ'!$B$1</c:f>
              <c:strCache>
                <c:ptCount val="1"/>
                <c:pt idx="0">
                  <c:v>Дешево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 способ'!$I$2:$I$25</c:f>
              <c:numCache>
                <c:formatCode>General</c:formatCode>
                <c:ptCount val="24"/>
                <c:pt idx="0">
                  <c:v>6000</c:v>
                </c:pt>
                <c:pt idx="1">
                  <c:v>5800</c:v>
                </c:pt>
                <c:pt idx="2">
                  <c:v>5600</c:v>
                </c:pt>
                <c:pt idx="3">
                  <c:v>5400</c:v>
                </c:pt>
                <c:pt idx="4">
                  <c:v>5200</c:v>
                </c:pt>
                <c:pt idx="5">
                  <c:v>5000</c:v>
                </c:pt>
                <c:pt idx="6">
                  <c:v>4800</c:v>
                </c:pt>
                <c:pt idx="7">
                  <c:v>4600</c:v>
                </c:pt>
                <c:pt idx="8">
                  <c:v>4400</c:v>
                </c:pt>
                <c:pt idx="9">
                  <c:v>4200</c:v>
                </c:pt>
                <c:pt idx="10">
                  <c:v>4000</c:v>
                </c:pt>
                <c:pt idx="11">
                  <c:v>3800</c:v>
                </c:pt>
                <c:pt idx="12">
                  <c:v>3600</c:v>
                </c:pt>
                <c:pt idx="13">
                  <c:v>3400</c:v>
                </c:pt>
                <c:pt idx="14">
                  <c:v>3200</c:v>
                </c:pt>
                <c:pt idx="15">
                  <c:v>3000</c:v>
                </c:pt>
                <c:pt idx="16">
                  <c:v>2400</c:v>
                </c:pt>
                <c:pt idx="17">
                  <c:v>2200</c:v>
                </c:pt>
                <c:pt idx="18">
                  <c:v>2000</c:v>
                </c:pt>
                <c:pt idx="19">
                  <c:v>1800</c:v>
                </c:pt>
                <c:pt idx="20">
                  <c:v>1600</c:v>
                </c:pt>
                <c:pt idx="21">
                  <c:v>1400</c:v>
                </c:pt>
                <c:pt idx="22">
                  <c:v>1200</c:v>
                </c:pt>
                <c:pt idx="23">
                  <c:v>1000</c:v>
                </c:pt>
              </c:numCache>
            </c:numRef>
          </c:xVal>
          <c:yVal>
            <c:numRef>
              <c:f>'4 способ'!$J$2:$J$25</c:f>
              <c:numCache>
                <c:formatCode>0.00%</c:formatCode>
                <c:ptCount val="24"/>
                <c:pt idx="0">
                  <c:v>4.7169811320754715E-3</c:v>
                </c:pt>
                <c:pt idx="1">
                  <c:v>2.0440251572327043E-2</c:v>
                </c:pt>
                <c:pt idx="2">
                  <c:v>4.2452830188679243E-2</c:v>
                </c:pt>
                <c:pt idx="3">
                  <c:v>8.1761006289308172E-2</c:v>
                </c:pt>
                <c:pt idx="4">
                  <c:v>0.11792452830188679</c:v>
                </c:pt>
                <c:pt idx="5">
                  <c:v>0.18081761006289307</c:v>
                </c:pt>
                <c:pt idx="6">
                  <c:v>0.24371069182389937</c:v>
                </c:pt>
                <c:pt idx="7">
                  <c:v>0.29874213836477986</c:v>
                </c:pt>
                <c:pt idx="8">
                  <c:v>0.36477987421383645</c:v>
                </c:pt>
                <c:pt idx="9">
                  <c:v>0.43710691823899372</c:v>
                </c:pt>
                <c:pt idx="10">
                  <c:v>0.49842767295597484</c:v>
                </c:pt>
                <c:pt idx="11">
                  <c:v>0.54874213836477992</c:v>
                </c:pt>
                <c:pt idx="12">
                  <c:v>0.59905660377358494</c:v>
                </c:pt>
                <c:pt idx="13">
                  <c:v>0.62735849056603776</c:v>
                </c:pt>
                <c:pt idx="14">
                  <c:v>0.64622641509433965</c:v>
                </c:pt>
                <c:pt idx="15">
                  <c:v>0.6588050314465409</c:v>
                </c:pt>
                <c:pt idx="16">
                  <c:v>0.69811320754716977</c:v>
                </c:pt>
                <c:pt idx="17">
                  <c:v>0.71698113207547165</c:v>
                </c:pt>
                <c:pt idx="18">
                  <c:v>0.75</c:v>
                </c:pt>
                <c:pt idx="19">
                  <c:v>0.79874213836477992</c:v>
                </c:pt>
                <c:pt idx="20">
                  <c:v>0.88207547169811318</c:v>
                </c:pt>
                <c:pt idx="21">
                  <c:v>0.9323899371069182</c:v>
                </c:pt>
                <c:pt idx="22">
                  <c:v>0.97955974842767291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CE-4C74-8B6E-C6A06FD3836A}"/>
            </c:ext>
          </c:extLst>
        </c:ser>
        <c:ser>
          <c:idx val="2"/>
          <c:order val="2"/>
          <c:tx>
            <c:strRef>
              <c:f>'4 способ'!$C$1</c:f>
              <c:strCache>
                <c:ptCount val="1"/>
                <c:pt idx="0">
                  <c:v>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 способ'!$L$2:$L$31</c:f>
              <c:numCache>
                <c:formatCode>General</c:formatCode>
                <c:ptCount val="30"/>
                <c:pt idx="0">
                  <c:v>2400</c:v>
                </c:pt>
                <c:pt idx="1">
                  <c:v>2700</c:v>
                </c:pt>
                <c:pt idx="2">
                  <c:v>3000</c:v>
                </c:pt>
                <c:pt idx="3">
                  <c:v>3300</c:v>
                </c:pt>
                <c:pt idx="4">
                  <c:v>3600</c:v>
                </c:pt>
                <c:pt idx="5">
                  <c:v>3900</c:v>
                </c:pt>
                <c:pt idx="6">
                  <c:v>4200</c:v>
                </c:pt>
                <c:pt idx="7">
                  <c:v>4500</c:v>
                </c:pt>
                <c:pt idx="8">
                  <c:v>4800</c:v>
                </c:pt>
                <c:pt idx="9">
                  <c:v>5100</c:v>
                </c:pt>
                <c:pt idx="10">
                  <c:v>5400</c:v>
                </c:pt>
                <c:pt idx="11">
                  <c:v>5700</c:v>
                </c:pt>
                <c:pt idx="12">
                  <c:v>6000</c:v>
                </c:pt>
                <c:pt idx="13">
                  <c:v>7200</c:v>
                </c:pt>
                <c:pt idx="14">
                  <c:v>7500</c:v>
                </c:pt>
                <c:pt idx="15">
                  <c:v>7800</c:v>
                </c:pt>
                <c:pt idx="16">
                  <c:v>8100</c:v>
                </c:pt>
                <c:pt idx="17">
                  <c:v>8400</c:v>
                </c:pt>
                <c:pt idx="18">
                  <c:v>8700</c:v>
                </c:pt>
                <c:pt idx="19">
                  <c:v>9000</c:v>
                </c:pt>
                <c:pt idx="20">
                  <c:v>9300</c:v>
                </c:pt>
                <c:pt idx="21">
                  <c:v>9600</c:v>
                </c:pt>
                <c:pt idx="22">
                  <c:v>9900</c:v>
                </c:pt>
                <c:pt idx="23">
                  <c:v>10200</c:v>
                </c:pt>
                <c:pt idx="24">
                  <c:v>10500</c:v>
                </c:pt>
                <c:pt idx="25">
                  <c:v>10800</c:v>
                </c:pt>
                <c:pt idx="26">
                  <c:v>11100</c:v>
                </c:pt>
                <c:pt idx="27">
                  <c:v>11400</c:v>
                </c:pt>
                <c:pt idx="28">
                  <c:v>11700</c:v>
                </c:pt>
                <c:pt idx="29">
                  <c:v>12000</c:v>
                </c:pt>
              </c:numCache>
            </c:numRef>
          </c:xVal>
          <c:yVal>
            <c:numRef>
              <c:f>'4 способ'!$M$2:$M$31</c:f>
              <c:numCache>
                <c:formatCode>0.00%</c:formatCode>
                <c:ptCount val="30"/>
                <c:pt idx="0">
                  <c:v>7.8616352201257862E-3</c:v>
                </c:pt>
                <c:pt idx="1">
                  <c:v>8.1761006289308172E-2</c:v>
                </c:pt>
                <c:pt idx="2">
                  <c:v>0.13679245283018868</c:v>
                </c:pt>
                <c:pt idx="3">
                  <c:v>0.18553459119496854</c:v>
                </c:pt>
                <c:pt idx="4">
                  <c:v>0.19025157232704404</c:v>
                </c:pt>
                <c:pt idx="5">
                  <c:v>0.1918238993710692</c:v>
                </c:pt>
                <c:pt idx="6">
                  <c:v>0.20440251572327045</c:v>
                </c:pt>
                <c:pt idx="7">
                  <c:v>0.22327044025157233</c:v>
                </c:pt>
                <c:pt idx="8">
                  <c:v>0.24842767295597484</c:v>
                </c:pt>
                <c:pt idx="9">
                  <c:v>0.27672955974842767</c:v>
                </c:pt>
                <c:pt idx="10">
                  <c:v>0.30188679245283018</c:v>
                </c:pt>
                <c:pt idx="11">
                  <c:v>0.32547169811320753</c:v>
                </c:pt>
                <c:pt idx="12">
                  <c:v>0.3411949685534591</c:v>
                </c:pt>
                <c:pt idx="13">
                  <c:v>0.36477987421383645</c:v>
                </c:pt>
                <c:pt idx="14">
                  <c:v>0.38364779874213839</c:v>
                </c:pt>
                <c:pt idx="15">
                  <c:v>0.41194968553459121</c:v>
                </c:pt>
                <c:pt idx="16">
                  <c:v>0.45754716981132076</c:v>
                </c:pt>
                <c:pt idx="17">
                  <c:v>0.52358490566037741</c:v>
                </c:pt>
                <c:pt idx="18">
                  <c:v>0.57075471698113212</c:v>
                </c:pt>
                <c:pt idx="19">
                  <c:v>0.63207547169811318</c:v>
                </c:pt>
                <c:pt idx="20">
                  <c:v>0.6808176100628931</c:v>
                </c:pt>
                <c:pt idx="21">
                  <c:v>0.74685534591194969</c:v>
                </c:pt>
                <c:pt idx="22">
                  <c:v>0.80974842767295596</c:v>
                </c:pt>
                <c:pt idx="23">
                  <c:v>0.84433962264150941</c:v>
                </c:pt>
                <c:pt idx="24">
                  <c:v>0.89150943396226412</c:v>
                </c:pt>
                <c:pt idx="25">
                  <c:v>0.9308176100628931</c:v>
                </c:pt>
                <c:pt idx="26">
                  <c:v>0.95440251572327039</c:v>
                </c:pt>
                <c:pt idx="27">
                  <c:v>0.98270440251572322</c:v>
                </c:pt>
                <c:pt idx="28">
                  <c:v>0.99528301886792447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CE-4C74-8B6E-C6A06FD3836A}"/>
            </c:ext>
          </c:extLst>
        </c:ser>
        <c:ser>
          <c:idx val="3"/>
          <c:order val="3"/>
          <c:tx>
            <c:strRef>
              <c:f>'4 способ'!$D$1</c:f>
              <c:strCache>
                <c:ptCount val="1"/>
                <c:pt idx="0">
                  <c:v>Сл.Дорого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 способ'!$O$2:$O$30</c:f>
              <c:numCache>
                <c:formatCode>General</c:formatCode>
                <c:ptCount val="29"/>
                <c:pt idx="0">
                  <c:v>4000</c:v>
                </c:pt>
                <c:pt idx="1">
                  <c:v>4500</c:v>
                </c:pt>
                <c:pt idx="2">
                  <c:v>5000</c:v>
                </c:pt>
                <c:pt idx="3">
                  <c:v>5500</c:v>
                </c:pt>
                <c:pt idx="4">
                  <c:v>6000</c:v>
                </c:pt>
                <c:pt idx="5">
                  <c:v>7000</c:v>
                </c:pt>
                <c:pt idx="6">
                  <c:v>7500</c:v>
                </c:pt>
                <c:pt idx="7">
                  <c:v>8000</c:v>
                </c:pt>
                <c:pt idx="8">
                  <c:v>8500</c:v>
                </c:pt>
                <c:pt idx="9">
                  <c:v>9000</c:v>
                </c:pt>
                <c:pt idx="10">
                  <c:v>9500</c:v>
                </c:pt>
                <c:pt idx="11">
                  <c:v>10000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  <c:pt idx="15">
                  <c:v>13500</c:v>
                </c:pt>
                <c:pt idx="16">
                  <c:v>14000</c:v>
                </c:pt>
                <c:pt idx="17">
                  <c:v>14500</c:v>
                </c:pt>
                <c:pt idx="18">
                  <c:v>15000</c:v>
                </c:pt>
                <c:pt idx="19">
                  <c:v>15500</c:v>
                </c:pt>
                <c:pt idx="20">
                  <c:v>16000</c:v>
                </c:pt>
                <c:pt idx="21">
                  <c:v>16500</c:v>
                </c:pt>
                <c:pt idx="22">
                  <c:v>17000</c:v>
                </c:pt>
                <c:pt idx="23">
                  <c:v>17500</c:v>
                </c:pt>
                <c:pt idx="24">
                  <c:v>18000</c:v>
                </c:pt>
                <c:pt idx="25">
                  <c:v>18500</c:v>
                </c:pt>
                <c:pt idx="26">
                  <c:v>19000</c:v>
                </c:pt>
                <c:pt idx="27">
                  <c:v>19500</c:v>
                </c:pt>
                <c:pt idx="28">
                  <c:v>20000</c:v>
                </c:pt>
              </c:numCache>
            </c:numRef>
          </c:xVal>
          <c:yVal>
            <c:numRef>
              <c:f>'4 способ'!$P$2:$P$30</c:f>
              <c:numCache>
                <c:formatCode>0.00%</c:formatCode>
                <c:ptCount val="29"/>
                <c:pt idx="0">
                  <c:v>3.3018867924528301E-2</c:v>
                </c:pt>
                <c:pt idx="1">
                  <c:v>8.6477987421383642E-2</c:v>
                </c:pt>
                <c:pt idx="2">
                  <c:v>0.13050314465408805</c:v>
                </c:pt>
                <c:pt idx="3">
                  <c:v>0.1650943396226415</c:v>
                </c:pt>
                <c:pt idx="4">
                  <c:v>0.19025157232704404</c:v>
                </c:pt>
                <c:pt idx="5">
                  <c:v>0.20283018867924529</c:v>
                </c:pt>
                <c:pt idx="6">
                  <c:v>0.22955974842767296</c:v>
                </c:pt>
                <c:pt idx="7">
                  <c:v>0.25471698113207547</c:v>
                </c:pt>
                <c:pt idx="8">
                  <c:v>0.27987421383647798</c:v>
                </c:pt>
                <c:pt idx="9">
                  <c:v>0.30188679245283018</c:v>
                </c:pt>
                <c:pt idx="10">
                  <c:v>0.33176100628930816</c:v>
                </c:pt>
                <c:pt idx="11">
                  <c:v>0.3411949685534591</c:v>
                </c:pt>
                <c:pt idx="12">
                  <c:v>0.3632075471698113</c:v>
                </c:pt>
                <c:pt idx="13">
                  <c:v>0.40723270440251574</c:v>
                </c:pt>
                <c:pt idx="14">
                  <c:v>0.46855345911949686</c:v>
                </c:pt>
                <c:pt idx="15">
                  <c:v>0.53144654088050314</c:v>
                </c:pt>
                <c:pt idx="16">
                  <c:v>0.59591194968553463</c:v>
                </c:pt>
                <c:pt idx="17">
                  <c:v>0.6588050314465409</c:v>
                </c:pt>
                <c:pt idx="18">
                  <c:v>0.70754716981132071</c:v>
                </c:pt>
                <c:pt idx="19">
                  <c:v>0.75157232704402521</c:v>
                </c:pt>
                <c:pt idx="20">
                  <c:v>0.78930817610062898</c:v>
                </c:pt>
                <c:pt idx="21">
                  <c:v>0.82547169811320753</c:v>
                </c:pt>
                <c:pt idx="22">
                  <c:v>0.85691823899371067</c:v>
                </c:pt>
                <c:pt idx="23">
                  <c:v>0.90251572327044027</c:v>
                </c:pt>
                <c:pt idx="24">
                  <c:v>0.94182389937106914</c:v>
                </c:pt>
                <c:pt idx="25">
                  <c:v>0.95440251572327039</c:v>
                </c:pt>
                <c:pt idx="26">
                  <c:v>0.96855345911949686</c:v>
                </c:pt>
                <c:pt idx="27">
                  <c:v>0.98899371069182385</c:v>
                </c:pt>
                <c:pt idx="2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CE-4C74-8B6E-C6A06FD38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58560"/>
        <c:axId val="1361158976"/>
      </c:scatterChart>
      <c:valAx>
        <c:axId val="1361158560"/>
        <c:scaling>
          <c:orientation val="minMax"/>
          <c:max val="53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158976"/>
        <c:crosses val="autoZero"/>
        <c:crossBetween val="midCat"/>
        <c:majorUnit val="200"/>
      </c:valAx>
      <c:valAx>
        <c:axId val="1361158976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15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 способ'!$O$1</c:f>
              <c:strCache>
                <c:ptCount val="1"/>
                <c:pt idx="0">
                  <c:v>сл.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 способ'!$O$2:$O$21</c:f>
              <c:numCache>
                <c:formatCode>General</c:formatCode>
                <c:ptCount val="20"/>
                <c:pt idx="0">
                  <c:v>2400</c:v>
                </c:pt>
                <c:pt idx="1">
                  <c:v>2300</c:v>
                </c:pt>
                <c:pt idx="2">
                  <c:v>2200</c:v>
                </c:pt>
                <c:pt idx="3">
                  <c:v>2100</c:v>
                </c:pt>
                <c:pt idx="4">
                  <c:v>2000</c:v>
                </c:pt>
                <c:pt idx="5">
                  <c:v>1900</c:v>
                </c:pt>
                <c:pt idx="6">
                  <c:v>1800</c:v>
                </c:pt>
                <c:pt idx="7">
                  <c:v>1700</c:v>
                </c:pt>
                <c:pt idx="8">
                  <c:v>1600</c:v>
                </c:pt>
                <c:pt idx="9">
                  <c:v>1500</c:v>
                </c:pt>
                <c:pt idx="10">
                  <c:v>1400</c:v>
                </c:pt>
                <c:pt idx="11">
                  <c:v>1300</c:v>
                </c:pt>
                <c:pt idx="12">
                  <c:v>1200</c:v>
                </c:pt>
                <c:pt idx="13">
                  <c:v>1100</c:v>
                </c:pt>
                <c:pt idx="14">
                  <c:v>1000</c:v>
                </c:pt>
                <c:pt idx="15">
                  <c:v>800</c:v>
                </c:pt>
                <c:pt idx="16">
                  <c:v>700</c:v>
                </c:pt>
                <c:pt idx="17">
                  <c:v>600</c:v>
                </c:pt>
                <c:pt idx="18">
                  <c:v>500</c:v>
                </c:pt>
                <c:pt idx="19">
                  <c:v>400</c:v>
                </c:pt>
              </c:numCache>
            </c:numRef>
          </c:xVal>
          <c:yVal>
            <c:numRef>
              <c:f>'1 способ'!$R$2:$R$21</c:f>
              <c:numCache>
                <c:formatCode>0.0%</c:formatCode>
                <c:ptCount val="20"/>
                <c:pt idx="0">
                  <c:v>2.2421524663677129E-2</c:v>
                </c:pt>
                <c:pt idx="1">
                  <c:v>5.829596412556054E-2</c:v>
                </c:pt>
                <c:pt idx="2">
                  <c:v>6.2780269058295965E-2</c:v>
                </c:pt>
                <c:pt idx="3">
                  <c:v>7.623318385650224E-2</c:v>
                </c:pt>
                <c:pt idx="4">
                  <c:v>0.13452914798206278</c:v>
                </c:pt>
                <c:pt idx="5">
                  <c:v>0.17937219730941703</c:v>
                </c:pt>
                <c:pt idx="6">
                  <c:v>0.2556053811659193</c:v>
                </c:pt>
                <c:pt idx="7">
                  <c:v>0.3273542600896861</c:v>
                </c:pt>
                <c:pt idx="8">
                  <c:v>0.41255605381165922</c:v>
                </c:pt>
                <c:pt idx="9">
                  <c:v>0.4349775784753363</c:v>
                </c:pt>
                <c:pt idx="10">
                  <c:v>0.48430493273542602</c:v>
                </c:pt>
                <c:pt idx="11">
                  <c:v>0.5246636771300448</c:v>
                </c:pt>
                <c:pt idx="12">
                  <c:v>0.5964125560538116</c:v>
                </c:pt>
                <c:pt idx="13">
                  <c:v>0.6547085201793722</c:v>
                </c:pt>
                <c:pt idx="14">
                  <c:v>0.6905829596412556</c:v>
                </c:pt>
                <c:pt idx="15">
                  <c:v>0.73542600896860988</c:v>
                </c:pt>
                <c:pt idx="16">
                  <c:v>0.80717488789237668</c:v>
                </c:pt>
                <c:pt idx="17">
                  <c:v>0.87443946188340804</c:v>
                </c:pt>
                <c:pt idx="18">
                  <c:v>0.9641255605381166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64-483A-A250-95072B43E38E}"/>
            </c:ext>
          </c:extLst>
        </c:ser>
        <c:ser>
          <c:idx val="1"/>
          <c:order val="1"/>
          <c:tx>
            <c:strRef>
              <c:f>'1 способ'!$S$1</c:f>
              <c:strCache>
                <c:ptCount val="1"/>
                <c:pt idx="0">
                  <c:v>дешево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 способ'!$S$2:$S$21</c:f>
              <c:numCache>
                <c:formatCode>General</c:formatCode>
                <c:ptCount val="20"/>
                <c:pt idx="0">
                  <c:v>5800</c:v>
                </c:pt>
                <c:pt idx="1">
                  <c:v>5600</c:v>
                </c:pt>
                <c:pt idx="2">
                  <c:v>5400</c:v>
                </c:pt>
                <c:pt idx="3">
                  <c:v>5200</c:v>
                </c:pt>
                <c:pt idx="4">
                  <c:v>5000</c:v>
                </c:pt>
                <c:pt idx="5">
                  <c:v>4800</c:v>
                </c:pt>
                <c:pt idx="6">
                  <c:v>4600</c:v>
                </c:pt>
                <c:pt idx="7">
                  <c:v>4400</c:v>
                </c:pt>
                <c:pt idx="8">
                  <c:v>4200</c:v>
                </c:pt>
                <c:pt idx="9">
                  <c:v>4000</c:v>
                </c:pt>
                <c:pt idx="10">
                  <c:v>3800</c:v>
                </c:pt>
                <c:pt idx="11">
                  <c:v>3600</c:v>
                </c:pt>
                <c:pt idx="12">
                  <c:v>3400</c:v>
                </c:pt>
                <c:pt idx="13">
                  <c:v>3200</c:v>
                </c:pt>
                <c:pt idx="14">
                  <c:v>3000</c:v>
                </c:pt>
                <c:pt idx="15">
                  <c:v>1800</c:v>
                </c:pt>
                <c:pt idx="16">
                  <c:v>1600</c:v>
                </c:pt>
                <c:pt idx="17">
                  <c:v>1400</c:v>
                </c:pt>
                <c:pt idx="18">
                  <c:v>1200</c:v>
                </c:pt>
                <c:pt idx="19">
                  <c:v>1000</c:v>
                </c:pt>
              </c:numCache>
            </c:numRef>
          </c:xVal>
          <c:yVal>
            <c:numRef>
              <c:f>'1 способ'!$V$2:$V$21</c:f>
              <c:numCache>
                <c:formatCode>0.0%</c:formatCode>
                <c:ptCount val="20"/>
                <c:pt idx="0">
                  <c:v>1.7937219730941704E-2</c:v>
                </c:pt>
                <c:pt idx="1">
                  <c:v>4.4843049327354258E-2</c:v>
                </c:pt>
                <c:pt idx="2">
                  <c:v>6.726457399103139E-2</c:v>
                </c:pt>
                <c:pt idx="3">
                  <c:v>0.1031390134529148</c:v>
                </c:pt>
                <c:pt idx="4">
                  <c:v>0.17488789237668162</c:v>
                </c:pt>
                <c:pt idx="5">
                  <c:v>0.22421524663677131</c:v>
                </c:pt>
                <c:pt idx="6">
                  <c:v>0.2914798206278027</c:v>
                </c:pt>
                <c:pt idx="7">
                  <c:v>0.34080717488789236</c:v>
                </c:pt>
                <c:pt idx="8">
                  <c:v>0.4170403587443946</c:v>
                </c:pt>
                <c:pt idx="9">
                  <c:v>0.47982062780269058</c:v>
                </c:pt>
                <c:pt idx="10">
                  <c:v>0.5246636771300448</c:v>
                </c:pt>
                <c:pt idx="11">
                  <c:v>0.59192825112107628</c:v>
                </c:pt>
                <c:pt idx="12">
                  <c:v>0.64573991031390132</c:v>
                </c:pt>
                <c:pt idx="13">
                  <c:v>0.66816143497757852</c:v>
                </c:pt>
                <c:pt idx="14">
                  <c:v>0.6905829596412556</c:v>
                </c:pt>
                <c:pt idx="15">
                  <c:v>0.71748878923766812</c:v>
                </c:pt>
                <c:pt idx="16">
                  <c:v>0.81165919282511212</c:v>
                </c:pt>
                <c:pt idx="17">
                  <c:v>0.8923766816143498</c:v>
                </c:pt>
                <c:pt idx="18">
                  <c:v>0.95515695067264572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64-483A-A250-95072B43E38E}"/>
            </c:ext>
          </c:extLst>
        </c:ser>
        <c:ser>
          <c:idx val="2"/>
          <c:order val="2"/>
          <c:tx>
            <c:strRef>
              <c:f>'1 способ'!$W$1</c:f>
              <c:strCache>
                <c:ptCount val="1"/>
                <c:pt idx="0">
                  <c:v>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 способ'!$W$2:$W$23</c:f>
              <c:numCache>
                <c:formatCode>General</c:formatCode>
                <c:ptCount val="22"/>
                <c:pt idx="0">
                  <c:v>2400</c:v>
                </c:pt>
                <c:pt idx="1">
                  <c:v>2700</c:v>
                </c:pt>
                <c:pt idx="2">
                  <c:v>3000</c:v>
                </c:pt>
                <c:pt idx="3">
                  <c:v>3300</c:v>
                </c:pt>
                <c:pt idx="4">
                  <c:v>3600</c:v>
                </c:pt>
                <c:pt idx="5">
                  <c:v>7200</c:v>
                </c:pt>
                <c:pt idx="6">
                  <c:v>7500</c:v>
                </c:pt>
                <c:pt idx="7">
                  <c:v>7800</c:v>
                </c:pt>
                <c:pt idx="8">
                  <c:v>8100</c:v>
                </c:pt>
                <c:pt idx="9">
                  <c:v>8400</c:v>
                </c:pt>
                <c:pt idx="10">
                  <c:v>8700</c:v>
                </c:pt>
                <c:pt idx="11">
                  <c:v>9000</c:v>
                </c:pt>
                <c:pt idx="12">
                  <c:v>9300</c:v>
                </c:pt>
                <c:pt idx="13">
                  <c:v>9600</c:v>
                </c:pt>
                <c:pt idx="14">
                  <c:v>9900</c:v>
                </c:pt>
                <c:pt idx="15">
                  <c:v>10200</c:v>
                </c:pt>
                <c:pt idx="16">
                  <c:v>10500</c:v>
                </c:pt>
                <c:pt idx="17">
                  <c:v>10800</c:v>
                </c:pt>
                <c:pt idx="18">
                  <c:v>11100</c:v>
                </c:pt>
                <c:pt idx="19">
                  <c:v>11400</c:v>
                </c:pt>
                <c:pt idx="20">
                  <c:v>11700</c:v>
                </c:pt>
                <c:pt idx="21">
                  <c:v>12000</c:v>
                </c:pt>
              </c:numCache>
            </c:numRef>
          </c:xVal>
          <c:yVal>
            <c:numRef>
              <c:f>'1 способ'!$Z$2:$Z$23</c:f>
              <c:numCache>
                <c:formatCode>0.0%</c:formatCode>
                <c:ptCount val="22"/>
                <c:pt idx="0">
                  <c:v>1.7937219730941704E-2</c:v>
                </c:pt>
                <c:pt idx="1">
                  <c:v>0.12556053811659193</c:v>
                </c:pt>
                <c:pt idx="2">
                  <c:v>0.21076233183856502</c:v>
                </c:pt>
                <c:pt idx="3">
                  <c:v>0.30493273542600896</c:v>
                </c:pt>
                <c:pt idx="4">
                  <c:v>0.3094170403587444</c:v>
                </c:pt>
                <c:pt idx="5">
                  <c:v>0.35874439461883406</c:v>
                </c:pt>
                <c:pt idx="6">
                  <c:v>0.39013452914798208</c:v>
                </c:pt>
                <c:pt idx="7">
                  <c:v>0.44394618834080718</c:v>
                </c:pt>
                <c:pt idx="8">
                  <c:v>0.50672645739910316</c:v>
                </c:pt>
                <c:pt idx="9">
                  <c:v>0.56950672645739908</c:v>
                </c:pt>
                <c:pt idx="10">
                  <c:v>0.61434977578475336</c:v>
                </c:pt>
                <c:pt idx="11">
                  <c:v>0.66816143497757852</c:v>
                </c:pt>
                <c:pt idx="12">
                  <c:v>0.73094170403587444</c:v>
                </c:pt>
                <c:pt idx="13">
                  <c:v>0.80269058295964124</c:v>
                </c:pt>
                <c:pt idx="14">
                  <c:v>0.84304932735426008</c:v>
                </c:pt>
                <c:pt idx="15">
                  <c:v>0.85201793721973096</c:v>
                </c:pt>
                <c:pt idx="16">
                  <c:v>0.87443946188340804</c:v>
                </c:pt>
                <c:pt idx="17">
                  <c:v>0.8923766816143498</c:v>
                </c:pt>
                <c:pt idx="18">
                  <c:v>0.93721973094170408</c:v>
                </c:pt>
                <c:pt idx="19">
                  <c:v>0.97757847533632292</c:v>
                </c:pt>
                <c:pt idx="20">
                  <c:v>0.99551569506726456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64-483A-A250-95072B43E38E}"/>
            </c:ext>
          </c:extLst>
        </c:ser>
        <c:ser>
          <c:idx val="3"/>
          <c:order val="3"/>
          <c:tx>
            <c:strRef>
              <c:f>'1 способ'!$AA$1</c:f>
              <c:strCache>
                <c:ptCount val="1"/>
                <c:pt idx="0">
                  <c:v>сл. 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 способ'!$AA$2:$AA$23</c:f>
              <c:numCache>
                <c:formatCode>General</c:formatCode>
                <c:ptCount val="22"/>
                <c:pt idx="0">
                  <c:v>4000</c:v>
                </c:pt>
                <c:pt idx="1">
                  <c:v>4500</c:v>
                </c:pt>
                <c:pt idx="2">
                  <c:v>5000</c:v>
                </c:pt>
                <c:pt idx="3">
                  <c:v>5500</c:v>
                </c:pt>
                <c:pt idx="4">
                  <c:v>6000</c:v>
                </c:pt>
                <c:pt idx="5">
                  <c:v>12000</c:v>
                </c:pt>
                <c:pt idx="6">
                  <c:v>12500</c:v>
                </c:pt>
                <c:pt idx="7">
                  <c:v>13000</c:v>
                </c:pt>
                <c:pt idx="8">
                  <c:v>13500</c:v>
                </c:pt>
                <c:pt idx="9">
                  <c:v>14000</c:v>
                </c:pt>
                <c:pt idx="10">
                  <c:v>14500</c:v>
                </c:pt>
                <c:pt idx="11">
                  <c:v>15000</c:v>
                </c:pt>
                <c:pt idx="12">
                  <c:v>15500</c:v>
                </c:pt>
                <c:pt idx="13">
                  <c:v>16000</c:v>
                </c:pt>
                <c:pt idx="14">
                  <c:v>16500</c:v>
                </c:pt>
                <c:pt idx="15">
                  <c:v>17000</c:v>
                </c:pt>
                <c:pt idx="16">
                  <c:v>17500</c:v>
                </c:pt>
                <c:pt idx="17">
                  <c:v>18000</c:v>
                </c:pt>
                <c:pt idx="18">
                  <c:v>18500</c:v>
                </c:pt>
                <c:pt idx="19">
                  <c:v>19000</c:v>
                </c:pt>
                <c:pt idx="20">
                  <c:v>19500</c:v>
                </c:pt>
                <c:pt idx="21">
                  <c:v>20000</c:v>
                </c:pt>
              </c:numCache>
            </c:numRef>
          </c:xVal>
          <c:yVal>
            <c:numRef>
              <c:f>'1 способ'!$AD$2:$AD$23</c:f>
              <c:numCache>
                <c:formatCode>0.0%</c:formatCode>
                <c:ptCount val="22"/>
                <c:pt idx="0">
                  <c:v>5.3811659192825115E-2</c:v>
                </c:pt>
                <c:pt idx="1">
                  <c:v>0.15246636771300448</c:v>
                </c:pt>
                <c:pt idx="2">
                  <c:v>0.22421524663677131</c:v>
                </c:pt>
                <c:pt idx="3">
                  <c:v>0.26905829596412556</c:v>
                </c:pt>
                <c:pt idx="4">
                  <c:v>0.3094170403587444</c:v>
                </c:pt>
                <c:pt idx="5">
                  <c:v>0.3632286995515695</c:v>
                </c:pt>
                <c:pt idx="6">
                  <c:v>0.46188340807174888</c:v>
                </c:pt>
                <c:pt idx="7">
                  <c:v>0.5246636771300448</c:v>
                </c:pt>
                <c:pt idx="8">
                  <c:v>0.59192825112107628</c:v>
                </c:pt>
                <c:pt idx="9">
                  <c:v>0.67713004484304928</c:v>
                </c:pt>
                <c:pt idx="10">
                  <c:v>0.7488789237668162</c:v>
                </c:pt>
                <c:pt idx="11">
                  <c:v>0.79372197309417036</c:v>
                </c:pt>
                <c:pt idx="12">
                  <c:v>0.82959641255605376</c:v>
                </c:pt>
                <c:pt idx="13">
                  <c:v>0.84753363228699552</c:v>
                </c:pt>
                <c:pt idx="14">
                  <c:v>0.85201793721973096</c:v>
                </c:pt>
                <c:pt idx="15">
                  <c:v>0.8699551569506726</c:v>
                </c:pt>
                <c:pt idx="16">
                  <c:v>0.89686098654708524</c:v>
                </c:pt>
                <c:pt idx="17">
                  <c:v>0.93273542600896864</c:v>
                </c:pt>
                <c:pt idx="18">
                  <c:v>0.95515695067264572</c:v>
                </c:pt>
                <c:pt idx="19">
                  <c:v>0.95964125560538116</c:v>
                </c:pt>
                <c:pt idx="20">
                  <c:v>0.98654708520179368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64-483A-A250-95072B43E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546575"/>
        <c:axId val="533548239"/>
      </c:scatterChart>
      <c:valAx>
        <c:axId val="53354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548239"/>
        <c:crosses val="autoZero"/>
        <c:crossBetween val="midCat"/>
      </c:valAx>
      <c:valAx>
        <c:axId val="53354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546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 способ'!$O$1</c:f>
              <c:strCache>
                <c:ptCount val="1"/>
                <c:pt idx="0">
                  <c:v>сл.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 способ'!$O$2:$O$21</c:f>
              <c:numCache>
                <c:formatCode>General</c:formatCode>
                <c:ptCount val="20"/>
                <c:pt idx="0">
                  <c:v>2400</c:v>
                </c:pt>
                <c:pt idx="1">
                  <c:v>2300</c:v>
                </c:pt>
                <c:pt idx="2">
                  <c:v>2200</c:v>
                </c:pt>
                <c:pt idx="3">
                  <c:v>2100</c:v>
                </c:pt>
                <c:pt idx="4">
                  <c:v>2000</c:v>
                </c:pt>
                <c:pt idx="5">
                  <c:v>1900</c:v>
                </c:pt>
                <c:pt idx="6">
                  <c:v>1800</c:v>
                </c:pt>
                <c:pt idx="7">
                  <c:v>1700</c:v>
                </c:pt>
                <c:pt idx="8">
                  <c:v>1600</c:v>
                </c:pt>
                <c:pt idx="9">
                  <c:v>1500</c:v>
                </c:pt>
                <c:pt idx="10">
                  <c:v>1400</c:v>
                </c:pt>
                <c:pt idx="11">
                  <c:v>1300</c:v>
                </c:pt>
                <c:pt idx="12">
                  <c:v>1200</c:v>
                </c:pt>
                <c:pt idx="13">
                  <c:v>1100</c:v>
                </c:pt>
                <c:pt idx="14">
                  <c:v>1000</c:v>
                </c:pt>
                <c:pt idx="15">
                  <c:v>800</c:v>
                </c:pt>
                <c:pt idx="16">
                  <c:v>700</c:v>
                </c:pt>
                <c:pt idx="17">
                  <c:v>600</c:v>
                </c:pt>
                <c:pt idx="18">
                  <c:v>500</c:v>
                </c:pt>
                <c:pt idx="19">
                  <c:v>400</c:v>
                </c:pt>
              </c:numCache>
            </c:numRef>
          </c:xVal>
          <c:yVal>
            <c:numRef>
              <c:f>'1 способ'!$R$2:$R$21</c:f>
              <c:numCache>
                <c:formatCode>0.0%</c:formatCode>
                <c:ptCount val="20"/>
                <c:pt idx="0">
                  <c:v>2.2421524663677129E-2</c:v>
                </c:pt>
                <c:pt idx="1">
                  <c:v>5.829596412556054E-2</c:v>
                </c:pt>
                <c:pt idx="2">
                  <c:v>6.2780269058295965E-2</c:v>
                </c:pt>
                <c:pt idx="3">
                  <c:v>7.623318385650224E-2</c:v>
                </c:pt>
                <c:pt idx="4">
                  <c:v>0.13452914798206278</c:v>
                </c:pt>
                <c:pt idx="5">
                  <c:v>0.17937219730941703</c:v>
                </c:pt>
                <c:pt idx="6">
                  <c:v>0.2556053811659193</c:v>
                </c:pt>
                <c:pt idx="7">
                  <c:v>0.3273542600896861</c:v>
                </c:pt>
                <c:pt idx="8">
                  <c:v>0.41255605381165922</c:v>
                </c:pt>
                <c:pt idx="9">
                  <c:v>0.4349775784753363</c:v>
                </c:pt>
                <c:pt idx="10">
                  <c:v>0.48430493273542602</c:v>
                </c:pt>
                <c:pt idx="11">
                  <c:v>0.5246636771300448</c:v>
                </c:pt>
                <c:pt idx="12">
                  <c:v>0.5964125560538116</c:v>
                </c:pt>
                <c:pt idx="13">
                  <c:v>0.6547085201793722</c:v>
                </c:pt>
                <c:pt idx="14">
                  <c:v>0.6905829596412556</c:v>
                </c:pt>
                <c:pt idx="15">
                  <c:v>0.73542600896860988</c:v>
                </c:pt>
                <c:pt idx="16">
                  <c:v>0.80717488789237668</c:v>
                </c:pt>
                <c:pt idx="17">
                  <c:v>0.87443946188340804</c:v>
                </c:pt>
                <c:pt idx="18">
                  <c:v>0.9641255605381166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F2-4E8A-90F3-CAC2C26BC270}"/>
            </c:ext>
          </c:extLst>
        </c:ser>
        <c:ser>
          <c:idx val="1"/>
          <c:order val="1"/>
          <c:tx>
            <c:strRef>
              <c:f>'1 способ'!$S$1</c:f>
              <c:strCache>
                <c:ptCount val="1"/>
                <c:pt idx="0">
                  <c:v>дешево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 способ'!$S$2:$S$21</c:f>
              <c:numCache>
                <c:formatCode>General</c:formatCode>
                <c:ptCount val="20"/>
                <c:pt idx="0">
                  <c:v>5800</c:v>
                </c:pt>
                <c:pt idx="1">
                  <c:v>5600</c:v>
                </c:pt>
                <c:pt idx="2">
                  <c:v>5400</c:v>
                </c:pt>
                <c:pt idx="3">
                  <c:v>5200</c:v>
                </c:pt>
                <c:pt idx="4">
                  <c:v>5000</c:v>
                </c:pt>
                <c:pt idx="5">
                  <c:v>4800</c:v>
                </c:pt>
                <c:pt idx="6">
                  <c:v>4600</c:v>
                </c:pt>
                <c:pt idx="7">
                  <c:v>4400</c:v>
                </c:pt>
                <c:pt idx="8">
                  <c:v>4200</c:v>
                </c:pt>
                <c:pt idx="9">
                  <c:v>4000</c:v>
                </c:pt>
                <c:pt idx="10">
                  <c:v>3800</c:v>
                </c:pt>
                <c:pt idx="11">
                  <c:v>3600</c:v>
                </c:pt>
                <c:pt idx="12">
                  <c:v>3400</c:v>
                </c:pt>
                <c:pt idx="13">
                  <c:v>3200</c:v>
                </c:pt>
                <c:pt idx="14">
                  <c:v>3000</c:v>
                </c:pt>
                <c:pt idx="15">
                  <c:v>1800</c:v>
                </c:pt>
                <c:pt idx="16">
                  <c:v>1600</c:v>
                </c:pt>
                <c:pt idx="17">
                  <c:v>1400</c:v>
                </c:pt>
                <c:pt idx="18">
                  <c:v>1200</c:v>
                </c:pt>
                <c:pt idx="19">
                  <c:v>1000</c:v>
                </c:pt>
              </c:numCache>
            </c:numRef>
          </c:xVal>
          <c:yVal>
            <c:numRef>
              <c:f>'1 способ'!$V$2:$V$21</c:f>
              <c:numCache>
                <c:formatCode>0.0%</c:formatCode>
                <c:ptCount val="20"/>
                <c:pt idx="0">
                  <c:v>1.7937219730941704E-2</c:v>
                </c:pt>
                <c:pt idx="1">
                  <c:v>4.4843049327354258E-2</c:v>
                </c:pt>
                <c:pt idx="2">
                  <c:v>6.726457399103139E-2</c:v>
                </c:pt>
                <c:pt idx="3">
                  <c:v>0.1031390134529148</c:v>
                </c:pt>
                <c:pt idx="4">
                  <c:v>0.17488789237668162</c:v>
                </c:pt>
                <c:pt idx="5">
                  <c:v>0.22421524663677131</c:v>
                </c:pt>
                <c:pt idx="6">
                  <c:v>0.2914798206278027</c:v>
                </c:pt>
                <c:pt idx="7">
                  <c:v>0.34080717488789236</c:v>
                </c:pt>
                <c:pt idx="8">
                  <c:v>0.4170403587443946</c:v>
                </c:pt>
                <c:pt idx="9">
                  <c:v>0.47982062780269058</c:v>
                </c:pt>
                <c:pt idx="10">
                  <c:v>0.5246636771300448</c:v>
                </c:pt>
                <c:pt idx="11">
                  <c:v>0.59192825112107628</c:v>
                </c:pt>
                <c:pt idx="12">
                  <c:v>0.64573991031390132</c:v>
                </c:pt>
                <c:pt idx="13">
                  <c:v>0.66816143497757852</c:v>
                </c:pt>
                <c:pt idx="14">
                  <c:v>0.6905829596412556</c:v>
                </c:pt>
                <c:pt idx="15">
                  <c:v>0.71748878923766812</c:v>
                </c:pt>
                <c:pt idx="16">
                  <c:v>0.81165919282511212</c:v>
                </c:pt>
                <c:pt idx="17">
                  <c:v>0.8923766816143498</c:v>
                </c:pt>
                <c:pt idx="18">
                  <c:v>0.95515695067264572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F2-4E8A-90F3-CAC2C26BC270}"/>
            </c:ext>
          </c:extLst>
        </c:ser>
        <c:ser>
          <c:idx val="2"/>
          <c:order val="2"/>
          <c:tx>
            <c:strRef>
              <c:f>'1 способ'!$W$1</c:f>
              <c:strCache>
                <c:ptCount val="1"/>
                <c:pt idx="0">
                  <c:v>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 способ'!$W$2:$W$23</c:f>
              <c:numCache>
                <c:formatCode>General</c:formatCode>
                <c:ptCount val="22"/>
                <c:pt idx="0">
                  <c:v>2400</c:v>
                </c:pt>
                <c:pt idx="1">
                  <c:v>2700</c:v>
                </c:pt>
                <c:pt idx="2">
                  <c:v>3000</c:v>
                </c:pt>
                <c:pt idx="3">
                  <c:v>3300</c:v>
                </c:pt>
                <c:pt idx="4">
                  <c:v>3600</c:v>
                </c:pt>
                <c:pt idx="5">
                  <c:v>7200</c:v>
                </c:pt>
                <c:pt idx="6">
                  <c:v>7500</c:v>
                </c:pt>
                <c:pt idx="7">
                  <c:v>7800</c:v>
                </c:pt>
                <c:pt idx="8">
                  <c:v>8100</c:v>
                </c:pt>
                <c:pt idx="9">
                  <c:v>8400</c:v>
                </c:pt>
                <c:pt idx="10">
                  <c:v>8700</c:v>
                </c:pt>
                <c:pt idx="11">
                  <c:v>9000</c:v>
                </c:pt>
                <c:pt idx="12">
                  <c:v>9300</c:v>
                </c:pt>
                <c:pt idx="13">
                  <c:v>9600</c:v>
                </c:pt>
                <c:pt idx="14">
                  <c:v>9900</c:v>
                </c:pt>
                <c:pt idx="15">
                  <c:v>10200</c:v>
                </c:pt>
                <c:pt idx="16">
                  <c:v>10500</c:v>
                </c:pt>
                <c:pt idx="17">
                  <c:v>10800</c:v>
                </c:pt>
                <c:pt idx="18">
                  <c:v>11100</c:v>
                </c:pt>
                <c:pt idx="19">
                  <c:v>11400</c:v>
                </c:pt>
                <c:pt idx="20">
                  <c:v>11700</c:v>
                </c:pt>
                <c:pt idx="21">
                  <c:v>12000</c:v>
                </c:pt>
              </c:numCache>
            </c:numRef>
          </c:xVal>
          <c:yVal>
            <c:numRef>
              <c:f>'1 способ'!$Z$2:$Z$23</c:f>
              <c:numCache>
                <c:formatCode>0.0%</c:formatCode>
                <c:ptCount val="22"/>
                <c:pt idx="0">
                  <c:v>1.7937219730941704E-2</c:v>
                </c:pt>
                <c:pt idx="1">
                  <c:v>0.12556053811659193</c:v>
                </c:pt>
                <c:pt idx="2">
                  <c:v>0.21076233183856502</c:v>
                </c:pt>
                <c:pt idx="3">
                  <c:v>0.30493273542600896</c:v>
                </c:pt>
                <c:pt idx="4">
                  <c:v>0.3094170403587444</c:v>
                </c:pt>
                <c:pt idx="5">
                  <c:v>0.35874439461883406</c:v>
                </c:pt>
                <c:pt idx="6">
                  <c:v>0.39013452914798208</c:v>
                </c:pt>
                <c:pt idx="7">
                  <c:v>0.44394618834080718</c:v>
                </c:pt>
                <c:pt idx="8">
                  <c:v>0.50672645739910316</c:v>
                </c:pt>
                <c:pt idx="9">
                  <c:v>0.56950672645739908</c:v>
                </c:pt>
                <c:pt idx="10">
                  <c:v>0.61434977578475336</c:v>
                </c:pt>
                <c:pt idx="11">
                  <c:v>0.66816143497757852</c:v>
                </c:pt>
                <c:pt idx="12">
                  <c:v>0.73094170403587444</c:v>
                </c:pt>
                <c:pt idx="13">
                  <c:v>0.80269058295964124</c:v>
                </c:pt>
                <c:pt idx="14">
                  <c:v>0.84304932735426008</c:v>
                </c:pt>
                <c:pt idx="15">
                  <c:v>0.85201793721973096</c:v>
                </c:pt>
                <c:pt idx="16">
                  <c:v>0.87443946188340804</c:v>
                </c:pt>
                <c:pt idx="17">
                  <c:v>0.8923766816143498</c:v>
                </c:pt>
                <c:pt idx="18">
                  <c:v>0.93721973094170408</c:v>
                </c:pt>
                <c:pt idx="19">
                  <c:v>0.97757847533632292</c:v>
                </c:pt>
                <c:pt idx="20">
                  <c:v>0.99551569506726456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F2-4E8A-90F3-CAC2C26BC270}"/>
            </c:ext>
          </c:extLst>
        </c:ser>
        <c:ser>
          <c:idx val="3"/>
          <c:order val="3"/>
          <c:tx>
            <c:strRef>
              <c:f>'1 способ'!$AA$1</c:f>
              <c:strCache>
                <c:ptCount val="1"/>
                <c:pt idx="0">
                  <c:v>сл. 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 способ'!$AA$2:$AA$23</c:f>
              <c:numCache>
                <c:formatCode>General</c:formatCode>
                <c:ptCount val="22"/>
                <c:pt idx="0">
                  <c:v>4000</c:v>
                </c:pt>
                <c:pt idx="1">
                  <c:v>4500</c:v>
                </c:pt>
                <c:pt idx="2">
                  <c:v>5000</c:v>
                </c:pt>
                <c:pt idx="3">
                  <c:v>5500</c:v>
                </c:pt>
                <c:pt idx="4">
                  <c:v>6000</c:v>
                </c:pt>
                <c:pt idx="5">
                  <c:v>12000</c:v>
                </c:pt>
                <c:pt idx="6">
                  <c:v>12500</c:v>
                </c:pt>
                <c:pt idx="7">
                  <c:v>13000</c:v>
                </c:pt>
                <c:pt idx="8">
                  <c:v>13500</c:v>
                </c:pt>
                <c:pt idx="9">
                  <c:v>14000</c:v>
                </c:pt>
                <c:pt idx="10">
                  <c:v>14500</c:v>
                </c:pt>
                <c:pt idx="11">
                  <c:v>15000</c:v>
                </c:pt>
                <c:pt idx="12">
                  <c:v>15500</c:v>
                </c:pt>
                <c:pt idx="13">
                  <c:v>16000</c:v>
                </c:pt>
                <c:pt idx="14">
                  <c:v>16500</c:v>
                </c:pt>
                <c:pt idx="15">
                  <c:v>17000</c:v>
                </c:pt>
                <c:pt idx="16">
                  <c:v>17500</c:v>
                </c:pt>
                <c:pt idx="17">
                  <c:v>18000</c:v>
                </c:pt>
                <c:pt idx="18">
                  <c:v>18500</c:v>
                </c:pt>
                <c:pt idx="19">
                  <c:v>19000</c:v>
                </c:pt>
                <c:pt idx="20">
                  <c:v>19500</c:v>
                </c:pt>
                <c:pt idx="21">
                  <c:v>20000</c:v>
                </c:pt>
              </c:numCache>
            </c:numRef>
          </c:xVal>
          <c:yVal>
            <c:numRef>
              <c:f>'1 способ'!$AD$2:$AD$23</c:f>
              <c:numCache>
                <c:formatCode>0.0%</c:formatCode>
                <c:ptCount val="22"/>
                <c:pt idx="0">
                  <c:v>5.3811659192825115E-2</c:v>
                </c:pt>
                <c:pt idx="1">
                  <c:v>0.15246636771300448</c:v>
                </c:pt>
                <c:pt idx="2">
                  <c:v>0.22421524663677131</c:v>
                </c:pt>
                <c:pt idx="3">
                  <c:v>0.26905829596412556</c:v>
                </c:pt>
                <c:pt idx="4">
                  <c:v>0.3094170403587444</c:v>
                </c:pt>
                <c:pt idx="5">
                  <c:v>0.3632286995515695</c:v>
                </c:pt>
                <c:pt idx="6">
                  <c:v>0.46188340807174888</c:v>
                </c:pt>
                <c:pt idx="7">
                  <c:v>0.5246636771300448</c:v>
                </c:pt>
                <c:pt idx="8">
                  <c:v>0.59192825112107628</c:v>
                </c:pt>
                <c:pt idx="9">
                  <c:v>0.67713004484304928</c:v>
                </c:pt>
                <c:pt idx="10">
                  <c:v>0.7488789237668162</c:v>
                </c:pt>
                <c:pt idx="11">
                  <c:v>0.79372197309417036</c:v>
                </c:pt>
                <c:pt idx="12">
                  <c:v>0.82959641255605376</c:v>
                </c:pt>
                <c:pt idx="13">
                  <c:v>0.84753363228699552</c:v>
                </c:pt>
                <c:pt idx="14">
                  <c:v>0.85201793721973096</c:v>
                </c:pt>
                <c:pt idx="15">
                  <c:v>0.8699551569506726</c:v>
                </c:pt>
                <c:pt idx="16">
                  <c:v>0.89686098654708524</c:v>
                </c:pt>
                <c:pt idx="17">
                  <c:v>0.93273542600896864</c:v>
                </c:pt>
                <c:pt idx="18">
                  <c:v>0.95515695067264572</c:v>
                </c:pt>
                <c:pt idx="19">
                  <c:v>0.95964125560538116</c:v>
                </c:pt>
                <c:pt idx="20">
                  <c:v>0.98654708520179368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F2-4E8A-90F3-CAC2C26BC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546575"/>
        <c:axId val="533548239"/>
      </c:scatterChart>
      <c:valAx>
        <c:axId val="533546575"/>
        <c:scaling>
          <c:orientation val="minMax"/>
          <c:max val="7400"/>
          <c:min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548239"/>
        <c:crosses val="autoZero"/>
        <c:crossBetween val="midCat"/>
        <c:majorUnit val="200"/>
      </c:valAx>
      <c:valAx>
        <c:axId val="533548239"/>
        <c:scaling>
          <c:orientation val="minMax"/>
          <c:max val="0.4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546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 способ'!$J$1</c:f>
              <c:strCache>
                <c:ptCount val="1"/>
                <c:pt idx="0">
                  <c:v>сл.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способ'!$J$2:$J$99</c:f>
              <c:numCache>
                <c:formatCode>0.0%</c:formatCode>
                <c:ptCount val="98"/>
                <c:pt idx="0">
                  <c:v>1</c:v>
                </c:pt>
                <c:pt idx="1">
                  <c:v>0.99188640973630826</c:v>
                </c:pt>
                <c:pt idx="2">
                  <c:v>0.95740365111561865</c:v>
                </c:pt>
                <c:pt idx="3">
                  <c:v>0.92900608519269778</c:v>
                </c:pt>
                <c:pt idx="4">
                  <c:v>0.86004056795131845</c:v>
                </c:pt>
                <c:pt idx="5">
                  <c:v>0.81135902636916835</c:v>
                </c:pt>
                <c:pt idx="6">
                  <c:v>0.76673427991886411</c:v>
                </c:pt>
                <c:pt idx="7">
                  <c:v>0.67545638945233266</c:v>
                </c:pt>
                <c:pt idx="8">
                  <c:v>0.59026369168356996</c:v>
                </c:pt>
                <c:pt idx="9">
                  <c:v>0.53752535496957399</c:v>
                </c:pt>
                <c:pt idx="10">
                  <c:v>0.47667342799188639</c:v>
                </c:pt>
                <c:pt idx="11">
                  <c:v>0.40567951318458417</c:v>
                </c:pt>
                <c:pt idx="12">
                  <c:v>0.3225152129817444</c:v>
                </c:pt>
                <c:pt idx="13">
                  <c:v>0.24949290060851928</c:v>
                </c:pt>
                <c:pt idx="14">
                  <c:v>0.20283975659229209</c:v>
                </c:pt>
                <c:pt idx="15">
                  <c:v>0.1643002028397566</c:v>
                </c:pt>
                <c:pt idx="16">
                  <c:v>0.13184584178498987</c:v>
                </c:pt>
                <c:pt idx="17">
                  <c:v>8.9249492900608518E-2</c:v>
                </c:pt>
                <c:pt idx="18">
                  <c:v>6.6937119675456389E-2</c:v>
                </c:pt>
                <c:pt idx="19">
                  <c:v>6.0851926977687626E-2</c:v>
                </c:pt>
                <c:pt idx="20">
                  <c:v>5.2738336713995942E-2</c:v>
                </c:pt>
                <c:pt idx="21">
                  <c:v>4.2596348884381338E-2</c:v>
                </c:pt>
                <c:pt idx="22">
                  <c:v>3.0425963488843813E-2</c:v>
                </c:pt>
                <c:pt idx="23">
                  <c:v>2.231237322515213E-2</c:v>
                </c:pt>
                <c:pt idx="24">
                  <c:v>1.4198782961460446E-2</c:v>
                </c:pt>
                <c:pt idx="25">
                  <c:v>1.2170385395537525E-2</c:v>
                </c:pt>
                <c:pt idx="26">
                  <c:v>6.0851926977687626E-3</c:v>
                </c:pt>
                <c:pt idx="27">
                  <c:v>2.0283975659229209E-3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88-442F-9E23-20E43EFABA8B}"/>
            </c:ext>
          </c:extLst>
        </c:ser>
        <c:ser>
          <c:idx val="1"/>
          <c:order val="1"/>
          <c:tx>
            <c:strRef>
              <c:f>'2 способ'!$K$1</c:f>
              <c:strCache>
                <c:ptCount val="1"/>
                <c:pt idx="0">
                  <c:v>дешево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способ'!$K$2:$K$99</c:f>
              <c:numCache>
                <c:formatCode>0.0%</c:formatCode>
                <c:ptCount val="9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0.99188640973630826</c:v>
                </c:pt>
                <c:pt idx="9">
                  <c:v>0.99188640973630826</c:v>
                </c:pt>
                <c:pt idx="10">
                  <c:v>0.97160243407707914</c:v>
                </c:pt>
                <c:pt idx="11">
                  <c:v>0.97160243407707914</c:v>
                </c:pt>
                <c:pt idx="12">
                  <c:v>0.9513184584178499</c:v>
                </c:pt>
                <c:pt idx="13">
                  <c:v>0.9513184584178499</c:v>
                </c:pt>
                <c:pt idx="14">
                  <c:v>0.88640973630831643</c:v>
                </c:pt>
                <c:pt idx="15">
                  <c:v>0.88640973630831643</c:v>
                </c:pt>
                <c:pt idx="16">
                  <c:v>0.83164300202839758</c:v>
                </c:pt>
                <c:pt idx="17">
                  <c:v>0.83164300202839758</c:v>
                </c:pt>
                <c:pt idx="18">
                  <c:v>0.78093306288032449</c:v>
                </c:pt>
                <c:pt idx="19">
                  <c:v>0.78093306288032449</c:v>
                </c:pt>
                <c:pt idx="20">
                  <c:v>0.7565922920892495</c:v>
                </c:pt>
                <c:pt idx="21">
                  <c:v>0.7565922920892495</c:v>
                </c:pt>
                <c:pt idx="22">
                  <c:v>0.70588235294117652</c:v>
                </c:pt>
                <c:pt idx="23">
                  <c:v>0.70588235294117652</c:v>
                </c:pt>
                <c:pt idx="24">
                  <c:v>0.67951318458417853</c:v>
                </c:pt>
                <c:pt idx="25">
                  <c:v>0.67951318458417853</c:v>
                </c:pt>
                <c:pt idx="26">
                  <c:v>0.65111561866125756</c:v>
                </c:pt>
                <c:pt idx="27">
                  <c:v>0.65111561866125756</c:v>
                </c:pt>
                <c:pt idx="28">
                  <c:v>0.62068965517241381</c:v>
                </c:pt>
                <c:pt idx="29">
                  <c:v>0.62068965517241381</c:v>
                </c:pt>
                <c:pt idx="30">
                  <c:v>0.57809330628803246</c:v>
                </c:pt>
                <c:pt idx="31">
                  <c:v>0.57809330628803246</c:v>
                </c:pt>
                <c:pt idx="32">
                  <c:v>0.53144016227180524</c:v>
                </c:pt>
                <c:pt idx="33">
                  <c:v>0.53144016227180524</c:v>
                </c:pt>
                <c:pt idx="34">
                  <c:v>0.48073022312373226</c:v>
                </c:pt>
                <c:pt idx="35">
                  <c:v>0.48073022312373226</c:v>
                </c:pt>
                <c:pt idx="36">
                  <c:v>0.39756592292089249</c:v>
                </c:pt>
                <c:pt idx="37">
                  <c:v>0.39756592292089249</c:v>
                </c:pt>
                <c:pt idx="38">
                  <c:v>0.33874239350912777</c:v>
                </c:pt>
                <c:pt idx="39">
                  <c:v>0.33874239350912777</c:v>
                </c:pt>
                <c:pt idx="40">
                  <c:v>0.29817444219066935</c:v>
                </c:pt>
                <c:pt idx="41">
                  <c:v>0.29817444219066935</c:v>
                </c:pt>
                <c:pt idx="42">
                  <c:v>0.25152129817444219</c:v>
                </c:pt>
                <c:pt idx="43">
                  <c:v>0.25152129817444219</c:v>
                </c:pt>
                <c:pt idx="44">
                  <c:v>0.21906693711967545</c:v>
                </c:pt>
                <c:pt idx="45">
                  <c:v>0.21906693711967545</c:v>
                </c:pt>
                <c:pt idx="46">
                  <c:v>0.17038539553752535</c:v>
                </c:pt>
                <c:pt idx="47">
                  <c:v>0.17038539553752535</c:v>
                </c:pt>
                <c:pt idx="48">
                  <c:v>0.13387423935091278</c:v>
                </c:pt>
                <c:pt idx="49">
                  <c:v>0.13387423935091278</c:v>
                </c:pt>
                <c:pt idx="50">
                  <c:v>0.10344827586206896</c:v>
                </c:pt>
                <c:pt idx="51">
                  <c:v>0.10344827586206896</c:v>
                </c:pt>
                <c:pt idx="52">
                  <c:v>6.6937119675456389E-2</c:v>
                </c:pt>
                <c:pt idx="53">
                  <c:v>6.6937119675456389E-2</c:v>
                </c:pt>
                <c:pt idx="54">
                  <c:v>5.6795131845841784E-2</c:v>
                </c:pt>
                <c:pt idx="55">
                  <c:v>5.6795131845841784E-2</c:v>
                </c:pt>
                <c:pt idx="56">
                  <c:v>5.4766734279918863E-2</c:v>
                </c:pt>
                <c:pt idx="57">
                  <c:v>5.4766734279918863E-2</c:v>
                </c:pt>
                <c:pt idx="58">
                  <c:v>4.665314401622718E-2</c:v>
                </c:pt>
                <c:pt idx="59">
                  <c:v>4.665314401622718E-2</c:v>
                </c:pt>
                <c:pt idx="60">
                  <c:v>4.4624746450304259E-2</c:v>
                </c:pt>
                <c:pt idx="61">
                  <c:v>4.4624746450304259E-2</c:v>
                </c:pt>
                <c:pt idx="62">
                  <c:v>4.2596348884381338E-2</c:v>
                </c:pt>
                <c:pt idx="63">
                  <c:v>4.2596348884381338E-2</c:v>
                </c:pt>
                <c:pt idx="64">
                  <c:v>3.6511156186612576E-2</c:v>
                </c:pt>
                <c:pt idx="65">
                  <c:v>3.6511156186612576E-2</c:v>
                </c:pt>
                <c:pt idx="66">
                  <c:v>2.6369168356997971E-2</c:v>
                </c:pt>
                <c:pt idx="67">
                  <c:v>2.6369168356997971E-2</c:v>
                </c:pt>
                <c:pt idx="68">
                  <c:v>2.0283975659229209E-2</c:v>
                </c:pt>
                <c:pt idx="69">
                  <c:v>2.0283975659229209E-2</c:v>
                </c:pt>
                <c:pt idx="70">
                  <c:v>1.8255578093306288E-2</c:v>
                </c:pt>
                <c:pt idx="71">
                  <c:v>1.8255578093306288E-2</c:v>
                </c:pt>
                <c:pt idx="72">
                  <c:v>8.1135902636916835E-3</c:v>
                </c:pt>
                <c:pt idx="73">
                  <c:v>8.1135902636916835E-3</c:v>
                </c:pt>
                <c:pt idx="74">
                  <c:v>2.0283975659229209E-3</c:v>
                </c:pt>
                <c:pt idx="75">
                  <c:v>2.0283975659229209E-3</c:v>
                </c:pt>
                <c:pt idx="76">
                  <c:v>2.0283975659229209E-3</c:v>
                </c:pt>
                <c:pt idx="77">
                  <c:v>2.0283975659229209E-3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88-442F-9E23-20E43EFABA8B}"/>
            </c:ext>
          </c:extLst>
        </c:ser>
        <c:ser>
          <c:idx val="2"/>
          <c:order val="2"/>
          <c:tx>
            <c:strRef>
              <c:f>'2 способ'!$L$1</c:f>
              <c:strCache>
                <c:ptCount val="1"/>
                <c:pt idx="0">
                  <c:v>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способ'!$L$2:$L$99</c:f>
              <c:numCache>
                <c:formatCode>0.0%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1.6227180527383367E-2</c:v>
                </c:pt>
                <c:pt idx="28">
                  <c:v>1.6227180527383367E-2</c:v>
                </c:pt>
                <c:pt idx="29">
                  <c:v>1.6227180527383367E-2</c:v>
                </c:pt>
                <c:pt idx="30">
                  <c:v>4.4624746450304259E-2</c:v>
                </c:pt>
                <c:pt idx="31">
                  <c:v>4.4624746450304259E-2</c:v>
                </c:pt>
                <c:pt idx="32">
                  <c:v>4.4624746450304259E-2</c:v>
                </c:pt>
                <c:pt idx="33">
                  <c:v>5.2738336713995942E-2</c:v>
                </c:pt>
                <c:pt idx="34">
                  <c:v>5.2738336713995942E-2</c:v>
                </c:pt>
                <c:pt idx="35">
                  <c:v>5.2738336713995942E-2</c:v>
                </c:pt>
                <c:pt idx="36">
                  <c:v>6.8965517241379309E-2</c:v>
                </c:pt>
                <c:pt idx="37">
                  <c:v>6.8965517241379309E-2</c:v>
                </c:pt>
                <c:pt idx="38">
                  <c:v>6.8965517241379309E-2</c:v>
                </c:pt>
                <c:pt idx="39">
                  <c:v>0.10953346855983773</c:v>
                </c:pt>
                <c:pt idx="40">
                  <c:v>0.10953346855983773</c:v>
                </c:pt>
                <c:pt idx="41">
                  <c:v>0.10953346855983773</c:v>
                </c:pt>
                <c:pt idx="42">
                  <c:v>0.14198782961460446</c:v>
                </c:pt>
                <c:pt idx="43">
                  <c:v>0.14198782961460446</c:v>
                </c:pt>
                <c:pt idx="44">
                  <c:v>0.14198782961460446</c:v>
                </c:pt>
                <c:pt idx="45">
                  <c:v>0.17444219066937119</c:v>
                </c:pt>
                <c:pt idx="46">
                  <c:v>0.17444219066937119</c:v>
                </c:pt>
                <c:pt idx="47">
                  <c:v>0.17444219066937119</c:v>
                </c:pt>
                <c:pt idx="48">
                  <c:v>0.21095334685598377</c:v>
                </c:pt>
                <c:pt idx="49">
                  <c:v>0.21095334685598377</c:v>
                </c:pt>
                <c:pt idx="50">
                  <c:v>0.21095334685598377</c:v>
                </c:pt>
                <c:pt idx="51">
                  <c:v>0.2434077079107505</c:v>
                </c:pt>
                <c:pt idx="52">
                  <c:v>0.2434077079107505</c:v>
                </c:pt>
                <c:pt idx="53">
                  <c:v>0.2434077079107505</c:v>
                </c:pt>
                <c:pt idx="54">
                  <c:v>0.2738336713995943</c:v>
                </c:pt>
                <c:pt idx="55">
                  <c:v>0.2738336713995943</c:v>
                </c:pt>
                <c:pt idx="56">
                  <c:v>0.2738336713995943</c:v>
                </c:pt>
                <c:pt idx="57">
                  <c:v>0.30020283975659229</c:v>
                </c:pt>
                <c:pt idx="58">
                  <c:v>0.30020283975659229</c:v>
                </c:pt>
                <c:pt idx="59">
                  <c:v>0.30020283975659229</c:v>
                </c:pt>
                <c:pt idx="60">
                  <c:v>0.3225152129817444</c:v>
                </c:pt>
                <c:pt idx="61">
                  <c:v>0.3225152129817444</c:v>
                </c:pt>
                <c:pt idx="62">
                  <c:v>0.3225152129817444</c:v>
                </c:pt>
                <c:pt idx="63">
                  <c:v>0.34482758620689657</c:v>
                </c:pt>
                <c:pt idx="64">
                  <c:v>0.34482758620689657</c:v>
                </c:pt>
                <c:pt idx="65">
                  <c:v>0.34482758620689657</c:v>
                </c:pt>
                <c:pt idx="66">
                  <c:v>0.3711967545638945</c:v>
                </c:pt>
                <c:pt idx="67">
                  <c:v>0.3711967545638945</c:v>
                </c:pt>
                <c:pt idx="68">
                  <c:v>0.3711967545638945</c:v>
                </c:pt>
                <c:pt idx="69">
                  <c:v>0.40567951318458417</c:v>
                </c:pt>
                <c:pt idx="70">
                  <c:v>0.40567951318458417</c:v>
                </c:pt>
                <c:pt idx="71">
                  <c:v>0.40567951318458417</c:v>
                </c:pt>
                <c:pt idx="72">
                  <c:v>0.43407707910750509</c:v>
                </c:pt>
                <c:pt idx="73">
                  <c:v>0.43407707910750509</c:v>
                </c:pt>
                <c:pt idx="74">
                  <c:v>0.43407707910750509</c:v>
                </c:pt>
                <c:pt idx="75">
                  <c:v>0.47058823529411764</c:v>
                </c:pt>
                <c:pt idx="76">
                  <c:v>0.47058823529411764</c:v>
                </c:pt>
                <c:pt idx="77">
                  <c:v>0.47058823529411764</c:v>
                </c:pt>
                <c:pt idx="78">
                  <c:v>0.51724137931034486</c:v>
                </c:pt>
                <c:pt idx="79">
                  <c:v>0.51724137931034486</c:v>
                </c:pt>
                <c:pt idx="80">
                  <c:v>0.51724137931034486</c:v>
                </c:pt>
                <c:pt idx="81">
                  <c:v>0.59229208924949295</c:v>
                </c:pt>
                <c:pt idx="82">
                  <c:v>0.59229208924949295</c:v>
                </c:pt>
                <c:pt idx="83">
                  <c:v>0.59229208924949295</c:v>
                </c:pt>
                <c:pt idx="84">
                  <c:v>0.65517241379310343</c:v>
                </c:pt>
                <c:pt idx="85">
                  <c:v>0.65517241379310343</c:v>
                </c:pt>
                <c:pt idx="86">
                  <c:v>0.65517241379310343</c:v>
                </c:pt>
                <c:pt idx="87">
                  <c:v>0.70993914807302227</c:v>
                </c:pt>
                <c:pt idx="88">
                  <c:v>0.70993914807302227</c:v>
                </c:pt>
                <c:pt idx="89">
                  <c:v>0.70993914807302227</c:v>
                </c:pt>
                <c:pt idx="90">
                  <c:v>0.73833671399594325</c:v>
                </c:pt>
                <c:pt idx="91">
                  <c:v>0.73833671399594325</c:v>
                </c:pt>
                <c:pt idx="92">
                  <c:v>0.73833671399594325</c:v>
                </c:pt>
                <c:pt idx="93">
                  <c:v>0.78296146044624748</c:v>
                </c:pt>
                <c:pt idx="94">
                  <c:v>0.78296146044624748</c:v>
                </c:pt>
                <c:pt idx="95">
                  <c:v>0.78296146044624748</c:v>
                </c:pt>
                <c:pt idx="96">
                  <c:v>0.82961460446247459</c:v>
                </c:pt>
                <c:pt idx="97">
                  <c:v>0.82961460446247459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88-442F-9E23-20E43EFABA8B}"/>
            </c:ext>
          </c:extLst>
        </c:ser>
        <c:ser>
          <c:idx val="3"/>
          <c:order val="3"/>
          <c:tx>
            <c:strRef>
              <c:f>'2 способ'!$M$1</c:f>
              <c:strCache>
                <c:ptCount val="1"/>
                <c:pt idx="0">
                  <c:v>сл. 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способ'!$M$2:$M$99</c:f>
              <c:numCache>
                <c:formatCode>0.0%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1.2170385395537525E-2</c:v>
                </c:pt>
                <c:pt idx="48">
                  <c:v>1.2170385395537525E-2</c:v>
                </c:pt>
                <c:pt idx="49">
                  <c:v>1.2170385395537525E-2</c:v>
                </c:pt>
                <c:pt idx="50">
                  <c:v>1.2170385395537525E-2</c:v>
                </c:pt>
                <c:pt idx="51">
                  <c:v>1.2170385395537525E-2</c:v>
                </c:pt>
                <c:pt idx="52">
                  <c:v>3.2454361054766734E-2</c:v>
                </c:pt>
                <c:pt idx="53">
                  <c:v>3.2454361054766734E-2</c:v>
                </c:pt>
                <c:pt idx="54">
                  <c:v>3.2454361054766734E-2</c:v>
                </c:pt>
                <c:pt idx="55">
                  <c:v>3.2454361054766734E-2</c:v>
                </c:pt>
                <c:pt idx="56">
                  <c:v>3.2454361054766734E-2</c:v>
                </c:pt>
                <c:pt idx="57">
                  <c:v>7.099391480730223E-2</c:v>
                </c:pt>
                <c:pt idx="58">
                  <c:v>7.099391480730223E-2</c:v>
                </c:pt>
                <c:pt idx="59">
                  <c:v>7.099391480730223E-2</c:v>
                </c:pt>
                <c:pt idx="60">
                  <c:v>7.099391480730223E-2</c:v>
                </c:pt>
                <c:pt idx="61">
                  <c:v>7.099391480730223E-2</c:v>
                </c:pt>
                <c:pt idx="62">
                  <c:v>8.3164300202839755E-2</c:v>
                </c:pt>
                <c:pt idx="63">
                  <c:v>8.3164300202839755E-2</c:v>
                </c:pt>
                <c:pt idx="64">
                  <c:v>8.3164300202839755E-2</c:v>
                </c:pt>
                <c:pt idx="65">
                  <c:v>8.3164300202839755E-2</c:v>
                </c:pt>
                <c:pt idx="66">
                  <c:v>8.3164300202839755E-2</c:v>
                </c:pt>
                <c:pt idx="67">
                  <c:v>0.11561866125760649</c:v>
                </c:pt>
                <c:pt idx="68">
                  <c:v>0.11561866125760649</c:v>
                </c:pt>
                <c:pt idx="69">
                  <c:v>0.11561866125760649</c:v>
                </c:pt>
                <c:pt idx="70">
                  <c:v>0.11561866125760649</c:v>
                </c:pt>
                <c:pt idx="71">
                  <c:v>0.11561866125760649</c:v>
                </c:pt>
                <c:pt idx="72">
                  <c:v>0.15010141987829614</c:v>
                </c:pt>
                <c:pt idx="73">
                  <c:v>0.15010141987829614</c:v>
                </c:pt>
                <c:pt idx="74">
                  <c:v>0.15010141987829614</c:v>
                </c:pt>
                <c:pt idx="75">
                  <c:v>0.15010141987829614</c:v>
                </c:pt>
                <c:pt idx="76">
                  <c:v>0.15010141987829614</c:v>
                </c:pt>
                <c:pt idx="77">
                  <c:v>0.18255578093306288</c:v>
                </c:pt>
                <c:pt idx="78">
                  <c:v>0.18255578093306288</c:v>
                </c:pt>
                <c:pt idx="79">
                  <c:v>0.18255578093306288</c:v>
                </c:pt>
                <c:pt idx="80">
                  <c:v>0.18255578093306288</c:v>
                </c:pt>
                <c:pt idx="81">
                  <c:v>0.18255578093306288</c:v>
                </c:pt>
                <c:pt idx="82">
                  <c:v>0.21501014198782961</c:v>
                </c:pt>
                <c:pt idx="83">
                  <c:v>0.21501014198782961</c:v>
                </c:pt>
                <c:pt idx="84">
                  <c:v>0.21501014198782961</c:v>
                </c:pt>
                <c:pt idx="85">
                  <c:v>0.21501014198782961</c:v>
                </c:pt>
                <c:pt idx="86">
                  <c:v>0.21501014198782961</c:v>
                </c:pt>
                <c:pt idx="87">
                  <c:v>0.2434077079107505</c:v>
                </c:pt>
                <c:pt idx="88">
                  <c:v>0.2434077079107505</c:v>
                </c:pt>
                <c:pt idx="89">
                  <c:v>0.2434077079107505</c:v>
                </c:pt>
                <c:pt idx="90">
                  <c:v>0.2434077079107505</c:v>
                </c:pt>
                <c:pt idx="91">
                  <c:v>0.2434077079107505</c:v>
                </c:pt>
                <c:pt idx="92">
                  <c:v>0.28194726166328599</c:v>
                </c:pt>
                <c:pt idx="93">
                  <c:v>0.28194726166328599</c:v>
                </c:pt>
                <c:pt idx="94">
                  <c:v>0.28194726166328599</c:v>
                </c:pt>
                <c:pt idx="95">
                  <c:v>0.28194726166328599</c:v>
                </c:pt>
                <c:pt idx="96">
                  <c:v>0.28194726166328599</c:v>
                </c:pt>
                <c:pt idx="97">
                  <c:v>0.30831643002028397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88-442F-9E23-20E43EFAB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663024"/>
        <c:axId val="1936646800"/>
      </c:scatterChart>
      <c:valAx>
        <c:axId val="193666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646800"/>
        <c:crosses val="autoZero"/>
        <c:crossBetween val="midCat"/>
      </c:valAx>
      <c:valAx>
        <c:axId val="19366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66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 способ'!$J$1</c:f>
              <c:strCache>
                <c:ptCount val="1"/>
                <c:pt idx="0">
                  <c:v>сл.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способ'!$J$2:$J$99</c:f>
              <c:numCache>
                <c:formatCode>0.0%</c:formatCode>
                <c:ptCount val="98"/>
                <c:pt idx="0">
                  <c:v>1</c:v>
                </c:pt>
                <c:pt idx="1">
                  <c:v>0.99188640973630826</c:v>
                </c:pt>
                <c:pt idx="2">
                  <c:v>0.95740365111561865</c:v>
                </c:pt>
                <c:pt idx="3">
                  <c:v>0.92900608519269778</c:v>
                </c:pt>
                <c:pt idx="4">
                  <c:v>0.86004056795131845</c:v>
                </c:pt>
                <c:pt idx="5">
                  <c:v>0.81135902636916835</c:v>
                </c:pt>
                <c:pt idx="6">
                  <c:v>0.76673427991886411</c:v>
                </c:pt>
                <c:pt idx="7">
                  <c:v>0.67545638945233266</c:v>
                </c:pt>
                <c:pt idx="8">
                  <c:v>0.59026369168356996</c:v>
                </c:pt>
                <c:pt idx="9">
                  <c:v>0.53752535496957399</c:v>
                </c:pt>
                <c:pt idx="10">
                  <c:v>0.47667342799188639</c:v>
                </c:pt>
                <c:pt idx="11">
                  <c:v>0.40567951318458417</c:v>
                </c:pt>
                <c:pt idx="12">
                  <c:v>0.3225152129817444</c:v>
                </c:pt>
                <c:pt idx="13">
                  <c:v>0.24949290060851928</c:v>
                </c:pt>
                <c:pt idx="14">
                  <c:v>0.20283975659229209</c:v>
                </c:pt>
                <c:pt idx="15">
                  <c:v>0.1643002028397566</c:v>
                </c:pt>
                <c:pt idx="16">
                  <c:v>0.13184584178498987</c:v>
                </c:pt>
                <c:pt idx="17">
                  <c:v>8.9249492900608518E-2</c:v>
                </c:pt>
                <c:pt idx="18">
                  <c:v>6.6937119675456389E-2</c:v>
                </c:pt>
                <c:pt idx="19">
                  <c:v>6.0851926977687626E-2</c:v>
                </c:pt>
                <c:pt idx="20">
                  <c:v>5.2738336713995942E-2</c:v>
                </c:pt>
                <c:pt idx="21">
                  <c:v>4.2596348884381338E-2</c:v>
                </c:pt>
                <c:pt idx="22">
                  <c:v>3.0425963488843813E-2</c:v>
                </c:pt>
                <c:pt idx="23">
                  <c:v>2.231237322515213E-2</c:v>
                </c:pt>
                <c:pt idx="24">
                  <c:v>1.4198782961460446E-2</c:v>
                </c:pt>
                <c:pt idx="25">
                  <c:v>1.2170385395537525E-2</c:v>
                </c:pt>
                <c:pt idx="26">
                  <c:v>6.0851926977687626E-3</c:v>
                </c:pt>
                <c:pt idx="27">
                  <c:v>2.0283975659229209E-3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EF-44D8-A5E5-B0CE478D8EC6}"/>
            </c:ext>
          </c:extLst>
        </c:ser>
        <c:ser>
          <c:idx val="1"/>
          <c:order val="1"/>
          <c:tx>
            <c:strRef>
              <c:f>'2 способ'!$K$1</c:f>
              <c:strCache>
                <c:ptCount val="1"/>
                <c:pt idx="0">
                  <c:v>дешево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способ'!$K$2:$K$99</c:f>
              <c:numCache>
                <c:formatCode>0.0%</c:formatCode>
                <c:ptCount val="9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0.99188640973630826</c:v>
                </c:pt>
                <c:pt idx="9">
                  <c:v>0.99188640973630826</c:v>
                </c:pt>
                <c:pt idx="10">
                  <c:v>0.97160243407707914</c:v>
                </c:pt>
                <c:pt idx="11">
                  <c:v>0.97160243407707914</c:v>
                </c:pt>
                <c:pt idx="12">
                  <c:v>0.9513184584178499</c:v>
                </c:pt>
                <c:pt idx="13">
                  <c:v>0.9513184584178499</c:v>
                </c:pt>
                <c:pt idx="14">
                  <c:v>0.88640973630831643</c:v>
                </c:pt>
                <c:pt idx="15">
                  <c:v>0.88640973630831643</c:v>
                </c:pt>
                <c:pt idx="16">
                  <c:v>0.83164300202839758</c:v>
                </c:pt>
                <c:pt idx="17">
                  <c:v>0.83164300202839758</c:v>
                </c:pt>
                <c:pt idx="18">
                  <c:v>0.78093306288032449</c:v>
                </c:pt>
                <c:pt idx="19">
                  <c:v>0.78093306288032449</c:v>
                </c:pt>
                <c:pt idx="20">
                  <c:v>0.7565922920892495</c:v>
                </c:pt>
                <c:pt idx="21">
                  <c:v>0.7565922920892495</c:v>
                </c:pt>
                <c:pt idx="22">
                  <c:v>0.70588235294117652</c:v>
                </c:pt>
                <c:pt idx="23">
                  <c:v>0.70588235294117652</c:v>
                </c:pt>
                <c:pt idx="24">
                  <c:v>0.67951318458417853</c:v>
                </c:pt>
                <c:pt idx="25">
                  <c:v>0.67951318458417853</c:v>
                </c:pt>
                <c:pt idx="26">
                  <c:v>0.65111561866125756</c:v>
                </c:pt>
                <c:pt idx="27">
                  <c:v>0.65111561866125756</c:v>
                </c:pt>
                <c:pt idx="28">
                  <c:v>0.62068965517241381</c:v>
                </c:pt>
                <c:pt idx="29">
                  <c:v>0.62068965517241381</c:v>
                </c:pt>
                <c:pt idx="30">
                  <c:v>0.57809330628803246</c:v>
                </c:pt>
                <c:pt idx="31">
                  <c:v>0.57809330628803246</c:v>
                </c:pt>
                <c:pt idx="32">
                  <c:v>0.53144016227180524</c:v>
                </c:pt>
                <c:pt idx="33">
                  <c:v>0.53144016227180524</c:v>
                </c:pt>
                <c:pt idx="34">
                  <c:v>0.48073022312373226</c:v>
                </c:pt>
                <c:pt idx="35">
                  <c:v>0.48073022312373226</c:v>
                </c:pt>
                <c:pt idx="36">
                  <c:v>0.39756592292089249</c:v>
                </c:pt>
                <c:pt idx="37">
                  <c:v>0.39756592292089249</c:v>
                </c:pt>
                <c:pt idx="38">
                  <c:v>0.33874239350912777</c:v>
                </c:pt>
                <c:pt idx="39">
                  <c:v>0.33874239350912777</c:v>
                </c:pt>
                <c:pt idx="40">
                  <c:v>0.29817444219066935</c:v>
                </c:pt>
                <c:pt idx="41">
                  <c:v>0.29817444219066935</c:v>
                </c:pt>
                <c:pt idx="42">
                  <c:v>0.25152129817444219</c:v>
                </c:pt>
                <c:pt idx="43">
                  <c:v>0.25152129817444219</c:v>
                </c:pt>
                <c:pt idx="44">
                  <c:v>0.21906693711967545</c:v>
                </c:pt>
                <c:pt idx="45">
                  <c:v>0.21906693711967545</c:v>
                </c:pt>
                <c:pt idx="46">
                  <c:v>0.17038539553752535</c:v>
                </c:pt>
                <c:pt idx="47">
                  <c:v>0.17038539553752535</c:v>
                </c:pt>
                <c:pt idx="48">
                  <c:v>0.13387423935091278</c:v>
                </c:pt>
                <c:pt idx="49">
                  <c:v>0.13387423935091278</c:v>
                </c:pt>
                <c:pt idx="50">
                  <c:v>0.10344827586206896</c:v>
                </c:pt>
                <c:pt idx="51">
                  <c:v>0.10344827586206896</c:v>
                </c:pt>
                <c:pt idx="52">
                  <c:v>6.6937119675456389E-2</c:v>
                </c:pt>
                <c:pt idx="53">
                  <c:v>6.6937119675456389E-2</c:v>
                </c:pt>
                <c:pt idx="54">
                  <c:v>5.6795131845841784E-2</c:v>
                </c:pt>
                <c:pt idx="55">
                  <c:v>5.6795131845841784E-2</c:v>
                </c:pt>
                <c:pt idx="56">
                  <c:v>5.4766734279918863E-2</c:v>
                </c:pt>
                <c:pt idx="57">
                  <c:v>5.4766734279918863E-2</c:v>
                </c:pt>
                <c:pt idx="58">
                  <c:v>4.665314401622718E-2</c:v>
                </c:pt>
                <c:pt idx="59">
                  <c:v>4.665314401622718E-2</c:v>
                </c:pt>
                <c:pt idx="60">
                  <c:v>4.4624746450304259E-2</c:v>
                </c:pt>
                <c:pt idx="61">
                  <c:v>4.4624746450304259E-2</c:v>
                </c:pt>
                <c:pt idx="62">
                  <c:v>4.2596348884381338E-2</c:v>
                </c:pt>
                <c:pt idx="63">
                  <c:v>4.2596348884381338E-2</c:v>
                </c:pt>
                <c:pt idx="64">
                  <c:v>3.6511156186612576E-2</c:v>
                </c:pt>
                <c:pt idx="65">
                  <c:v>3.6511156186612576E-2</c:v>
                </c:pt>
                <c:pt idx="66">
                  <c:v>2.6369168356997971E-2</c:v>
                </c:pt>
                <c:pt idx="67">
                  <c:v>2.6369168356997971E-2</c:v>
                </c:pt>
                <c:pt idx="68">
                  <c:v>2.0283975659229209E-2</c:v>
                </c:pt>
                <c:pt idx="69">
                  <c:v>2.0283975659229209E-2</c:v>
                </c:pt>
                <c:pt idx="70">
                  <c:v>1.8255578093306288E-2</c:v>
                </c:pt>
                <c:pt idx="71">
                  <c:v>1.8255578093306288E-2</c:v>
                </c:pt>
                <c:pt idx="72">
                  <c:v>8.1135902636916835E-3</c:v>
                </c:pt>
                <c:pt idx="73">
                  <c:v>8.1135902636916835E-3</c:v>
                </c:pt>
                <c:pt idx="74">
                  <c:v>2.0283975659229209E-3</c:v>
                </c:pt>
                <c:pt idx="75">
                  <c:v>2.0283975659229209E-3</c:v>
                </c:pt>
                <c:pt idx="76">
                  <c:v>2.0283975659229209E-3</c:v>
                </c:pt>
                <c:pt idx="77">
                  <c:v>2.0283975659229209E-3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EF-44D8-A5E5-B0CE478D8EC6}"/>
            </c:ext>
          </c:extLst>
        </c:ser>
        <c:ser>
          <c:idx val="2"/>
          <c:order val="2"/>
          <c:tx>
            <c:strRef>
              <c:f>'2 способ'!$L$1</c:f>
              <c:strCache>
                <c:ptCount val="1"/>
                <c:pt idx="0">
                  <c:v>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способ'!$L$2:$L$99</c:f>
              <c:numCache>
                <c:formatCode>0.0%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1.6227180527383367E-2</c:v>
                </c:pt>
                <c:pt idx="28">
                  <c:v>1.6227180527383367E-2</c:v>
                </c:pt>
                <c:pt idx="29">
                  <c:v>1.6227180527383367E-2</c:v>
                </c:pt>
                <c:pt idx="30">
                  <c:v>4.4624746450304259E-2</c:v>
                </c:pt>
                <c:pt idx="31">
                  <c:v>4.4624746450304259E-2</c:v>
                </c:pt>
                <c:pt idx="32">
                  <c:v>4.4624746450304259E-2</c:v>
                </c:pt>
                <c:pt idx="33">
                  <c:v>5.2738336713995942E-2</c:v>
                </c:pt>
                <c:pt idx="34">
                  <c:v>5.2738336713995942E-2</c:v>
                </c:pt>
                <c:pt idx="35">
                  <c:v>5.2738336713995942E-2</c:v>
                </c:pt>
                <c:pt idx="36">
                  <c:v>6.8965517241379309E-2</c:v>
                </c:pt>
                <c:pt idx="37">
                  <c:v>6.8965517241379309E-2</c:v>
                </c:pt>
                <c:pt idx="38">
                  <c:v>6.8965517241379309E-2</c:v>
                </c:pt>
                <c:pt idx="39">
                  <c:v>0.10953346855983773</c:v>
                </c:pt>
                <c:pt idx="40">
                  <c:v>0.10953346855983773</c:v>
                </c:pt>
                <c:pt idx="41">
                  <c:v>0.10953346855983773</c:v>
                </c:pt>
                <c:pt idx="42">
                  <c:v>0.14198782961460446</c:v>
                </c:pt>
                <c:pt idx="43">
                  <c:v>0.14198782961460446</c:v>
                </c:pt>
                <c:pt idx="44">
                  <c:v>0.14198782961460446</c:v>
                </c:pt>
                <c:pt idx="45">
                  <c:v>0.17444219066937119</c:v>
                </c:pt>
                <c:pt idx="46">
                  <c:v>0.17444219066937119</c:v>
                </c:pt>
                <c:pt idx="47">
                  <c:v>0.17444219066937119</c:v>
                </c:pt>
                <c:pt idx="48">
                  <c:v>0.21095334685598377</c:v>
                </c:pt>
                <c:pt idx="49">
                  <c:v>0.21095334685598377</c:v>
                </c:pt>
                <c:pt idx="50">
                  <c:v>0.21095334685598377</c:v>
                </c:pt>
                <c:pt idx="51">
                  <c:v>0.2434077079107505</c:v>
                </c:pt>
                <c:pt idx="52">
                  <c:v>0.2434077079107505</c:v>
                </c:pt>
                <c:pt idx="53">
                  <c:v>0.2434077079107505</c:v>
                </c:pt>
                <c:pt idx="54">
                  <c:v>0.2738336713995943</c:v>
                </c:pt>
                <c:pt idx="55">
                  <c:v>0.2738336713995943</c:v>
                </c:pt>
                <c:pt idx="56">
                  <c:v>0.2738336713995943</c:v>
                </c:pt>
                <c:pt idx="57">
                  <c:v>0.30020283975659229</c:v>
                </c:pt>
                <c:pt idx="58">
                  <c:v>0.30020283975659229</c:v>
                </c:pt>
                <c:pt idx="59">
                  <c:v>0.30020283975659229</c:v>
                </c:pt>
                <c:pt idx="60">
                  <c:v>0.3225152129817444</c:v>
                </c:pt>
                <c:pt idx="61">
                  <c:v>0.3225152129817444</c:v>
                </c:pt>
                <c:pt idx="62">
                  <c:v>0.3225152129817444</c:v>
                </c:pt>
                <c:pt idx="63">
                  <c:v>0.34482758620689657</c:v>
                </c:pt>
                <c:pt idx="64">
                  <c:v>0.34482758620689657</c:v>
                </c:pt>
                <c:pt idx="65">
                  <c:v>0.34482758620689657</c:v>
                </c:pt>
                <c:pt idx="66">
                  <c:v>0.3711967545638945</c:v>
                </c:pt>
                <c:pt idx="67">
                  <c:v>0.3711967545638945</c:v>
                </c:pt>
                <c:pt idx="68">
                  <c:v>0.3711967545638945</c:v>
                </c:pt>
                <c:pt idx="69">
                  <c:v>0.40567951318458417</c:v>
                </c:pt>
                <c:pt idx="70">
                  <c:v>0.40567951318458417</c:v>
                </c:pt>
                <c:pt idx="71">
                  <c:v>0.40567951318458417</c:v>
                </c:pt>
                <c:pt idx="72">
                  <c:v>0.43407707910750509</c:v>
                </c:pt>
                <c:pt idx="73">
                  <c:v>0.43407707910750509</c:v>
                </c:pt>
                <c:pt idx="74">
                  <c:v>0.43407707910750509</c:v>
                </c:pt>
                <c:pt idx="75">
                  <c:v>0.47058823529411764</c:v>
                </c:pt>
                <c:pt idx="76">
                  <c:v>0.47058823529411764</c:v>
                </c:pt>
                <c:pt idx="77">
                  <c:v>0.47058823529411764</c:v>
                </c:pt>
                <c:pt idx="78">
                  <c:v>0.51724137931034486</c:v>
                </c:pt>
                <c:pt idx="79">
                  <c:v>0.51724137931034486</c:v>
                </c:pt>
                <c:pt idx="80">
                  <c:v>0.51724137931034486</c:v>
                </c:pt>
                <c:pt idx="81">
                  <c:v>0.59229208924949295</c:v>
                </c:pt>
                <c:pt idx="82">
                  <c:v>0.59229208924949295</c:v>
                </c:pt>
                <c:pt idx="83">
                  <c:v>0.59229208924949295</c:v>
                </c:pt>
                <c:pt idx="84">
                  <c:v>0.65517241379310343</c:v>
                </c:pt>
                <c:pt idx="85">
                  <c:v>0.65517241379310343</c:v>
                </c:pt>
                <c:pt idx="86">
                  <c:v>0.65517241379310343</c:v>
                </c:pt>
                <c:pt idx="87">
                  <c:v>0.70993914807302227</c:v>
                </c:pt>
                <c:pt idx="88">
                  <c:v>0.70993914807302227</c:v>
                </c:pt>
                <c:pt idx="89">
                  <c:v>0.70993914807302227</c:v>
                </c:pt>
                <c:pt idx="90">
                  <c:v>0.73833671399594325</c:v>
                </c:pt>
                <c:pt idx="91">
                  <c:v>0.73833671399594325</c:v>
                </c:pt>
                <c:pt idx="92">
                  <c:v>0.73833671399594325</c:v>
                </c:pt>
                <c:pt idx="93">
                  <c:v>0.78296146044624748</c:v>
                </c:pt>
                <c:pt idx="94">
                  <c:v>0.78296146044624748</c:v>
                </c:pt>
                <c:pt idx="95">
                  <c:v>0.78296146044624748</c:v>
                </c:pt>
                <c:pt idx="96">
                  <c:v>0.82961460446247459</c:v>
                </c:pt>
                <c:pt idx="97">
                  <c:v>0.82961460446247459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EF-44D8-A5E5-B0CE478D8EC6}"/>
            </c:ext>
          </c:extLst>
        </c:ser>
        <c:ser>
          <c:idx val="3"/>
          <c:order val="3"/>
          <c:tx>
            <c:strRef>
              <c:f>'2 способ'!$M$1</c:f>
              <c:strCache>
                <c:ptCount val="1"/>
                <c:pt idx="0">
                  <c:v>сл. 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 способ'!$I$2:$I$99</c:f>
              <c:numCache>
                <c:formatCode>General</c:formatCode>
                <c:ptCount val="9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'2 способ'!$M$2:$M$99</c:f>
              <c:numCache>
                <c:formatCode>0.0%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1.2170385395537525E-2</c:v>
                </c:pt>
                <c:pt idx="48">
                  <c:v>1.2170385395537525E-2</c:v>
                </c:pt>
                <c:pt idx="49">
                  <c:v>1.2170385395537525E-2</c:v>
                </c:pt>
                <c:pt idx="50">
                  <c:v>1.2170385395537525E-2</c:v>
                </c:pt>
                <c:pt idx="51">
                  <c:v>1.2170385395537525E-2</c:v>
                </c:pt>
                <c:pt idx="52">
                  <c:v>3.2454361054766734E-2</c:v>
                </c:pt>
                <c:pt idx="53">
                  <c:v>3.2454361054766734E-2</c:v>
                </c:pt>
                <c:pt idx="54">
                  <c:v>3.2454361054766734E-2</c:v>
                </c:pt>
                <c:pt idx="55">
                  <c:v>3.2454361054766734E-2</c:v>
                </c:pt>
                <c:pt idx="56">
                  <c:v>3.2454361054766734E-2</c:v>
                </c:pt>
                <c:pt idx="57">
                  <c:v>7.099391480730223E-2</c:v>
                </c:pt>
                <c:pt idx="58">
                  <c:v>7.099391480730223E-2</c:v>
                </c:pt>
                <c:pt idx="59">
                  <c:v>7.099391480730223E-2</c:v>
                </c:pt>
                <c:pt idx="60">
                  <c:v>7.099391480730223E-2</c:v>
                </c:pt>
                <c:pt idx="61">
                  <c:v>7.099391480730223E-2</c:v>
                </c:pt>
                <c:pt idx="62">
                  <c:v>8.3164300202839755E-2</c:v>
                </c:pt>
                <c:pt idx="63">
                  <c:v>8.3164300202839755E-2</c:v>
                </c:pt>
                <c:pt idx="64">
                  <c:v>8.3164300202839755E-2</c:v>
                </c:pt>
                <c:pt idx="65">
                  <c:v>8.3164300202839755E-2</c:v>
                </c:pt>
                <c:pt idx="66">
                  <c:v>8.3164300202839755E-2</c:v>
                </c:pt>
                <c:pt idx="67">
                  <c:v>0.11561866125760649</c:v>
                </c:pt>
                <c:pt idx="68">
                  <c:v>0.11561866125760649</c:v>
                </c:pt>
                <c:pt idx="69">
                  <c:v>0.11561866125760649</c:v>
                </c:pt>
                <c:pt idx="70">
                  <c:v>0.11561866125760649</c:v>
                </c:pt>
                <c:pt idx="71">
                  <c:v>0.11561866125760649</c:v>
                </c:pt>
                <c:pt idx="72">
                  <c:v>0.15010141987829614</c:v>
                </c:pt>
                <c:pt idx="73">
                  <c:v>0.15010141987829614</c:v>
                </c:pt>
                <c:pt idx="74">
                  <c:v>0.15010141987829614</c:v>
                </c:pt>
                <c:pt idx="75">
                  <c:v>0.15010141987829614</c:v>
                </c:pt>
                <c:pt idx="76">
                  <c:v>0.15010141987829614</c:v>
                </c:pt>
                <c:pt idx="77">
                  <c:v>0.18255578093306288</c:v>
                </c:pt>
                <c:pt idx="78">
                  <c:v>0.18255578093306288</c:v>
                </c:pt>
                <c:pt idx="79">
                  <c:v>0.18255578093306288</c:v>
                </c:pt>
                <c:pt idx="80">
                  <c:v>0.18255578093306288</c:v>
                </c:pt>
                <c:pt idx="81">
                  <c:v>0.18255578093306288</c:v>
                </c:pt>
                <c:pt idx="82">
                  <c:v>0.21501014198782961</c:v>
                </c:pt>
                <c:pt idx="83">
                  <c:v>0.21501014198782961</c:v>
                </c:pt>
                <c:pt idx="84">
                  <c:v>0.21501014198782961</c:v>
                </c:pt>
                <c:pt idx="85">
                  <c:v>0.21501014198782961</c:v>
                </c:pt>
                <c:pt idx="86">
                  <c:v>0.21501014198782961</c:v>
                </c:pt>
                <c:pt idx="87">
                  <c:v>0.2434077079107505</c:v>
                </c:pt>
                <c:pt idx="88">
                  <c:v>0.2434077079107505</c:v>
                </c:pt>
                <c:pt idx="89">
                  <c:v>0.2434077079107505</c:v>
                </c:pt>
                <c:pt idx="90">
                  <c:v>0.2434077079107505</c:v>
                </c:pt>
                <c:pt idx="91">
                  <c:v>0.2434077079107505</c:v>
                </c:pt>
                <c:pt idx="92">
                  <c:v>0.28194726166328599</c:v>
                </c:pt>
                <c:pt idx="93">
                  <c:v>0.28194726166328599</c:v>
                </c:pt>
                <c:pt idx="94">
                  <c:v>0.28194726166328599</c:v>
                </c:pt>
                <c:pt idx="95">
                  <c:v>0.28194726166328599</c:v>
                </c:pt>
                <c:pt idx="96">
                  <c:v>0.28194726166328599</c:v>
                </c:pt>
                <c:pt idx="97">
                  <c:v>0.30831643002028397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EF-44D8-A5E5-B0CE478D8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663024"/>
        <c:axId val="1936646800"/>
      </c:scatterChart>
      <c:valAx>
        <c:axId val="1936663024"/>
        <c:scaling>
          <c:orientation val="minMax"/>
          <c:max val="5300"/>
          <c:min val="4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646800"/>
        <c:crosses val="autoZero"/>
        <c:crossBetween val="midCat"/>
        <c:majorUnit val="200"/>
      </c:valAx>
      <c:valAx>
        <c:axId val="1936646800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66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 способ'!$J$1</c:f>
              <c:strCache>
                <c:ptCount val="1"/>
                <c:pt idx="0">
                  <c:v>сл.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 способ'!$I$2:$I$494</c:f>
              <c:numCache>
                <c:formatCode>General</c:formatCode>
                <c:ptCount val="49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'3 способ'!$J$2:$J$494</c:f>
              <c:numCache>
                <c:formatCode>0.0%</c:formatCode>
                <c:ptCount val="493"/>
                <c:pt idx="0">
                  <c:v>1</c:v>
                </c:pt>
                <c:pt idx="1">
                  <c:v>0.97802197802197799</c:v>
                </c:pt>
                <c:pt idx="2">
                  <c:v>0.88461538461538458</c:v>
                </c:pt>
                <c:pt idx="3">
                  <c:v>0.79395604395604391</c:v>
                </c:pt>
                <c:pt idx="4">
                  <c:v>0.65934065934065933</c:v>
                </c:pt>
                <c:pt idx="5">
                  <c:v>0.59065934065934067</c:v>
                </c:pt>
                <c:pt idx="6">
                  <c:v>0.49175824175824173</c:v>
                </c:pt>
                <c:pt idx="7">
                  <c:v>0.34340659340659341</c:v>
                </c:pt>
                <c:pt idx="8">
                  <c:v>0.27197802197802196</c:v>
                </c:pt>
                <c:pt idx="9">
                  <c:v>0.2445054945054945</c:v>
                </c:pt>
                <c:pt idx="10">
                  <c:v>0.21978021978021978</c:v>
                </c:pt>
                <c:pt idx="11">
                  <c:v>0.18406593406593408</c:v>
                </c:pt>
                <c:pt idx="12">
                  <c:v>0.13461538461538461</c:v>
                </c:pt>
                <c:pt idx="13">
                  <c:v>0.1043956043956044</c:v>
                </c:pt>
                <c:pt idx="14">
                  <c:v>0.1043956043956044</c:v>
                </c:pt>
                <c:pt idx="15">
                  <c:v>0.1043956043956044</c:v>
                </c:pt>
                <c:pt idx="16">
                  <c:v>0.1043956043956044</c:v>
                </c:pt>
                <c:pt idx="17">
                  <c:v>0.1043956043956044</c:v>
                </c:pt>
                <c:pt idx="18">
                  <c:v>9.0659340659340656E-2</c:v>
                </c:pt>
                <c:pt idx="19">
                  <c:v>8.2417582417582416E-2</c:v>
                </c:pt>
                <c:pt idx="20">
                  <c:v>7.1428571428571425E-2</c:v>
                </c:pt>
                <c:pt idx="21">
                  <c:v>5.7692307692307696E-2</c:v>
                </c:pt>
                <c:pt idx="22">
                  <c:v>4.1208791208791208E-2</c:v>
                </c:pt>
                <c:pt idx="23">
                  <c:v>3.021978021978022E-2</c:v>
                </c:pt>
                <c:pt idx="24">
                  <c:v>1.9230769230769232E-2</c:v>
                </c:pt>
                <c:pt idx="25">
                  <c:v>1.6483516483516484E-2</c:v>
                </c:pt>
                <c:pt idx="26">
                  <c:v>8.241758241758242E-3</c:v>
                </c:pt>
                <c:pt idx="27">
                  <c:v>2.7472527472527475E-3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A1-4B2E-9DB9-E71ADF152DE1}"/>
            </c:ext>
          </c:extLst>
        </c:ser>
        <c:ser>
          <c:idx val="1"/>
          <c:order val="1"/>
          <c:tx>
            <c:strRef>
              <c:f>'3 способ'!$K$1</c:f>
              <c:strCache>
                <c:ptCount val="1"/>
                <c:pt idx="0">
                  <c:v>дешево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 способ'!$I$2:$I$494</c:f>
              <c:numCache>
                <c:formatCode>General</c:formatCode>
                <c:ptCount val="49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'3 способ'!$K$2:$K$494</c:f>
              <c:numCache>
                <c:formatCode>0.0%</c:formatCode>
                <c:ptCount val="49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0.96703296703296704</c:v>
                </c:pt>
                <c:pt idx="7">
                  <c:v>0.96703296703296704</c:v>
                </c:pt>
                <c:pt idx="8">
                  <c:v>0.90934065934065933</c:v>
                </c:pt>
                <c:pt idx="9">
                  <c:v>0.90934065934065933</c:v>
                </c:pt>
                <c:pt idx="10">
                  <c:v>0.85439560439560436</c:v>
                </c:pt>
                <c:pt idx="11">
                  <c:v>0.85439560439560436</c:v>
                </c:pt>
                <c:pt idx="12">
                  <c:v>0.78021978021978022</c:v>
                </c:pt>
                <c:pt idx="13">
                  <c:v>0.78021978021978022</c:v>
                </c:pt>
                <c:pt idx="14">
                  <c:v>0.68956043956043955</c:v>
                </c:pt>
                <c:pt idx="15">
                  <c:v>0.68956043956043955</c:v>
                </c:pt>
                <c:pt idx="16">
                  <c:v>0.60164835164835162</c:v>
                </c:pt>
                <c:pt idx="17">
                  <c:v>0.60164835164835162</c:v>
                </c:pt>
                <c:pt idx="18">
                  <c:v>0.52472527472527475</c:v>
                </c:pt>
                <c:pt idx="19">
                  <c:v>0.52472527472527475</c:v>
                </c:pt>
                <c:pt idx="20">
                  <c:v>0.45879120879120877</c:v>
                </c:pt>
                <c:pt idx="21">
                  <c:v>0.45879120879120877</c:v>
                </c:pt>
                <c:pt idx="22">
                  <c:v>0.39010989010989011</c:v>
                </c:pt>
                <c:pt idx="23">
                  <c:v>0.39010989010989011</c:v>
                </c:pt>
                <c:pt idx="24">
                  <c:v>0.35439560439560441</c:v>
                </c:pt>
                <c:pt idx="25">
                  <c:v>0.35439560439560441</c:v>
                </c:pt>
                <c:pt idx="26">
                  <c:v>0.31593406593406592</c:v>
                </c:pt>
                <c:pt idx="27">
                  <c:v>0.31593406593406592</c:v>
                </c:pt>
                <c:pt idx="28">
                  <c:v>0.28296703296703296</c:v>
                </c:pt>
                <c:pt idx="29">
                  <c:v>0.28296703296703296</c:v>
                </c:pt>
                <c:pt idx="30">
                  <c:v>0.2445054945054945</c:v>
                </c:pt>
                <c:pt idx="31">
                  <c:v>0.2445054945054945</c:v>
                </c:pt>
                <c:pt idx="32">
                  <c:v>0.19780219780219779</c:v>
                </c:pt>
                <c:pt idx="33">
                  <c:v>0.19780219780219779</c:v>
                </c:pt>
                <c:pt idx="34">
                  <c:v>0.17582417582417584</c:v>
                </c:pt>
                <c:pt idx="35">
                  <c:v>0.17582417582417584</c:v>
                </c:pt>
                <c:pt idx="36">
                  <c:v>0.12362637362637363</c:v>
                </c:pt>
                <c:pt idx="37">
                  <c:v>0.12362637362637363</c:v>
                </c:pt>
                <c:pt idx="38">
                  <c:v>0.1043956043956044</c:v>
                </c:pt>
                <c:pt idx="39">
                  <c:v>0.1043956043956044</c:v>
                </c:pt>
                <c:pt idx="40">
                  <c:v>0.1043956043956044</c:v>
                </c:pt>
                <c:pt idx="41">
                  <c:v>0.1043956043956044</c:v>
                </c:pt>
                <c:pt idx="42">
                  <c:v>0.1043956043956044</c:v>
                </c:pt>
                <c:pt idx="43">
                  <c:v>0.1043956043956044</c:v>
                </c:pt>
                <c:pt idx="44">
                  <c:v>0.1043956043956044</c:v>
                </c:pt>
                <c:pt idx="45">
                  <c:v>0.1043956043956044</c:v>
                </c:pt>
                <c:pt idx="46">
                  <c:v>0.1043956043956044</c:v>
                </c:pt>
                <c:pt idx="47">
                  <c:v>0.1043956043956044</c:v>
                </c:pt>
                <c:pt idx="48">
                  <c:v>0.10164835164835165</c:v>
                </c:pt>
                <c:pt idx="49">
                  <c:v>0.10164835164835165</c:v>
                </c:pt>
                <c:pt idx="50">
                  <c:v>9.6153846153846159E-2</c:v>
                </c:pt>
                <c:pt idx="51">
                  <c:v>9.6153846153846159E-2</c:v>
                </c:pt>
                <c:pt idx="52">
                  <c:v>9.0659340659340656E-2</c:v>
                </c:pt>
                <c:pt idx="53">
                  <c:v>9.0659340659340656E-2</c:v>
                </c:pt>
                <c:pt idx="54">
                  <c:v>7.6923076923076927E-2</c:v>
                </c:pt>
                <c:pt idx="55">
                  <c:v>7.6923076923076927E-2</c:v>
                </c:pt>
                <c:pt idx="56">
                  <c:v>7.4175824175824176E-2</c:v>
                </c:pt>
                <c:pt idx="57">
                  <c:v>7.4175824175824176E-2</c:v>
                </c:pt>
                <c:pt idx="58">
                  <c:v>6.3186813186813184E-2</c:v>
                </c:pt>
                <c:pt idx="59">
                  <c:v>6.3186813186813184E-2</c:v>
                </c:pt>
                <c:pt idx="60">
                  <c:v>6.043956043956044E-2</c:v>
                </c:pt>
                <c:pt idx="61">
                  <c:v>6.043956043956044E-2</c:v>
                </c:pt>
                <c:pt idx="62">
                  <c:v>5.7692307692307696E-2</c:v>
                </c:pt>
                <c:pt idx="63">
                  <c:v>5.7692307692307696E-2</c:v>
                </c:pt>
                <c:pt idx="64">
                  <c:v>4.9450549450549448E-2</c:v>
                </c:pt>
                <c:pt idx="65">
                  <c:v>4.9450549450549448E-2</c:v>
                </c:pt>
                <c:pt idx="66">
                  <c:v>3.5714285714285712E-2</c:v>
                </c:pt>
                <c:pt idx="67">
                  <c:v>3.5714285714285712E-2</c:v>
                </c:pt>
                <c:pt idx="68">
                  <c:v>2.7472527472527472E-2</c:v>
                </c:pt>
                <c:pt idx="69">
                  <c:v>2.7472527472527472E-2</c:v>
                </c:pt>
                <c:pt idx="70">
                  <c:v>2.4725274725274724E-2</c:v>
                </c:pt>
                <c:pt idx="71">
                  <c:v>2.4725274725274724E-2</c:v>
                </c:pt>
                <c:pt idx="72">
                  <c:v>1.098901098901099E-2</c:v>
                </c:pt>
                <c:pt idx="73">
                  <c:v>1.098901098901099E-2</c:v>
                </c:pt>
                <c:pt idx="74">
                  <c:v>2.7472527472527475E-3</c:v>
                </c:pt>
                <c:pt idx="75">
                  <c:v>2.7472527472527475E-3</c:v>
                </c:pt>
                <c:pt idx="76">
                  <c:v>2.7472527472527475E-3</c:v>
                </c:pt>
                <c:pt idx="77">
                  <c:v>2.7472527472527475E-3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A1-4B2E-9DB9-E71ADF152DE1}"/>
            </c:ext>
          </c:extLst>
        </c:ser>
        <c:ser>
          <c:idx val="2"/>
          <c:order val="2"/>
          <c:tx>
            <c:strRef>
              <c:f>'3 способ'!$L$1</c:f>
              <c:strCache>
                <c:ptCount val="1"/>
                <c:pt idx="0">
                  <c:v>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'3 способ'!$I$2:$I$494</c:f>
              <c:numCache>
                <c:formatCode>General</c:formatCode>
                <c:ptCount val="49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'3 способ'!$L$2:$L$494</c:f>
              <c:numCache>
                <c:formatCode>0.0%</c:formatCode>
                <c:ptCount val="4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4.1208791208791208E-2</c:v>
                </c:pt>
                <c:pt idx="19">
                  <c:v>4.1208791208791208E-2</c:v>
                </c:pt>
                <c:pt idx="20">
                  <c:v>4.1208791208791208E-2</c:v>
                </c:pt>
                <c:pt idx="21">
                  <c:v>8.5164835164835168E-2</c:v>
                </c:pt>
                <c:pt idx="22">
                  <c:v>8.5164835164835168E-2</c:v>
                </c:pt>
                <c:pt idx="23">
                  <c:v>8.5164835164835168E-2</c:v>
                </c:pt>
                <c:pt idx="24">
                  <c:v>0.13736263736263737</c:v>
                </c:pt>
                <c:pt idx="25">
                  <c:v>0.13736263736263737</c:v>
                </c:pt>
                <c:pt idx="26">
                  <c:v>0.13736263736263737</c:v>
                </c:pt>
                <c:pt idx="27">
                  <c:v>0.17582417582417584</c:v>
                </c:pt>
                <c:pt idx="28">
                  <c:v>0.17582417582417584</c:v>
                </c:pt>
                <c:pt idx="29">
                  <c:v>0.17582417582417584</c:v>
                </c:pt>
                <c:pt idx="30">
                  <c:v>0.21428571428571427</c:v>
                </c:pt>
                <c:pt idx="31">
                  <c:v>0.21428571428571427</c:v>
                </c:pt>
                <c:pt idx="32">
                  <c:v>0.21428571428571427</c:v>
                </c:pt>
                <c:pt idx="33">
                  <c:v>0.29395604395604397</c:v>
                </c:pt>
                <c:pt idx="34">
                  <c:v>0.29395604395604397</c:v>
                </c:pt>
                <c:pt idx="35">
                  <c:v>0.29395604395604397</c:v>
                </c:pt>
                <c:pt idx="36">
                  <c:v>0.38186813186813184</c:v>
                </c:pt>
                <c:pt idx="37">
                  <c:v>0.38186813186813184</c:v>
                </c:pt>
                <c:pt idx="38">
                  <c:v>0.38186813186813184</c:v>
                </c:pt>
                <c:pt idx="39">
                  <c:v>0.4642857142857143</c:v>
                </c:pt>
                <c:pt idx="40">
                  <c:v>0.4642857142857143</c:v>
                </c:pt>
                <c:pt idx="41">
                  <c:v>0.4642857142857143</c:v>
                </c:pt>
                <c:pt idx="42">
                  <c:v>0.53846153846153844</c:v>
                </c:pt>
                <c:pt idx="43">
                  <c:v>0.53846153846153844</c:v>
                </c:pt>
                <c:pt idx="44">
                  <c:v>0.53846153846153844</c:v>
                </c:pt>
                <c:pt idx="45">
                  <c:v>0.59615384615384615</c:v>
                </c:pt>
                <c:pt idx="46">
                  <c:v>0.59615384615384615</c:v>
                </c:pt>
                <c:pt idx="47">
                  <c:v>0.59615384615384615</c:v>
                </c:pt>
                <c:pt idx="48">
                  <c:v>0.60989010989010994</c:v>
                </c:pt>
                <c:pt idx="49">
                  <c:v>0.60989010989010994</c:v>
                </c:pt>
                <c:pt idx="50">
                  <c:v>0.60989010989010994</c:v>
                </c:pt>
                <c:pt idx="51">
                  <c:v>0.60989010989010994</c:v>
                </c:pt>
                <c:pt idx="52">
                  <c:v>0.60989010989010994</c:v>
                </c:pt>
                <c:pt idx="53">
                  <c:v>0.60989010989010994</c:v>
                </c:pt>
                <c:pt idx="54">
                  <c:v>0.60989010989010994</c:v>
                </c:pt>
                <c:pt idx="55">
                  <c:v>0.60989010989010994</c:v>
                </c:pt>
                <c:pt idx="56">
                  <c:v>0.60989010989010994</c:v>
                </c:pt>
                <c:pt idx="57">
                  <c:v>0.61813186813186816</c:v>
                </c:pt>
                <c:pt idx="58">
                  <c:v>0.61813186813186816</c:v>
                </c:pt>
                <c:pt idx="59">
                  <c:v>0.61813186813186816</c:v>
                </c:pt>
                <c:pt idx="60">
                  <c:v>0.64835164835164838</c:v>
                </c:pt>
                <c:pt idx="61">
                  <c:v>0.64835164835164838</c:v>
                </c:pt>
                <c:pt idx="62">
                  <c:v>0.64835164835164838</c:v>
                </c:pt>
                <c:pt idx="63">
                  <c:v>0.6785714285714286</c:v>
                </c:pt>
                <c:pt idx="64">
                  <c:v>0.6785714285714286</c:v>
                </c:pt>
                <c:pt idx="65">
                  <c:v>0.6785714285714286</c:v>
                </c:pt>
                <c:pt idx="66">
                  <c:v>0.7142857142857143</c:v>
                </c:pt>
                <c:pt idx="67">
                  <c:v>0.7142857142857143</c:v>
                </c:pt>
                <c:pt idx="68">
                  <c:v>0.7142857142857143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0.77472527472527475</c:v>
                </c:pt>
                <c:pt idx="73">
                  <c:v>0.77472527472527475</c:v>
                </c:pt>
                <c:pt idx="74">
                  <c:v>0.77472527472527475</c:v>
                </c:pt>
                <c:pt idx="75">
                  <c:v>0.80769230769230771</c:v>
                </c:pt>
                <c:pt idx="76">
                  <c:v>0.80769230769230771</c:v>
                </c:pt>
                <c:pt idx="77">
                  <c:v>0.80769230769230771</c:v>
                </c:pt>
                <c:pt idx="78">
                  <c:v>0.82967032967032972</c:v>
                </c:pt>
                <c:pt idx="79">
                  <c:v>0.82967032967032972</c:v>
                </c:pt>
                <c:pt idx="80">
                  <c:v>0.82967032967032972</c:v>
                </c:pt>
                <c:pt idx="81">
                  <c:v>0.85439560439560436</c:v>
                </c:pt>
                <c:pt idx="82">
                  <c:v>0.85439560439560436</c:v>
                </c:pt>
                <c:pt idx="83">
                  <c:v>0.85439560439560436</c:v>
                </c:pt>
                <c:pt idx="84">
                  <c:v>0.88461538461538458</c:v>
                </c:pt>
                <c:pt idx="85">
                  <c:v>0.88461538461538458</c:v>
                </c:pt>
                <c:pt idx="86">
                  <c:v>0.88461538461538458</c:v>
                </c:pt>
                <c:pt idx="87">
                  <c:v>0.89560439560439564</c:v>
                </c:pt>
                <c:pt idx="88">
                  <c:v>0.89560439560439564</c:v>
                </c:pt>
                <c:pt idx="89">
                  <c:v>0.89560439560439564</c:v>
                </c:pt>
                <c:pt idx="90">
                  <c:v>0.89560439560439564</c:v>
                </c:pt>
                <c:pt idx="91">
                  <c:v>0.89560439560439564</c:v>
                </c:pt>
                <c:pt idx="92">
                  <c:v>0.89560439560439564</c:v>
                </c:pt>
                <c:pt idx="93">
                  <c:v>0.89560439560439564</c:v>
                </c:pt>
                <c:pt idx="94">
                  <c:v>0.89560439560439564</c:v>
                </c:pt>
                <c:pt idx="95">
                  <c:v>0.89560439560439564</c:v>
                </c:pt>
                <c:pt idx="96">
                  <c:v>0.89560439560439564</c:v>
                </c:pt>
                <c:pt idx="97">
                  <c:v>0.89560439560439564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A1-4B2E-9DB9-E71ADF152DE1}"/>
            </c:ext>
          </c:extLst>
        </c:ser>
        <c:ser>
          <c:idx val="3"/>
          <c:order val="3"/>
          <c:tx>
            <c:strRef>
              <c:f>'3 способ'!$M$1</c:f>
              <c:strCache>
                <c:ptCount val="1"/>
                <c:pt idx="0">
                  <c:v>сл. 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'3 способ'!$I$2:$I$494</c:f>
              <c:numCache>
                <c:formatCode>General</c:formatCode>
                <c:ptCount val="49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4000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  <c:pt idx="53">
                  <c:v>5600</c:v>
                </c:pt>
                <c:pt idx="54">
                  <c:v>5700</c:v>
                </c:pt>
                <c:pt idx="55">
                  <c:v>5800</c:v>
                </c:pt>
                <c:pt idx="56">
                  <c:v>5900</c:v>
                </c:pt>
                <c:pt idx="57">
                  <c:v>6000</c:v>
                </c:pt>
                <c:pt idx="58">
                  <c:v>6100</c:v>
                </c:pt>
                <c:pt idx="59">
                  <c:v>6200</c:v>
                </c:pt>
                <c:pt idx="60">
                  <c:v>6300</c:v>
                </c:pt>
                <c:pt idx="61">
                  <c:v>6400</c:v>
                </c:pt>
                <c:pt idx="62">
                  <c:v>6500</c:v>
                </c:pt>
                <c:pt idx="63">
                  <c:v>6600</c:v>
                </c:pt>
                <c:pt idx="64">
                  <c:v>6700</c:v>
                </c:pt>
                <c:pt idx="65">
                  <c:v>6800</c:v>
                </c:pt>
                <c:pt idx="66">
                  <c:v>6900</c:v>
                </c:pt>
                <c:pt idx="67">
                  <c:v>7000</c:v>
                </c:pt>
                <c:pt idx="68">
                  <c:v>7100</c:v>
                </c:pt>
                <c:pt idx="69">
                  <c:v>7200</c:v>
                </c:pt>
                <c:pt idx="70">
                  <c:v>7300</c:v>
                </c:pt>
                <c:pt idx="71">
                  <c:v>7400</c:v>
                </c:pt>
                <c:pt idx="72">
                  <c:v>7500</c:v>
                </c:pt>
                <c:pt idx="73">
                  <c:v>7600</c:v>
                </c:pt>
                <c:pt idx="74">
                  <c:v>7700</c:v>
                </c:pt>
                <c:pt idx="75">
                  <c:v>7800</c:v>
                </c:pt>
                <c:pt idx="76">
                  <c:v>7900</c:v>
                </c:pt>
                <c:pt idx="77">
                  <c:v>8000</c:v>
                </c:pt>
                <c:pt idx="78">
                  <c:v>8100</c:v>
                </c:pt>
                <c:pt idx="79">
                  <c:v>8200</c:v>
                </c:pt>
                <c:pt idx="80">
                  <c:v>8300</c:v>
                </c:pt>
                <c:pt idx="81">
                  <c:v>8400</c:v>
                </c:pt>
                <c:pt idx="82">
                  <c:v>8500</c:v>
                </c:pt>
                <c:pt idx="83">
                  <c:v>8600</c:v>
                </c:pt>
                <c:pt idx="84">
                  <c:v>8700</c:v>
                </c:pt>
                <c:pt idx="85">
                  <c:v>8800</c:v>
                </c:pt>
                <c:pt idx="86">
                  <c:v>8900</c:v>
                </c:pt>
                <c:pt idx="87">
                  <c:v>9000</c:v>
                </c:pt>
                <c:pt idx="88">
                  <c:v>9100</c:v>
                </c:pt>
                <c:pt idx="89">
                  <c:v>9200</c:v>
                </c:pt>
                <c:pt idx="90">
                  <c:v>9300</c:v>
                </c:pt>
                <c:pt idx="91">
                  <c:v>9400</c:v>
                </c:pt>
                <c:pt idx="92">
                  <c:v>9500</c:v>
                </c:pt>
                <c:pt idx="93">
                  <c:v>9600</c:v>
                </c:pt>
                <c:pt idx="94">
                  <c:v>9700</c:v>
                </c:pt>
                <c:pt idx="95">
                  <c:v>9800</c:v>
                </c:pt>
                <c:pt idx="96">
                  <c:v>9900</c:v>
                </c:pt>
                <c:pt idx="97">
                  <c:v>10000</c:v>
                </c:pt>
              </c:numCache>
            </c:numRef>
          </c:xVal>
          <c:yVal>
            <c:numRef>
              <c:f>'3 способ'!$M$2:$M$494</c:f>
              <c:numCache>
                <c:formatCode>0.0%</c:formatCode>
                <c:ptCount val="4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2.197802197802198E-2</c:v>
                </c:pt>
                <c:pt idx="33">
                  <c:v>2.197802197802198E-2</c:v>
                </c:pt>
                <c:pt idx="34">
                  <c:v>2.197802197802198E-2</c:v>
                </c:pt>
                <c:pt idx="35">
                  <c:v>2.197802197802198E-2</c:v>
                </c:pt>
                <c:pt idx="36">
                  <c:v>2.197802197802198E-2</c:v>
                </c:pt>
                <c:pt idx="37">
                  <c:v>7.1428571428571425E-2</c:v>
                </c:pt>
                <c:pt idx="38">
                  <c:v>7.1428571428571425E-2</c:v>
                </c:pt>
                <c:pt idx="39">
                  <c:v>7.1428571428571425E-2</c:v>
                </c:pt>
                <c:pt idx="40">
                  <c:v>7.1428571428571425E-2</c:v>
                </c:pt>
                <c:pt idx="41">
                  <c:v>7.1428571428571425E-2</c:v>
                </c:pt>
                <c:pt idx="42">
                  <c:v>0.11538461538461539</c:v>
                </c:pt>
                <c:pt idx="43">
                  <c:v>0.11538461538461539</c:v>
                </c:pt>
                <c:pt idx="44">
                  <c:v>0.11538461538461539</c:v>
                </c:pt>
                <c:pt idx="45">
                  <c:v>0.11538461538461539</c:v>
                </c:pt>
                <c:pt idx="46">
                  <c:v>0.11538461538461539</c:v>
                </c:pt>
                <c:pt idx="47">
                  <c:v>0.17032967032967034</c:v>
                </c:pt>
                <c:pt idx="48">
                  <c:v>0.17032967032967034</c:v>
                </c:pt>
                <c:pt idx="49">
                  <c:v>0.17032967032967034</c:v>
                </c:pt>
                <c:pt idx="50">
                  <c:v>0.17032967032967034</c:v>
                </c:pt>
                <c:pt idx="51">
                  <c:v>0.17032967032967034</c:v>
                </c:pt>
                <c:pt idx="52">
                  <c:v>0.19780219780219779</c:v>
                </c:pt>
                <c:pt idx="53">
                  <c:v>0.19780219780219779</c:v>
                </c:pt>
                <c:pt idx="54">
                  <c:v>0.19780219780219779</c:v>
                </c:pt>
                <c:pt idx="55">
                  <c:v>0.19780219780219779</c:v>
                </c:pt>
                <c:pt idx="56">
                  <c:v>0.19780219780219779</c:v>
                </c:pt>
                <c:pt idx="57">
                  <c:v>0.29945054945054944</c:v>
                </c:pt>
                <c:pt idx="58">
                  <c:v>0.29945054945054944</c:v>
                </c:pt>
                <c:pt idx="59">
                  <c:v>0.29945054945054944</c:v>
                </c:pt>
                <c:pt idx="60">
                  <c:v>0.29945054945054944</c:v>
                </c:pt>
                <c:pt idx="61">
                  <c:v>0.29945054945054944</c:v>
                </c:pt>
                <c:pt idx="62">
                  <c:v>0.39010989010989011</c:v>
                </c:pt>
                <c:pt idx="63">
                  <c:v>0.39010989010989011</c:v>
                </c:pt>
                <c:pt idx="64">
                  <c:v>0.39010989010989011</c:v>
                </c:pt>
                <c:pt idx="65">
                  <c:v>0.39010989010989011</c:v>
                </c:pt>
                <c:pt idx="66">
                  <c:v>0.39010989010989011</c:v>
                </c:pt>
                <c:pt idx="67">
                  <c:v>0.48901098901098899</c:v>
                </c:pt>
                <c:pt idx="68">
                  <c:v>0.48901098901098899</c:v>
                </c:pt>
                <c:pt idx="69">
                  <c:v>0.48901098901098899</c:v>
                </c:pt>
                <c:pt idx="70">
                  <c:v>0.48901098901098899</c:v>
                </c:pt>
                <c:pt idx="71">
                  <c:v>0.48901098901098899</c:v>
                </c:pt>
                <c:pt idx="72">
                  <c:v>0.56318681318681318</c:v>
                </c:pt>
                <c:pt idx="73">
                  <c:v>0.56318681318681318</c:v>
                </c:pt>
                <c:pt idx="74">
                  <c:v>0.56318681318681318</c:v>
                </c:pt>
                <c:pt idx="75">
                  <c:v>0.56318681318681318</c:v>
                </c:pt>
                <c:pt idx="76">
                  <c:v>0.56318681318681318</c:v>
                </c:pt>
                <c:pt idx="77">
                  <c:v>0.60989010989010994</c:v>
                </c:pt>
                <c:pt idx="78">
                  <c:v>0.60989010989010994</c:v>
                </c:pt>
                <c:pt idx="79">
                  <c:v>0.60989010989010994</c:v>
                </c:pt>
                <c:pt idx="80">
                  <c:v>0.60989010989010994</c:v>
                </c:pt>
                <c:pt idx="81">
                  <c:v>0.60989010989010994</c:v>
                </c:pt>
                <c:pt idx="82">
                  <c:v>0.60989010989010994</c:v>
                </c:pt>
                <c:pt idx="83">
                  <c:v>0.60989010989010994</c:v>
                </c:pt>
                <c:pt idx="84">
                  <c:v>0.60989010989010994</c:v>
                </c:pt>
                <c:pt idx="85">
                  <c:v>0.60989010989010994</c:v>
                </c:pt>
                <c:pt idx="86">
                  <c:v>0.60989010989010994</c:v>
                </c:pt>
                <c:pt idx="87">
                  <c:v>0.60989010989010994</c:v>
                </c:pt>
                <c:pt idx="88">
                  <c:v>0.60989010989010994</c:v>
                </c:pt>
                <c:pt idx="89">
                  <c:v>0.60989010989010994</c:v>
                </c:pt>
                <c:pt idx="90">
                  <c:v>0.60989010989010994</c:v>
                </c:pt>
                <c:pt idx="91">
                  <c:v>0.60989010989010994</c:v>
                </c:pt>
                <c:pt idx="92">
                  <c:v>0.60989010989010994</c:v>
                </c:pt>
                <c:pt idx="93">
                  <c:v>0.60989010989010994</c:v>
                </c:pt>
                <c:pt idx="94">
                  <c:v>0.60989010989010994</c:v>
                </c:pt>
                <c:pt idx="95">
                  <c:v>0.60989010989010994</c:v>
                </c:pt>
                <c:pt idx="96">
                  <c:v>0.60989010989010994</c:v>
                </c:pt>
                <c:pt idx="97">
                  <c:v>0.62912087912087911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A1-4B2E-9DB9-E71ADF152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290192"/>
        <c:axId val="1691298096"/>
      </c:scatterChart>
      <c:valAx>
        <c:axId val="1691290192"/>
        <c:scaling>
          <c:orientation val="minMax"/>
          <c:max val="50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298096"/>
        <c:crosses val="autoZero"/>
        <c:crossBetween val="midCat"/>
        <c:majorUnit val="200"/>
      </c:valAx>
      <c:valAx>
        <c:axId val="1691298096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29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 способ'!$A$1</c:f>
              <c:strCache>
                <c:ptCount val="1"/>
                <c:pt idx="0">
                  <c:v>сл.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 способ'!$F$2:$F$23</c:f>
              <c:numCache>
                <c:formatCode>General</c:formatCode>
                <c:ptCount val="22"/>
                <c:pt idx="0">
                  <c:v>2500</c:v>
                </c:pt>
                <c:pt idx="1">
                  <c:v>2400</c:v>
                </c:pt>
                <c:pt idx="2">
                  <c:v>2300</c:v>
                </c:pt>
                <c:pt idx="3">
                  <c:v>2200</c:v>
                </c:pt>
                <c:pt idx="4">
                  <c:v>2100</c:v>
                </c:pt>
                <c:pt idx="5">
                  <c:v>2000</c:v>
                </c:pt>
                <c:pt idx="6">
                  <c:v>1900</c:v>
                </c:pt>
                <c:pt idx="7">
                  <c:v>1800</c:v>
                </c:pt>
                <c:pt idx="8">
                  <c:v>1700</c:v>
                </c:pt>
                <c:pt idx="9">
                  <c:v>1600</c:v>
                </c:pt>
                <c:pt idx="10">
                  <c:v>1500</c:v>
                </c:pt>
                <c:pt idx="11">
                  <c:v>1400</c:v>
                </c:pt>
                <c:pt idx="12">
                  <c:v>1300</c:v>
                </c:pt>
                <c:pt idx="13">
                  <c:v>1200</c:v>
                </c:pt>
                <c:pt idx="14">
                  <c:v>1100</c:v>
                </c:pt>
                <c:pt idx="15">
                  <c:v>1000</c:v>
                </c:pt>
                <c:pt idx="16">
                  <c:v>900</c:v>
                </c:pt>
                <c:pt idx="17">
                  <c:v>800</c:v>
                </c:pt>
                <c:pt idx="18">
                  <c:v>700</c:v>
                </c:pt>
                <c:pt idx="19">
                  <c:v>600</c:v>
                </c:pt>
                <c:pt idx="20">
                  <c:v>500</c:v>
                </c:pt>
                <c:pt idx="21">
                  <c:v>400</c:v>
                </c:pt>
              </c:numCache>
            </c:numRef>
          </c:xVal>
          <c:yVal>
            <c:numRef>
              <c:f>'4 способ'!$G$2:$G$23</c:f>
              <c:numCache>
                <c:formatCode>0.00%</c:formatCode>
                <c:ptCount val="22"/>
                <c:pt idx="0">
                  <c:v>4.7169811320754715E-3</c:v>
                </c:pt>
                <c:pt idx="1">
                  <c:v>2.6729559748427674E-2</c:v>
                </c:pt>
                <c:pt idx="2">
                  <c:v>5.0314465408805034E-2</c:v>
                </c:pt>
                <c:pt idx="3">
                  <c:v>5.9748427672955975E-2</c:v>
                </c:pt>
                <c:pt idx="4">
                  <c:v>7.5471698113207544E-2</c:v>
                </c:pt>
                <c:pt idx="5">
                  <c:v>0.11006289308176101</c:v>
                </c:pt>
                <c:pt idx="6">
                  <c:v>0.1650943396226415</c:v>
                </c:pt>
                <c:pt idx="7">
                  <c:v>0.2279874213836478</c:v>
                </c:pt>
                <c:pt idx="8">
                  <c:v>0.29716981132075471</c:v>
                </c:pt>
                <c:pt idx="9">
                  <c:v>0.36792452830188677</c:v>
                </c:pt>
                <c:pt idx="10">
                  <c:v>0.41823899371069184</c:v>
                </c:pt>
                <c:pt idx="11">
                  <c:v>0.47169811320754718</c:v>
                </c:pt>
                <c:pt idx="12">
                  <c:v>0.52044025157232709</c:v>
                </c:pt>
                <c:pt idx="13">
                  <c:v>0.57861635220125784</c:v>
                </c:pt>
                <c:pt idx="14">
                  <c:v>0.62421383647798745</c:v>
                </c:pt>
                <c:pt idx="15">
                  <c:v>0.67610062893081757</c:v>
                </c:pt>
                <c:pt idx="16">
                  <c:v>0.71855345911949686</c:v>
                </c:pt>
                <c:pt idx="17">
                  <c:v>0.7720125786163522</c:v>
                </c:pt>
                <c:pt idx="18">
                  <c:v>0.83805031446540879</c:v>
                </c:pt>
                <c:pt idx="19">
                  <c:v>0.91823899371069184</c:v>
                </c:pt>
                <c:pt idx="20">
                  <c:v>0.97327044025157228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64-4FB7-9D07-4A9242DDE200}"/>
            </c:ext>
          </c:extLst>
        </c:ser>
        <c:ser>
          <c:idx val="1"/>
          <c:order val="1"/>
          <c:tx>
            <c:strRef>
              <c:f>'4 способ'!$B$1</c:f>
              <c:strCache>
                <c:ptCount val="1"/>
                <c:pt idx="0">
                  <c:v>Дешево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 способ'!$I$2:$I$25</c:f>
              <c:numCache>
                <c:formatCode>General</c:formatCode>
                <c:ptCount val="24"/>
                <c:pt idx="0">
                  <c:v>6000</c:v>
                </c:pt>
                <c:pt idx="1">
                  <c:v>5800</c:v>
                </c:pt>
                <c:pt idx="2">
                  <c:v>5600</c:v>
                </c:pt>
                <c:pt idx="3">
                  <c:v>5400</c:v>
                </c:pt>
                <c:pt idx="4">
                  <c:v>5200</c:v>
                </c:pt>
                <c:pt idx="5">
                  <c:v>5000</c:v>
                </c:pt>
                <c:pt idx="6">
                  <c:v>4800</c:v>
                </c:pt>
                <c:pt idx="7">
                  <c:v>4600</c:v>
                </c:pt>
                <c:pt idx="8">
                  <c:v>4400</c:v>
                </c:pt>
                <c:pt idx="9">
                  <c:v>4200</c:v>
                </c:pt>
                <c:pt idx="10">
                  <c:v>4000</c:v>
                </c:pt>
                <c:pt idx="11">
                  <c:v>3800</c:v>
                </c:pt>
                <c:pt idx="12">
                  <c:v>3600</c:v>
                </c:pt>
                <c:pt idx="13">
                  <c:v>3400</c:v>
                </c:pt>
                <c:pt idx="14">
                  <c:v>3200</c:v>
                </c:pt>
                <c:pt idx="15">
                  <c:v>3000</c:v>
                </c:pt>
                <c:pt idx="16">
                  <c:v>2400</c:v>
                </c:pt>
                <c:pt idx="17">
                  <c:v>2200</c:v>
                </c:pt>
                <c:pt idx="18">
                  <c:v>2000</c:v>
                </c:pt>
                <c:pt idx="19">
                  <c:v>1800</c:v>
                </c:pt>
                <c:pt idx="20">
                  <c:v>1600</c:v>
                </c:pt>
                <c:pt idx="21">
                  <c:v>1400</c:v>
                </c:pt>
                <c:pt idx="22">
                  <c:v>1200</c:v>
                </c:pt>
                <c:pt idx="23">
                  <c:v>1000</c:v>
                </c:pt>
              </c:numCache>
            </c:numRef>
          </c:xVal>
          <c:yVal>
            <c:numRef>
              <c:f>'4 способ'!$J$2:$J$25</c:f>
              <c:numCache>
                <c:formatCode>0.00%</c:formatCode>
                <c:ptCount val="24"/>
                <c:pt idx="0">
                  <c:v>4.7169811320754715E-3</c:v>
                </c:pt>
                <c:pt idx="1">
                  <c:v>2.0440251572327043E-2</c:v>
                </c:pt>
                <c:pt idx="2">
                  <c:v>4.2452830188679243E-2</c:v>
                </c:pt>
                <c:pt idx="3">
                  <c:v>8.1761006289308172E-2</c:v>
                </c:pt>
                <c:pt idx="4">
                  <c:v>0.11792452830188679</c:v>
                </c:pt>
                <c:pt idx="5">
                  <c:v>0.18081761006289307</c:v>
                </c:pt>
                <c:pt idx="6">
                  <c:v>0.24371069182389937</c:v>
                </c:pt>
                <c:pt idx="7">
                  <c:v>0.29874213836477986</c:v>
                </c:pt>
                <c:pt idx="8">
                  <c:v>0.36477987421383645</c:v>
                </c:pt>
                <c:pt idx="9">
                  <c:v>0.43710691823899372</c:v>
                </c:pt>
                <c:pt idx="10">
                  <c:v>0.49842767295597484</c:v>
                </c:pt>
                <c:pt idx="11">
                  <c:v>0.54874213836477992</c:v>
                </c:pt>
                <c:pt idx="12">
                  <c:v>0.59905660377358494</c:v>
                </c:pt>
                <c:pt idx="13">
                  <c:v>0.62735849056603776</c:v>
                </c:pt>
                <c:pt idx="14">
                  <c:v>0.64622641509433965</c:v>
                </c:pt>
                <c:pt idx="15">
                  <c:v>0.6588050314465409</c:v>
                </c:pt>
                <c:pt idx="16">
                  <c:v>0.69811320754716977</c:v>
                </c:pt>
                <c:pt idx="17">
                  <c:v>0.71698113207547165</c:v>
                </c:pt>
                <c:pt idx="18">
                  <c:v>0.75</c:v>
                </c:pt>
                <c:pt idx="19">
                  <c:v>0.79874213836477992</c:v>
                </c:pt>
                <c:pt idx="20">
                  <c:v>0.88207547169811318</c:v>
                </c:pt>
                <c:pt idx="21">
                  <c:v>0.9323899371069182</c:v>
                </c:pt>
                <c:pt idx="22">
                  <c:v>0.97955974842767291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64-4FB7-9D07-4A9242DDE200}"/>
            </c:ext>
          </c:extLst>
        </c:ser>
        <c:ser>
          <c:idx val="2"/>
          <c:order val="2"/>
          <c:tx>
            <c:strRef>
              <c:f>'4 способ'!$C$1</c:f>
              <c:strCache>
                <c:ptCount val="1"/>
                <c:pt idx="0">
                  <c:v>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 способ'!$L$2:$L$31</c:f>
              <c:numCache>
                <c:formatCode>General</c:formatCode>
                <c:ptCount val="30"/>
                <c:pt idx="0">
                  <c:v>2400</c:v>
                </c:pt>
                <c:pt idx="1">
                  <c:v>2700</c:v>
                </c:pt>
                <c:pt idx="2">
                  <c:v>3000</c:v>
                </c:pt>
                <c:pt idx="3">
                  <c:v>3300</c:v>
                </c:pt>
                <c:pt idx="4">
                  <c:v>3600</c:v>
                </c:pt>
                <c:pt idx="5">
                  <c:v>3900</c:v>
                </c:pt>
                <c:pt idx="6">
                  <c:v>4200</c:v>
                </c:pt>
                <c:pt idx="7">
                  <c:v>4500</c:v>
                </c:pt>
                <c:pt idx="8">
                  <c:v>4800</c:v>
                </c:pt>
                <c:pt idx="9">
                  <c:v>5100</c:v>
                </c:pt>
                <c:pt idx="10">
                  <c:v>5400</c:v>
                </c:pt>
                <c:pt idx="11">
                  <c:v>5700</c:v>
                </c:pt>
                <c:pt idx="12">
                  <c:v>6000</c:v>
                </c:pt>
                <c:pt idx="13">
                  <c:v>7200</c:v>
                </c:pt>
                <c:pt idx="14">
                  <c:v>7500</c:v>
                </c:pt>
                <c:pt idx="15">
                  <c:v>7800</c:v>
                </c:pt>
                <c:pt idx="16">
                  <c:v>8100</c:v>
                </c:pt>
                <c:pt idx="17">
                  <c:v>8400</c:v>
                </c:pt>
                <c:pt idx="18">
                  <c:v>8700</c:v>
                </c:pt>
                <c:pt idx="19">
                  <c:v>9000</c:v>
                </c:pt>
                <c:pt idx="20">
                  <c:v>9300</c:v>
                </c:pt>
                <c:pt idx="21">
                  <c:v>9600</c:v>
                </c:pt>
                <c:pt idx="22">
                  <c:v>9900</c:v>
                </c:pt>
                <c:pt idx="23">
                  <c:v>10200</c:v>
                </c:pt>
                <c:pt idx="24">
                  <c:v>10500</c:v>
                </c:pt>
                <c:pt idx="25">
                  <c:v>10800</c:v>
                </c:pt>
                <c:pt idx="26">
                  <c:v>11100</c:v>
                </c:pt>
                <c:pt idx="27">
                  <c:v>11400</c:v>
                </c:pt>
                <c:pt idx="28">
                  <c:v>11700</c:v>
                </c:pt>
                <c:pt idx="29">
                  <c:v>12000</c:v>
                </c:pt>
              </c:numCache>
            </c:numRef>
          </c:xVal>
          <c:yVal>
            <c:numRef>
              <c:f>'4 способ'!$M$2:$M$31</c:f>
              <c:numCache>
                <c:formatCode>0.00%</c:formatCode>
                <c:ptCount val="30"/>
                <c:pt idx="0">
                  <c:v>7.8616352201257862E-3</c:v>
                </c:pt>
                <c:pt idx="1">
                  <c:v>8.1761006289308172E-2</c:v>
                </c:pt>
                <c:pt idx="2">
                  <c:v>0.13679245283018868</c:v>
                </c:pt>
                <c:pt idx="3">
                  <c:v>0.18553459119496854</c:v>
                </c:pt>
                <c:pt idx="4">
                  <c:v>0.19025157232704404</c:v>
                </c:pt>
                <c:pt idx="5">
                  <c:v>0.1918238993710692</c:v>
                </c:pt>
                <c:pt idx="6">
                  <c:v>0.20440251572327045</c:v>
                </c:pt>
                <c:pt idx="7">
                  <c:v>0.22327044025157233</c:v>
                </c:pt>
                <c:pt idx="8">
                  <c:v>0.24842767295597484</c:v>
                </c:pt>
                <c:pt idx="9">
                  <c:v>0.27672955974842767</c:v>
                </c:pt>
                <c:pt idx="10">
                  <c:v>0.30188679245283018</c:v>
                </c:pt>
                <c:pt idx="11">
                  <c:v>0.32547169811320753</c:v>
                </c:pt>
                <c:pt idx="12">
                  <c:v>0.3411949685534591</c:v>
                </c:pt>
                <c:pt idx="13">
                  <c:v>0.36477987421383645</c:v>
                </c:pt>
                <c:pt idx="14">
                  <c:v>0.38364779874213839</c:v>
                </c:pt>
                <c:pt idx="15">
                  <c:v>0.41194968553459121</c:v>
                </c:pt>
                <c:pt idx="16">
                  <c:v>0.45754716981132076</c:v>
                </c:pt>
                <c:pt idx="17">
                  <c:v>0.52358490566037741</c:v>
                </c:pt>
                <c:pt idx="18">
                  <c:v>0.57075471698113212</c:v>
                </c:pt>
                <c:pt idx="19">
                  <c:v>0.63207547169811318</c:v>
                </c:pt>
                <c:pt idx="20">
                  <c:v>0.6808176100628931</c:v>
                </c:pt>
                <c:pt idx="21">
                  <c:v>0.74685534591194969</c:v>
                </c:pt>
                <c:pt idx="22">
                  <c:v>0.80974842767295596</c:v>
                </c:pt>
                <c:pt idx="23">
                  <c:v>0.84433962264150941</c:v>
                </c:pt>
                <c:pt idx="24">
                  <c:v>0.89150943396226412</c:v>
                </c:pt>
                <c:pt idx="25">
                  <c:v>0.9308176100628931</c:v>
                </c:pt>
                <c:pt idx="26">
                  <c:v>0.95440251572327039</c:v>
                </c:pt>
                <c:pt idx="27">
                  <c:v>0.98270440251572322</c:v>
                </c:pt>
                <c:pt idx="28">
                  <c:v>0.99528301886792447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64-4FB7-9D07-4A9242DDE200}"/>
            </c:ext>
          </c:extLst>
        </c:ser>
        <c:ser>
          <c:idx val="3"/>
          <c:order val="3"/>
          <c:tx>
            <c:strRef>
              <c:f>'4 способ'!$D$1</c:f>
              <c:strCache>
                <c:ptCount val="1"/>
                <c:pt idx="0">
                  <c:v>Сл.Дорого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 способ'!$O$2:$O$30</c:f>
              <c:numCache>
                <c:formatCode>General</c:formatCode>
                <c:ptCount val="29"/>
                <c:pt idx="0">
                  <c:v>4000</c:v>
                </c:pt>
                <c:pt idx="1">
                  <c:v>4500</c:v>
                </c:pt>
                <c:pt idx="2">
                  <c:v>5000</c:v>
                </c:pt>
                <c:pt idx="3">
                  <c:v>5500</c:v>
                </c:pt>
                <c:pt idx="4">
                  <c:v>6000</c:v>
                </c:pt>
                <c:pt idx="5">
                  <c:v>7000</c:v>
                </c:pt>
                <c:pt idx="6">
                  <c:v>7500</c:v>
                </c:pt>
                <c:pt idx="7">
                  <c:v>8000</c:v>
                </c:pt>
                <c:pt idx="8">
                  <c:v>8500</c:v>
                </c:pt>
                <c:pt idx="9">
                  <c:v>9000</c:v>
                </c:pt>
                <c:pt idx="10">
                  <c:v>9500</c:v>
                </c:pt>
                <c:pt idx="11">
                  <c:v>10000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  <c:pt idx="15">
                  <c:v>13500</c:v>
                </c:pt>
                <c:pt idx="16">
                  <c:v>14000</c:v>
                </c:pt>
                <c:pt idx="17">
                  <c:v>14500</c:v>
                </c:pt>
                <c:pt idx="18">
                  <c:v>15000</c:v>
                </c:pt>
                <c:pt idx="19">
                  <c:v>15500</c:v>
                </c:pt>
                <c:pt idx="20">
                  <c:v>16000</c:v>
                </c:pt>
                <c:pt idx="21">
                  <c:v>16500</c:v>
                </c:pt>
                <c:pt idx="22">
                  <c:v>17000</c:v>
                </c:pt>
                <c:pt idx="23">
                  <c:v>17500</c:v>
                </c:pt>
                <c:pt idx="24">
                  <c:v>18000</c:v>
                </c:pt>
                <c:pt idx="25">
                  <c:v>18500</c:v>
                </c:pt>
                <c:pt idx="26">
                  <c:v>19000</c:v>
                </c:pt>
                <c:pt idx="27">
                  <c:v>19500</c:v>
                </c:pt>
                <c:pt idx="28">
                  <c:v>20000</c:v>
                </c:pt>
              </c:numCache>
            </c:numRef>
          </c:xVal>
          <c:yVal>
            <c:numRef>
              <c:f>'4 способ'!$P$2:$P$30</c:f>
              <c:numCache>
                <c:formatCode>0.00%</c:formatCode>
                <c:ptCount val="29"/>
                <c:pt idx="0">
                  <c:v>3.3018867924528301E-2</c:v>
                </c:pt>
                <c:pt idx="1">
                  <c:v>8.6477987421383642E-2</c:v>
                </c:pt>
                <c:pt idx="2">
                  <c:v>0.13050314465408805</c:v>
                </c:pt>
                <c:pt idx="3">
                  <c:v>0.1650943396226415</c:v>
                </c:pt>
                <c:pt idx="4">
                  <c:v>0.19025157232704404</c:v>
                </c:pt>
                <c:pt idx="5">
                  <c:v>0.20283018867924529</c:v>
                </c:pt>
                <c:pt idx="6">
                  <c:v>0.22955974842767296</c:v>
                </c:pt>
                <c:pt idx="7">
                  <c:v>0.25471698113207547</c:v>
                </c:pt>
                <c:pt idx="8">
                  <c:v>0.27987421383647798</c:v>
                </c:pt>
                <c:pt idx="9">
                  <c:v>0.30188679245283018</c:v>
                </c:pt>
                <c:pt idx="10">
                  <c:v>0.33176100628930816</c:v>
                </c:pt>
                <c:pt idx="11">
                  <c:v>0.3411949685534591</c:v>
                </c:pt>
                <c:pt idx="12">
                  <c:v>0.3632075471698113</c:v>
                </c:pt>
                <c:pt idx="13">
                  <c:v>0.40723270440251574</c:v>
                </c:pt>
                <c:pt idx="14">
                  <c:v>0.46855345911949686</c:v>
                </c:pt>
                <c:pt idx="15">
                  <c:v>0.53144654088050314</c:v>
                </c:pt>
                <c:pt idx="16">
                  <c:v>0.59591194968553463</c:v>
                </c:pt>
                <c:pt idx="17">
                  <c:v>0.6588050314465409</c:v>
                </c:pt>
                <c:pt idx="18">
                  <c:v>0.70754716981132071</c:v>
                </c:pt>
                <c:pt idx="19">
                  <c:v>0.75157232704402521</c:v>
                </c:pt>
                <c:pt idx="20">
                  <c:v>0.78930817610062898</c:v>
                </c:pt>
                <c:pt idx="21">
                  <c:v>0.82547169811320753</c:v>
                </c:pt>
                <c:pt idx="22">
                  <c:v>0.85691823899371067</c:v>
                </c:pt>
                <c:pt idx="23">
                  <c:v>0.90251572327044027</c:v>
                </c:pt>
                <c:pt idx="24">
                  <c:v>0.94182389937106914</c:v>
                </c:pt>
                <c:pt idx="25">
                  <c:v>0.95440251572327039</c:v>
                </c:pt>
                <c:pt idx="26">
                  <c:v>0.96855345911949686</c:v>
                </c:pt>
                <c:pt idx="27">
                  <c:v>0.98899371069182385</c:v>
                </c:pt>
                <c:pt idx="2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64-4FB7-9D07-4A9242DDE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58560"/>
        <c:axId val="1361158976"/>
      </c:scatterChart>
      <c:valAx>
        <c:axId val="136115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158976"/>
        <c:crosses val="autoZero"/>
        <c:crossBetween val="midCat"/>
      </c:valAx>
      <c:valAx>
        <c:axId val="136115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15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 способ'!$A$1</c:f>
              <c:strCache>
                <c:ptCount val="1"/>
                <c:pt idx="0">
                  <c:v>сл.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 способ'!$F$2:$F$23</c:f>
              <c:numCache>
                <c:formatCode>General</c:formatCode>
                <c:ptCount val="22"/>
                <c:pt idx="0">
                  <c:v>2500</c:v>
                </c:pt>
                <c:pt idx="1">
                  <c:v>2400</c:v>
                </c:pt>
                <c:pt idx="2">
                  <c:v>2300</c:v>
                </c:pt>
                <c:pt idx="3">
                  <c:v>2200</c:v>
                </c:pt>
                <c:pt idx="4">
                  <c:v>2100</c:v>
                </c:pt>
                <c:pt idx="5">
                  <c:v>2000</c:v>
                </c:pt>
                <c:pt idx="6">
                  <c:v>1900</c:v>
                </c:pt>
                <c:pt idx="7">
                  <c:v>1800</c:v>
                </c:pt>
                <c:pt idx="8">
                  <c:v>1700</c:v>
                </c:pt>
                <c:pt idx="9">
                  <c:v>1600</c:v>
                </c:pt>
                <c:pt idx="10">
                  <c:v>1500</c:v>
                </c:pt>
                <c:pt idx="11">
                  <c:v>1400</c:v>
                </c:pt>
                <c:pt idx="12">
                  <c:v>1300</c:v>
                </c:pt>
                <c:pt idx="13">
                  <c:v>1200</c:v>
                </c:pt>
                <c:pt idx="14">
                  <c:v>1100</c:v>
                </c:pt>
                <c:pt idx="15">
                  <c:v>1000</c:v>
                </c:pt>
                <c:pt idx="16">
                  <c:v>900</c:v>
                </c:pt>
                <c:pt idx="17">
                  <c:v>800</c:v>
                </c:pt>
                <c:pt idx="18">
                  <c:v>700</c:v>
                </c:pt>
                <c:pt idx="19">
                  <c:v>600</c:v>
                </c:pt>
                <c:pt idx="20">
                  <c:v>500</c:v>
                </c:pt>
                <c:pt idx="21">
                  <c:v>400</c:v>
                </c:pt>
              </c:numCache>
            </c:numRef>
          </c:xVal>
          <c:yVal>
            <c:numRef>
              <c:f>'4 способ'!$G$2:$G$23</c:f>
              <c:numCache>
                <c:formatCode>0.00%</c:formatCode>
                <c:ptCount val="22"/>
                <c:pt idx="0">
                  <c:v>4.7169811320754715E-3</c:v>
                </c:pt>
                <c:pt idx="1">
                  <c:v>2.6729559748427674E-2</c:v>
                </c:pt>
                <c:pt idx="2">
                  <c:v>5.0314465408805034E-2</c:v>
                </c:pt>
                <c:pt idx="3">
                  <c:v>5.9748427672955975E-2</c:v>
                </c:pt>
                <c:pt idx="4">
                  <c:v>7.5471698113207544E-2</c:v>
                </c:pt>
                <c:pt idx="5">
                  <c:v>0.11006289308176101</c:v>
                </c:pt>
                <c:pt idx="6">
                  <c:v>0.1650943396226415</c:v>
                </c:pt>
                <c:pt idx="7">
                  <c:v>0.2279874213836478</c:v>
                </c:pt>
                <c:pt idx="8">
                  <c:v>0.29716981132075471</c:v>
                </c:pt>
                <c:pt idx="9">
                  <c:v>0.36792452830188677</c:v>
                </c:pt>
                <c:pt idx="10">
                  <c:v>0.41823899371069184</c:v>
                </c:pt>
                <c:pt idx="11">
                  <c:v>0.47169811320754718</c:v>
                </c:pt>
                <c:pt idx="12">
                  <c:v>0.52044025157232709</c:v>
                </c:pt>
                <c:pt idx="13">
                  <c:v>0.57861635220125784</c:v>
                </c:pt>
                <c:pt idx="14">
                  <c:v>0.62421383647798745</c:v>
                </c:pt>
                <c:pt idx="15">
                  <c:v>0.67610062893081757</c:v>
                </c:pt>
                <c:pt idx="16">
                  <c:v>0.71855345911949686</c:v>
                </c:pt>
                <c:pt idx="17">
                  <c:v>0.7720125786163522</c:v>
                </c:pt>
                <c:pt idx="18">
                  <c:v>0.83805031446540879</c:v>
                </c:pt>
                <c:pt idx="19">
                  <c:v>0.91823899371069184</c:v>
                </c:pt>
                <c:pt idx="20">
                  <c:v>0.97327044025157228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6-42D9-9921-D635A7C504C1}"/>
            </c:ext>
          </c:extLst>
        </c:ser>
        <c:ser>
          <c:idx val="1"/>
          <c:order val="1"/>
          <c:tx>
            <c:strRef>
              <c:f>'4 способ'!$B$1</c:f>
              <c:strCache>
                <c:ptCount val="1"/>
                <c:pt idx="0">
                  <c:v>Дешево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 способ'!$I$2:$I$25</c:f>
              <c:numCache>
                <c:formatCode>General</c:formatCode>
                <c:ptCount val="24"/>
                <c:pt idx="0">
                  <c:v>6000</c:v>
                </c:pt>
                <c:pt idx="1">
                  <c:v>5800</c:v>
                </c:pt>
                <c:pt idx="2">
                  <c:v>5600</c:v>
                </c:pt>
                <c:pt idx="3">
                  <c:v>5400</c:v>
                </c:pt>
                <c:pt idx="4">
                  <c:v>5200</c:v>
                </c:pt>
                <c:pt idx="5">
                  <c:v>5000</c:v>
                </c:pt>
                <c:pt idx="6">
                  <c:v>4800</c:v>
                </c:pt>
                <c:pt idx="7">
                  <c:v>4600</c:v>
                </c:pt>
                <c:pt idx="8">
                  <c:v>4400</c:v>
                </c:pt>
                <c:pt idx="9">
                  <c:v>4200</c:v>
                </c:pt>
                <c:pt idx="10">
                  <c:v>4000</c:v>
                </c:pt>
                <c:pt idx="11">
                  <c:v>3800</c:v>
                </c:pt>
                <c:pt idx="12">
                  <c:v>3600</c:v>
                </c:pt>
                <c:pt idx="13">
                  <c:v>3400</c:v>
                </c:pt>
                <c:pt idx="14">
                  <c:v>3200</c:v>
                </c:pt>
                <c:pt idx="15">
                  <c:v>3000</c:v>
                </c:pt>
                <c:pt idx="16">
                  <c:v>2400</c:v>
                </c:pt>
                <c:pt idx="17">
                  <c:v>2200</c:v>
                </c:pt>
                <c:pt idx="18">
                  <c:v>2000</c:v>
                </c:pt>
                <c:pt idx="19">
                  <c:v>1800</c:v>
                </c:pt>
                <c:pt idx="20">
                  <c:v>1600</c:v>
                </c:pt>
                <c:pt idx="21">
                  <c:v>1400</c:v>
                </c:pt>
                <c:pt idx="22">
                  <c:v>1200</c:v>
                </c:pt>
                <c:pt idx="23">
                  <c:v>1000</c:v>
                </c:pt>
              </c:numCache>
            </c:numRef>
          </c:xVal>
          <c:yVal>
            <c:numRef>
              <c:f>'4 способ'!$J$2:$J$25</c:f>
              <c:numCache>
                <c:formatCode>0.00%</c:formatCode>
                <c:ptCount val="24"/>
                <c:pt idx="0">
                  <c:v>4.7169811320754715E-3</c:v>
                </c:pt>
                <c:pt idx="1">
                  <c:v>2.0440251572327043E-2</c:v>
                </c:pt>
                <c:pt idx="2">
                  <c:v>4.2452830188679243E-2</c:v>
                </c:pt>
                <c:pt idx="3">
                  <c:v>8.1761006289308172E-2</c:v>
                </c:pt>
                <c:pt idx="4">
                  <c:v>0.11792452830188679</c:v>
                </c:pt>
                <c:pt idx="5">
                  <c:v>0.18081761006289307</c:v>
                </c:pt>
                <c:pt idx="6">
                  <c:v>0.24371069182389937</c:v>
                </c:pt>
                <c:pt idx="7">
                  <c:v>0.29874213836477986</c:v>
                </c:pt>
                <c:pt idx="8">
                  <c:v>0.36477987421383645</c:v>
                </c:pt>
                <c:pt idx="9">
                  <c:v>0.43710691823899372</c:v>
                </c:pt>
                <c:pt idx="10">
                  <c:v>0.49842767295597484</c:v>
                </c:pt>
                <c:pt idx="11">
                  <c:v>0.54874213836477992</c:v>
                </c:pt>
                <c:pt idx="12">
                  <c:v>0.59905660377358494</c:v>
                </c:pt>
                <c:pt idx="13">
                  <c:v>0.62735849056603776</c:v>
                </c:pt>
                <c:pt idx="14">
                  <c:v>0.64622641509433965</c:v>
                </c:pt>
                <c:pt idx="15">
                  <c:v>0.6588050314465409</c:v>
                </c:pt>
                <c:pt idx="16">
                  <c:v>0.69811320754716977</c:v>
                </c:pt>
                <c:pt idx="17">
                  <c:v>0.71698113207547165</c:v>
                </c:pt>
                <c:pt idx="18">
                  <c:v>0.75</c:v>
                </c:pt>
                <c:pt idx="19">
                  <c:v>0.79874213836477992</c:v>
                </c:pt>
                <c:pt idx="20">
                  <c:v>0.88207547169811318</c:v>
                </c:pt>
                <c:pt idx="21">
                  <c:v>0.9323899371069182</c:v>
                </c:pt>
                <c:pt idx="22">
                  <c:v>0.97955974842767291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96-42D9-9921-D635A7C504C1}"/>
            </c:ext>
          </c:extLst>
        </c:ser>
        <c:ser>
          <c:idx val="2"/>
          <c:order val="2"/>
          <c:tx>
            <c:strRef>
              <c:f>'4 способ'!$C$1</c:f>
              <c:strCache>
                <c:ptCount val="1"/>
                <c:pt idx="0">
                  <c:v>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 способ'!$L$2:$L$31</c:f>
              <c:numCache>
                <c:formatCode>General</c:formatCode>
                <c:ptCount val="30"/>
                <c:pt idx="0">
                  <c:v>2400</c:v>
                </c:pt>
                <c:pt idx="1">
                  <c:v>2700</c:v>
                </c:pt>
                <c:pt idx="2">
                  <c:v>3000</c:v>
                </c:pt>
                <c:pt idx="3">
                  <c:v>3300</c:v>
                </c:pt>
                <c:pt idx="4">
                  <c:v>3600</c:v>
                </c:pt>
                <c:pt idx="5">
                  <c:v>3900</c:v>
                </c:pt>
                <c:pt idx="6">
                  <c:v>4200</c:v>
                </c:pt>
                <c:pt idx="7">
                  <c:v>4500</c:v>
                </c:pt>
                <c:pt idx="8">
                  <c:v>4800</c:v>
                </c:pt>
                <c:pt idx="9">
                  <c:v>5100</c:v>
                </c:pt>
                <c:pt idx="10">
                  <c:v>5400</c:v>
                </c:pt>
                <c:pt idx="11">
                  <c:v>5700</c:v>
                </c:pt>
                <c:pt idx="12">
                  <c:v>6000</c:v>
                </c:pt>
                <c:pt idx="13">
                  <c:v>7200</c:v>
                </c:pt>
                <c:pt idx="14">
                  <c:v>7500</c:v>
                </c:pt>
                <c:pt idx="15">
                  <c:v>7800</c:v>
                </c:pt>
                <c:pt idx="16">
                  <c:v>8100</c:v>
                </c:pt>
                <c:pt idx="17">
                  <c:v>8400</c:v>
                </c:pt>
                <c:pt idx="18">
                  <c:v>8700</c:v>
                </c:pt>
                <c:pt idx="19">
                  <c:v>9000</c:v>
                </c:pt>
                <c:pt idx="20">
                  <c:v>9300</c:v>
                </c:pt>
                <c:pt idx="21">
                  <c:v>9600</c:v>
                </c:pt>
                <c:pt idx="22">
                  <c:v>9900</c:v>
                </c:pt>
                <c:pt idx="23">
                  <c:v>10200</c:v>
                </c:pt>
                <c:pt idx="24">
                  <c:v>10500</c:v>
                </c:pt>
                <c:pt idx="25">
                  <c:v>10800</c:v>
                </c:pt>
                <c:pt idx="26">
                  <c:v>11100</c:v>
                </c:pt>
                <c:pt idx="27">
                  <c:v>11400</c:v>
                </c:pt>
                <c:pt idx="28">
                  <c:v>11700</c:v>
                </c:pt>
                <c:pt idx="29">
                  <c:v>12000</c:v>
                </c:pt>
              </c:numCache>
            </c:numRef>
          </c:xVal>
          <c:yVal>
            <c:numRef>
              <c:f>'4 способ'!$M$2:$M$31</c:f>
              <c:numCache>
                <c:formatCode>0.00%</c:formatCode>
                <c:ptCount val="30"/>
                <c:pt idx="0">
                  <c:v>7.8616352201257862E-3</c:v>
                </c:pt>
                <c:pt idx="1">
                  <c:v>8.1761006289308172E-2</c:v>
                </c:pt>
                <c:pt idx="2">
                  <c:v>0.13679245283018868</c:v>
                </c:pt>
                <c:pt idx="3">
                  <c:v>0.18553459119496854</c:v>
                </c:pt>
                <c:pt idx="4">
                  <c:v>0.19025157232704404</c:v>
                </c:pt>
                <c:pt idx="5">
                  <c:v>0.1918238993710692</c:v>
                </c:pt>
                <c:pt idx="6">
                  <c:v>0.20440251572327045</c:v>
                </c:pt>
                <c:pt idx="7">
                  <c:v>0.22327044025157233</c:v>
                </c:pt>
                <c:pt idx="8">
                  <c:v>0.24842767295597484</c:v>
                </c:pt>
                <c:pt idx="9">
                  <c:v>0.27672955974842767</c:v>
                </c:pt>
                <c:pt idx="10">
                  <c:v>0.30188679245283018</c:v>
                </c:pt>
                <c:pt idx="11">
                  <c:v>0.32547169811320753</c:v>
                </c:pt>
                <c:pt idx="12">
                  <c:v>0.3411949685534591</c:v>
                </c:pt>
                <c:pt idx="13">
                  <c:v>0.36477987421383645</c:v>
                </c:pt>
                <c:pt idx="14">
                  <c:v>0.38364779874213839</c:v>
                </c:pt>
                <c:pt idx="15">
                  <c:v>0.41194968553459121</c:v>
                </c:pt>
                <c:pt idx="16">
                  <c:v>0.45754716981132076</c:v>
                </c:pt>
                <c:pt idx="17">
                  <c:v>0.52358490566037741</c:v>
                </c:pt>
                <c:pt idx="18">
                  <c:v>0.57075471698113212</c:v>
                </c:pt>
                <c:pt idx="19">
                  <c:v>0.63207547169811318</c:v>
                </c:pt>
                <c:pt idx="20">
                  <c:v>0.6808176100628931</c:v>
                </c:pt>
                <c:pt idx="21">
                  <c:v>0.74685534591194969</c:v>
                </c:pt>
                <c:pt idx="22">
                  <c:v>0.80974842767295596</c:v>
                </c:pt>
                <c:pt idx="23">
                  <c:v>0.84433962264150941</c:v>
                </c:pt>
                <c:pt idx="24">
                  <c:v>0.89150943396226412</c:v>
                </c:pt>
                <c:pt idx="25">
                  <c:v>0.9308176100628931</c:v>
                </c:pt>
                <c:pt idx="26">
                  <c:v>0.95440251572327039</c:v>
                </c:pt>
                <c:pt idx="27">
                  <c:v>0.98270440251572322</c:v>
                </c:pt>
                <c:pt idx="28">
                  <c:v>0.99528301886792447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96-42D9-9921-D635A7C504C1}"/>
            </c:ext>
          </c:extLst>
        </c:ser>
        <c:ser>
          <c:idx val="3"/>
          <c:order val="3"/>
          <c:tx>
            <c:strRef>
              <c:f>'4 способ'!$D$1</c:f>
              <c:strCache>
                <c:ptCount val="1"/>
                <c:pt idx="0">
                  <c:v>Сл.Дорого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 способ'!$O$2:$O$30</c:f>
              <c:numCache>
                <c:formatCode>General</c:formatCode>
                <c:ptCount val="29"/>
                <c:pt idx="0">
                  <c:v>4000</c:v>
                </c:pt>
                <c:pt idx="1">
                  <c:v>4500</c:v>
                </c:pt>
                <c:pt idx="2">
                  <c:v>5000</c:v>
                </c:pt>
                <c:pt idx="3">
                  <c:v>5500</c:v>
                </c:pt>
                <c:pt idx="4">
                  <c:v>6000</c:v>
                </c:pt>
                <c:pt idx="5">
                  <c:v>7000</c:v>
                </c:pt>
                <c:pt idx="6">
                  <c:v>7500</c:v>
                </c:pt>
                <c:pt idx="7">
                  <c:v>8000</c:v>
                </c:pt>
                <c:pt idx="8">
                  <c:v>8500</c:v>
                </c:pt>
                <c:pt idx="9">
                  <c:v>9000</c:v>
                </c:pt>
                <c:pt idx="10">
                  <c:v>9500</c:v>
                </c:pt>
                <c:pt idx="11">
                  <c:v>10000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  <c:pt idx="15">
                  <c:v>13500</c:v>
                </c:pt>
                <c:pt idx="16">
                  <c:v>14000</c:v>
                </c:pt>
                <c:pt idx="17">
                  <c:v>14500</c:v>
                </c:pt>
                <c:pt idx="18">
                  <c:v>15000</c:v>
                </c:pt>
                <c:pt idx="19">
                  <c:v>15500</c:v>
                </c:pt>
                <c:pt idx="20">
                  <c:v>16000</c:v>
                </c:pt>
                <c:pt idx="21">
                  <c:v>16500</c:v>
                </c:pt>
                <c:pt idx="22">
                  <c:v>17000</c:v>
                </c:pt>
                <c:pt idx="23">
                  <c:v>17500</c:v>
                </c:pt>
                <c:pt idx="24">
                  <c:v>18000</c:v>
                </c:pt>
                <c:pt idx="25">
                  <c:v>18500</c:v>
                </c:pt>
                <c:pt idx="26">
                  <c:v>19000</c:v>
                </c:pt>
                <c:pt idx="27">
                  <c:v>19500</c:v>
                </c:pt>
                <c:pt idx="28">
                  <c:v>20000</c:v>
                </c:pt>
              </c:numCache>
            </c:numRef>
          </c:xVal>
          <c:yVal>
            <c:numRef>
              <c:f>'4 способ'!$P$2:$P$30</c:f>
              <c:numCache>
                <c:formatCode>0.00%</c:formatCode>
                <c:ptCount val="29"/>
                <c:pt idx="0">
                  <c:v>3.3018867924528301E-2</c:v>
                </c:pt>
                <c:pt idx="1">
                  <c:v>8.6477987421383642E-2</c:v>
                </c:pt>
                <c:pt idx="2">
                  <c:v>0.13050314465408805</c:v>
                </c:pt>
                <c:pt idx="3">
                  <c:v>0.1650943396226415</c:v>
                </c:pt>
                <c:pt idx="4">
                  <c:v>0.19025157232704404</c:v>
                </c:pt>
                <c:pt idx="5">
                  <c:v>0.20283018867924529</c:v>
                </c:pt>
                <c:pt idx="6">
                  <c:v>0.22955974842767296</c:v>
                </c:pt>
                <c:pt idx="7">
                  <c:v>0.25471698113207547</c:v>
                </c:pt>
                <c:pt idx="8">
                  <c:v>0.27987421383647798</c:v>
                </c:pt>
                <c:pt idx="9">
                  <c:v>0.30188679245283018</c:v>
                </c:pt>
                <c:pt idx="10">
                  <c:v>0.33176100628930816</c:v>
                </c:pt>
                <c:pt idx="11">
                  <c:v>0.3411949685534591</c:v>
                </c:pt>
                <c:pt idx="12">
                  <c:v>0.3632075471698113</c:v>
                </c:pt>
                <c:pt idx="13">
                  <c:v>0.40723270440251574</c:v>
                </c:pt>
                <c:pt idx="14">
                  <c:v>0.46855345911949686</c:v>
                </c:pt>
                <c:pt idx="15">
                  <c:v>0.53144654088050314</c:v>
                </c:pt>
                <c:pt idx="16">
                  <c:v>0.59591194968553463</c:v>
                </c:pt>
                <c:pt idx="17">
                  <c:v>0.6588050314465409</c:v>
                </c:pt>
                <c:pt idx="18">
                  <c:v>0.70754716981132071</c:v>
                </c:pt>
                <c:pt idx="19">
                  <c:v>0.75157232704402521</c:v>
                </c:pt>
                <c:pt idx="20">
                  <c:v>0.78930817610062898</c:v>
                </c:pt>
                <c:pt idx="21">
                  <c:v>0.82547169811320753</c:v>
                </c:pt>
                <c:pt idx="22">
                  <c:v>0.85691823899371067</c:v>
                </c:pt>
                <c:pt idx="23">
                  <c:v>0.90251572327044027</c:v>
                </c:pt>
                <c:pt idx="24">
                  <c:v>0.94182389937106914</c:v>
                </c:pt>
                <c:pt idx="25">
                  <c:v>0.95440251572327039</c:v>
                </c:pt>
                <c:pt idx="26">
                  <c:v>0.96855345911949686</c:v>
                </c:pt>
                <c:pt idx="27">
                  <c:v>0.98899371069182385</c:v>
                </c:pt>
                <c:pt idx="2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96-42D9-9921-D635A7C50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58560"/>
        <c:axId val="1361158976"/>
      </c:scatterChart>
      <c:valAx>
        <c:axId val="1361158560"/>
        <c:scaling>
          <c:orientation val="minMax"/>
          <c:max val="53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158976"/>
        <c:crosses val="autoZero"/>
        <c:crossBetween val="midCat"/>
        <c:majorUnit val="200"/>
      </c:valAx>
      <c:valAx>
        <c:axId val="1361158976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15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  <xdr:twoCellAnchor>
    <xdr:from>
      <xdr:col>5</xdr:col>
      <xdr:colOff>0</xdr:colOff>
      <xdr:row>19</xdr:row>
      <xdr:rowOff>1</xdr:rowOff>
    </xdr:from>
    <xdr:to>
      <xdr:col>15</xdr:col>
      <xdr:colOff>0</xdr:colOff>
      <xdr:row>36</xdr:row>
      <xdr:rowOff>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89215EB-816F-4D19-92C4-00D68000A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43</xdr:row>
      <xdr:rowOff>1</xdr:rowOff>
    </xdr:from>
    <xdr:to>
      <xdr:col>14</xdr:col>
      <xdr:colOff>614110</xdr:colOff>
      <xdr:row>60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43728E7-69CE-4B4A-B729-001C514BC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67</xdr:row>
      <xdr:rowOff>0</xdr:rowOff>
    </xdr:from>
    <xdr:to>
      <xdr:col>15</xdr:col>
      <xdr:colOff>0</xdr:colOff>
      <xdr:row>84</xdr:row>
      <xdr:rowOff>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8E19064-4F5E-4D6A-947B-9D5E2417C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</xdr:colOff>
      <xdr:row>92</xdr:row>
      <xdr:rowOff>0</xdr:rowOff>
    </xdr:from>
    <xdr:to>
      <xdr:col>15</xdr:col>
      <xdr:colOff>1</xdr:colOff>
      <xdr:row>109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284EDD5-D2CB-4B1A-AF0E-80D846264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0.80247</cdr:x>
      <cdr:y>0.21076</cdr:y>
    </cdr:from>
    <cdr:to>
      <cdr:x>0.80247</cdr:x>
      <cdr:y>0.92127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DA851A0E-8145-445E-8FC5-7C85E6C18B7C}"/>
            </a:ext>
          </a:extLst>
        </cdr:cNvPr>
        <cdr:cNvCxnSpPr/>
      </cdr:nvCxnSpPr>
      <cdr:spPr>
        <a:xfrm xmlns:a="http://schemas.openxmlformats.org/drawingml/2006/main">
          <a:off x="4416008" y="763820"/>
          <a:ext cx="0" cy="2575035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0.91707</cdr:x>
      <cdr:y>0.20894</cdr:y>
    </cdr:from>
    <cdr:to>
      <cdr:x>0.91707</cdr:x>
      <cdr:y>0.91945</cdr:y>
    </cdr:to>
    <cdr:cxnSp macro="">
      <cdr:nvCxnSpPr>
        <cdr:cNvPr id="4" name="Прямая соединительная линия 3">
          <a:extLst xmlns:a="http://schemas.openxmlformats.org/drawingml/2006/main">
            <a:ext uri="{FF2B5EF4-FFF2-40B4-BE49-F238E27FC236}">
              <a16:creationId xmlns:a16="http://schemas.microsoft.com/office/drawing/2014/main" id="{0E62E1E6-5646-42CF-A6E4-3E88D64A8243}"/>
            </a:ext>
          </a:extLst>
        </cdr:cNvPr>
        <cdr:cNvCxnSpPr/>
      </cdr:nvCxnSpPr>
      <cdr:spPr>
        <a:xfrm xmlns:a="http://schemas.openxmlformats.org/drawingml/2006/main">
          <a:off x="5046629" y="757251"/>
          <a:ext cx="0" cy="2575035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0.20085</cdr:x>
      <cdr:y>0.21982</cdr:y>
    </cdr:from>
    <cdr:to>
      <cdr:x>0.20085</cdr:x>
      <cdr:y>0.93033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243025FD-D889-4E7F-832B-CAAB9C246019}"/>
            </a:ext>
          </a:extLst>
        </cdr:cNvPr>
        <cdr:cNvCxnSpPr/>
      </cdr:nvCxnSpPr>
      <cdr:spPr>
        <a:xfrm xmlns:a="http://schemas.openxmlformats.org/drawingml/2006/main">
          <a:off x="1105250" y="796664"/>
          <a:ext cx="0" cy="2575035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0.51704</cdr:x>
      <cdr:y>0.34588</cdr:y>
    </cdr:from>
    <cdr:to>
      <cdr:x>0.51704</cdr:x>
      <cdr:y>0.88366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7DAD98F8-5374-45ED-933E-9C4F3E1D2A37}"/>
            </a:ext>
          </a:extLst>
        </cdr:cNvPr>
        <cdr:cNvCxnSpPr/>
      </cdr:nvCxnSpPr>
      <cdr:spPr>
        <a:xfrm xmlns:a="http://schemas.openxmlformats.org/drawingml/2006/main">
          <a:off x="3138095" y="1131455"/>
          <a:ext cx="0" cy="175919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0.29644</cdr:x>
      <cdr:y>0.22647</cdr:y>
    </cdr:from>
    <cdr:to>
      <cdr:x>0.5152</cdr:x>
      <cdr:y>0.36176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9002493A-9757-4D86-BF38-4519590FC78D}"/>
            </a:ext>
          </a:extLst>
        </cdr:cNvPr>
        <cdr:cNvCxnSpPr/>
      </cdr:nvCxnSpPr>
      <cdr:spPr>
        <a:xfrm xmlns:a="http://schemas.openxmlformats.org/drawingml/2006/main">
          <a:off x="1799166" y="740833"/>
          <a:ext cx="1327728" cy="44257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0.41057</cdr:x>
      <cdr:y>0.25</cdr:y>
    </cdr:from>
    <cdr:to>
      <cdr:x>0.74188</cdr:x>
      <cdr:y>0.35</cdr:y>
    </cdr:to>
    <cdr:cxnSp macro="">
      <cdr:nvCxnSpPr>
        <cdr:cNvPr id="9" name="Прямая соединительная линия 8">
          <a:extLst xmlns:a="http://schemas.openxmlformats.org/drawingml/2006/main">
            <a:ext uri="{FF2B5EF4-FFF2-40B4-BE49-F238E27FC236}">
              <a16:creationId xmlns:a16="http://schemas.microsoft.com/office/drawing/2014/main" id="{94A4782B-6168-48EB-8557-B225C52A0CA6}"/>
            </a:ext>
          </a:extLst>
        </cdr:cNvPr>
        <cdr:cNvCxnSpPr/>
      </cdr:nvCxnSpPr>
      <cdr:spPr>
        <a:xfrm xmlns:a="http://schemas.openxmlformats.org/drawingml/2006/main" flipH="1">
          <a:off x="2491894" y="817802"/>
          <a:ext cx="2010834" cy="32712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3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0.47061</cdr:x>
      <cdr:y>0.31778</cdr:y>
    </cdr:from>
    <cdr:to>
      <cdr:x>0.47061</cdr:x>
      <cdr:y>0.87333</cdr:y>
    </cdr:to>
    <cdr:cxnSp macro="">
      <cdr:nvCxnSpPr>
        <cdr:cNvPr id="13" name="Прямая соединительная линия 12">
          <a:extLst xmlns:a="http://schemas.openxmlformats.org/drawingml/2006/main">
            <a:ext uri="{FF2B5EF4-FFF2-40B4-BE49-F238E27FC236}">
              <a16:creationId xmlns:a16="http://schemas.microsoft.com/office/drawing/2014/main" id="{26E91D3E-1B8E-479C-A732-48A5DF6C5945}"/>
            </a:ext>
          </a:extLst>
        </cdr:cNvPr>
        <cdr:cNvCxnSpPr/>
      </cdr:nvCxnSpPr>
      <cdr:spPr>
        <a:xfrm xmlns:a="http://schemas.openxmlformats.org/drawingml/2006/main">
          <a:off x="2856283" y="1039526"/>
          <a:ext cx="0" cy="181732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450888</xdr:colOff>
      <xdr:row>2</xdr:row>
      <xdr:rowOff>16926</xdr:rowOff>
    </xdr:from>
    <xdr:to>
      <xdr:col>37</xdr:col>
      <xdr:colOff>98118</xdr:colOff>
      <xdr:row>15</xdr:row>
      <xdr:rowOff>104533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6D795A5-6516-4371-A72D-BAD15852D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463912</xdr:colOff>
      <xdr:row>2</xdr:row>
      <xdr:rowOff>8033</xdr:rowOff>
    </xdr:from>
    <xdr:to>
      <xdr:col>17</xdr:col>
      <xdr:colOff>468313</xdr:colOff>
      <xdr:row>21</xdr:row>
      <xdr:rowOff>134938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B8E5B82-5A7B-4428-B4DA-7962D875C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0.80247</cdr:x>
      <cdr:y>0.21076</cdr:y>
    </cdr:from>
    <cdr:to>
      <cdr:x>0.80247</cdr:x>
      <cdr:y>0.92127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DA851A0E-8145-445E-8FC5-7C85E6C18B7C}"/>
            </a:ext>
          </a:extLst>
        </cdr:cNvPr>
        <cdr:cNvCxnSpPr/>
      </cdr:nvCxnSpPr>
      <cdr:spPr>
        <a:xfrm xmlns:a="http://schemas.openxmlformats.org/drawingml/2006/main">
          <a:off x="4416008" y="763820"/>
          <a:ext cx="0" cy="2575035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0.91707</cdr:x>
      <cdr:y>0.20894</cdr:y>
    </cdr:from>
    <cdr:to>
      <cdr:x>0.91707</cdr:x>
      <cdr:y>0.91945</cdr:y>
    </cdr:to>
    <cdr:cxnSp macro="">
      <cdr:nvCxnSpPr>
        <cdr:cNvPr id="4" name="Прямая соединительная линия 3">
          <a:extLst xmlns:a="http://schemas.openxmlformats.org/drawingml/2006/main">
            <a:ext uri="{FF2B5EF4-FFF2-40B4-BE49-F238E27FC236}">
              <a16:creationId xmlns:a16="http://schemas.microsoft.com/office/drawing/2014/main" id="{0E62E1E6-5646-42CF-A6E4-3E88D64A8243}"/>
            </a:ext>
          </a:extLst>
        </cdr:cNvPr>
        <cdr:cNvCxnSpPr/>
      </cdr:nvCxnSpPr>
      <cdr:spPr>
        <a:xfrm xmlns:a="http://schemas.openxmlformats.org/drawingml/2006/main">
          <a:off x="5046629" y="757251"/>
          <a:ext cx="0" cy="2575035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0.20085</cdr:x>
      <cdr:y>0.21982</cdr:y>
    </cdr:from>
    <cdr:to>
      <cdr:x>0.20085</cdr:x>
      <cdr:y>0.93033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243025FD-D889-4E7F-832B-CAAB9C246019}"/>
            </a:ext>
          </a:extLst>
        </cdr:cNvPr>
        <cdr:cNvCxnSpPr/>
      </cdr:nvCxnSpPr>
      <cdr:spPr>
        <a:xfrm xmlns:a="http://schemas.openxmlformats.org/drawingml/2006/main">
          <a:off x="1105250" y="796664"/>
          <a:ext cx="0" cy="2575035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0.30091</cdr:x>
      <cdr:y>0.33605</cdr:y>
    </cdr:from>
    <cdr:to>
      <cdr:x>0.36855</cdr:x>
      <cdr:y>0.40625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CFF54A3-16F4-48F2-9849-3B28E9F0A315}"/>
            </a:ext>
          </a:extLst>
        </cdr:cNvPr>
        <cdr:cNvSpPr txBox="1"/>
      </cdr:nvSpPr>
      <cdr:spPr>
        <a:xfrm xmlns:a="http://schemas.openxmlformats.org/drawingml/2006/main">
          <a:off x="1810297" y="1283853"/>
          <a:ext cx="406893" cy="2681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</a:t>
          </a:r>
          <a:endParaRPr lang="ru-RU" sz="1100"/>
        </a:p>
      </cdr:txBody>
    </cdr:sp>
  </cdr:relSizeAnchor>
  <cdr:relSizeAnchor xmlns:cdr="http://schemas.openxmlformats.org/drawingml/2006/chartDrawing">
    <cdr:from>
      <cdr:x>0.34395</cdr:x>
      <cdr:y>0.63863</cdr:y>
    </cdr:from>
    <cdr:to>
      <cdr:x>0.40237</cdr:x>
      <cdr:y>0.70398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35BDE1A-5255-407D-9218-DDA93D6B65E7}"/>
            </a:ext>
          </a:extLst>
        </cdr:cNvPr>
        <cdr:cNvSpPr txBox="1"/>
      </cdr:nvSpPr>
      <cdr:spPr>
        <a:xfrm xmlns:a="http://schemas.openxmlformats.org/drawingml/2006/main">
          <a:off x="2069229" y="2439799"/>
          <a:ext cx="351407" cy="2496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B</a:t>
          </a:r>
          <a:endParaRPr lang="ru-RU" sz="1100"/>
        </a:p>
      </cdr:txBody>
    </cdr:sp>
  </cdr:relSizeAnchor>
  <cdr:relSizeAnchor xmlns:cdr="http://schemas.openxmlformats.org/drawingml/2006/chartDrawing">
    <cdr:from>
      <cdr:x>0.07956</cdr:x>
      <cdr:y>0.48613</cdr:y>
    </cdr:from>
    <cdr:to>
      <cdr:x>0.11953</cdr:x>
      <cdr:y>0.57811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1C37111E-2F00-4254-9F1C-030A9B6D02EB}"/>
            </a:ext>
          </a:extLst>
        </cdr:cNvPr>
        <cdr:cNvSpPr txBox="1"/>
      </cdr:nvSpPr>
      <cdr:spPr>
        <a:xfrm xmlns:a="http://schemas.openxmlformats.org/drawingml/2006/main">
          <a:off x="478646" y="1857202"/>
          <a:ext cx="240437" cy="3514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C</a:t>
          </a:r>
          <a:endParaRPr lang="ru-RU" sz="1100"/>
        </a:p>
      </cdr:txBody>
    </cdr:sp>
  </cdr:relSizeAnchor>
  <cdr:relSizeAnchor xmlns:cdr="http://schemas.openxmlformats.org/drawingml/2006/chartDrawing">
    <cdr:from>
      <cdr:x>0.87274</cdr:x>
      <cdr:y>0.19082</cdr:y>
    </cdr:from>
    <cdr:to>
      <cdr:x>0.94037</cdr:x>
      <cdr:y>0.27554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21F9B481-1AE7-43CD-A187-3CFCE6FF7580}"/>
            </a:ext>
          </a:extLst>
        </cdr:cNvPr>
        <cdr:cNvSpPr txBox="1"/>
      </cdr:nvSpPr>
      <cdr:spPr>
        <a:xfrm xmlns:a="http://schemas.openxmlformats.org/drawingml/2006/main">
          <a:off x="5250394" y="728999"/>
          <a:ext cx="406893" cy="3236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</a:t>
          </a:r>
          <a:endParaRPr lang="ru-RU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0</xdr:row>
      <xdr:rowOff>171450</xdr:rowOff>
    </xdr:from>
    <xdr:to>
      <xdr:col>17</xdr:col>
      <xdr:colOff>485775</xdr:colOff>
      <xdr:row>9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25FFFC-CAE4-489A-A919-278685D59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13</xdr:row>
      <xdr:rowOff>133350</xdr:rowOff>
    </xdr:from>
    <xdr:to>
      <xdr:col>23</xdr:col>
      <xdr:colOff>323850</xdr:colOff>
      <xdr:row>36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D35E81F-EB23-4F99-B292-5D0136CEC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0.5107</cdr:x>
      <cdr:y>0.34</cdr:y>
    </cdr:from>
    <cdr:to>
      <cdr:x>0.5107</cdr:x>
      <cdr:y>0.87778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7DAD98F8-5374-45ED-933E-9C4F3E1D2A37}"/>
            </a:ext>
          </a:extLst>
        </cdr:cNvPr>
        <cdr:cNvCxnSpPr/>
      </cdr:nvCxnSpPr>
      <cdr:spPr>
        <a:xfrm xmlns:a="http://schemas.openxmlformats.org/drawingml/2006/main">
          <a:off x="3181350" y="1457325"/>
          <a:ext cx="0" cy="23050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0.29511</cdr:x>
      <cdr:y>0.20222</cdr:y>
    </cdr:from>
    <cdr:to>
      <cdr:x>0.51529</cdr:x>
      <cdr:y>0.33778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9002493A-9757-4D86-BF38-4519590FC78D}"/>
            </a:ext>
          </a:extLst>
        </cdr:cNvPr>
        <cdr:cNvCxnSpPr/>
      </cdr:nvCxnSpPr>
      <cdr:spPr>
        <a:xfrm xmlns:a="http://schemas.openxmlformats.org/drawingml/2006/main">
          <a:off x="1838325" y="866775"/>
          <a:ext cx="1371600" cy="5810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0.40367</cdr:x>
      <cdr:y>0.22667</cdr:y>
    </cdr:from>
    <cdr:to>
      <cdr:x>0.74771</cdr:x>
      <cdr:y>0.34</cdr:y>
    </cdr:to>
    <cdr:cxnSp macro="">
      <cdr:nvCxnSpPr>
        <cdr:cNvPr id="9" name="Прямая соединительная линия 8">
          <a:extLst xmlns:a="http://schemas.openxmlformats.org/drawingml/2006/main">
            <a:ext uri="{FF2B5EF4-FFF2-40B4-BE49-F238E27FC236}">
              <a16:creationId xmlns:a16="http://schemas.microsoft.com/office/drawing/2014/main" id="{94A4782B-6168-48EB-8557-B225C52A0CA6}"/>
            </a:ext>
          </a:extLst>
        </cdr:cNvPr>
        <cdr:cNvCxnSpPr/>
      </cdr:nvCxnSpPr>
      <cdr:spPr>
        <a:xfrm xmlns:a="http://schemas.openxmlformats.org/drawingml/2006/main" flipH="1">
          <a:off x="2514600" y="971550"/>
          <a:ext cx="2143126" cy="48577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3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0.48012</cdr:x>
      <cdr:y>0.31778</cdr:y>
    </cdr:from>
    <cdr:to>
      <cdr:x>0.48012</cdr:x>
      <cdr:y>0.87333</cdr:y>
    </cdr:to>
    <cdr:cxnSp macro="">
      <cdr:nvCxnSpPr>
        <cdr:cNvPr id="13" name="Прямая соединительная линия 12">
          <a:extLst xmlns:a="http://schemas.openxmlformats.org/drawingml/2006/main">
            <a:ext uri="{FF2B5EF4-FFF2-40B4-BE49-F238E27FC236}">
              <a16:creationId xmlns:a16="http://schemas.microsoft.com/office/drawing/2014/main" id="{26E91D3E-1B8E-479C-A732-48A5DF6C5945}"/>
            </a:ext>
          </a:extLst>
        </cdr:cNvPr>
        <cdr:cNvCxnSpPr/>
      </cdr:nvCxnSpPr>
      <cdr:spPr>
        <a:xfrm xmlns:a="http://schemas.openxmlformats.org/drawingml/2006/main">
          <a:off x="2990850" y="1362075"/>
          <a:ext cx="0" cy="23812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497052</xdr:colOff>
      <xdr:row>9</xdr:row>
      <xdr:rowOff>69396</xdr:rowOff>
    </xdr:from>
    <xdr:to>
      <xdr:col>25</xdr:col>
      <xdr:colOff>533435</xdr:colOff>
      <xdr:row>34</xdr:row>
      <xdr:rowOff>85514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207470-FD11-4526-9EA3-5335DFE12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184896</xdr:colOff>
      <xdr:row>2</xdr:row>
      <xdr:rowOff>169208</xdr:rowOff>
    </xdr:from>
    <xdr:to>
      <xdr:col>21</xdr:col>
      <xdr:colOff>291353</xdr:colOff>
      <xdr:row>13</xdr:row>
      <xdr:rowOff>168088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59B1BE8-A726-456A-822D-FFB92F26F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212912</xdr:colOff>
      <xdr:row>15</xdr:row>
      <xdr:rowOff>100853</xdr:rowOff>
    </xdr:from>
    <xdr:to>
      <xdr:col>26</xdr:col>
      <xdr:colOff>280146</xdr:colOff>
      <xdr:row>36</xdr:row>
      <xdr:rowOff>67235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DCDC02A-27F3-49AB-9F70-4E7B0AB9D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6_2027/01%20&#1041;&#1041;&#1048;%20&#1073;&#1080;&#1079;&#1085;&#1077;&#1089;-&#1072;&#1085;&#1072;&#1083;&#1080;&#1090;&#1080;&#1082;&#1072;/06%20PSM/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324.874139699074" createdVersion="7" refreshedVersion="7" minRefreshableVersion="3" recordCount="636" xr:uid="{E2516526-3D80-4580-9125-FAB26D8860B8}">
  <cacheSource type="worksheet">
    <worksheetSource ref="A1:D637" sheet="4 способ"/>
  </cacheSource>
  <cacheFields count="4">
    <cacheField name="сл. Дешево" numFmtId="0">
      <sharedItems containsSemiMixedTypes="0" containsString="0" containsNumber="1" containsInteger="1" minValue="400" maxValue="2500" count="22">
        <n v="1500"/>
        <n v="2000"/>
        <n v="800"/>
        <n v="1800"/>
        <n v="1400"/>
        <n v="1900"/>
        <n v="1300"/>
        <n v="1100"/>
        <n v="900"/>
        <n v="700"/>
        <n v="400"/>
        <n v="1200"/>
        <n v="1000"/>
        <n v="600"/>
        <n v="1600"/>
        <n v="500"/>
        <n v="2300"/>
        <n v="2100"/>
        <n v="2400"/>
        <n v="1700"/>
        <n v="2500"/>
        <n v="2200"/>
      </sharedItems>
    </cacheField>
    <cacheField name="Дешево" numFmtId="0">
      <sharedItems containsSemiMixedTypes="0" containsString="0" containsNumber="1" containsInteger="1" minValue="1000" maxValue="6000" count="24">
        <n v="3800"/>
        <n v="4000"/>
        <n v="1800"/>
        <n v="4600"/>
        <n v="3600"/>
        <n v="4400"/>
        <n v="5000"/>
        <n v="3400"/>
        <n v="1200"/>
        <n v="2400"/>
        <n v="2200"/>
        <n v="5600"/>
        <n v="1000"/>
        <n v="1600"/>
        <n v="3200"/>
        <n v="2000"/>
        <n v="5200"/>
        <n v="4200"/>
        <n v="1400"/>
        <n v="4800"/>
        <n v="5400"/>
        <n v="3000"/>
        <n v="5800"/>
        <n v="6000"/>
      </sharedItems>
    </cacheField>
    <cacheField name="Дорого" numFmtId="0">
      <sharedItems containsSemiMixedTypes="0" containsString="0" containsNumber="1" containsInteger="1" minValue="2400" maxValue="12000" count="30">
        <n v="8700"/>
        <n v="9900"/>
        <n v="2700"/>
        <n v="8400"/>
        <n v="7500"/>
        <n v="9600"/>
        <n v="7200"/>
        <n v="8100"/>
        <n v="4800"/>
        <n v="3300"/>
        <n v="10500"/>
        <n v="5400"/>
        <n v="7800"/>
        <n v="10800"/>
        <n v="5100"/>
        <n v="6000"/>
        <n v="3000"/>
        <n v="11700"/>
        <n v="4200"/>
        <n v="10200"/>
        <n v="11100"/>
        <n v="9000"/>
        <n v="9300"/>
        <n v="5700"/>
        <n v="11400"/>
        <n v="4500"/>
        <n v="3900"/>
        <n v="2400"/>
        <n v="3600"/>
        <n v="12000"/>
      </sharedItems>
    </cacheField>
    <cacheField name="Сл.Дорого" numFmtId="0">
      <sharedItems containsSemiMixedTypes="0" containsString="0" containsNumber="1" containsInteger="1" minValue="4000" maxValue="20000" count="29">
        <n v="16500"/>
        <n v="20000"/>
        <n v="4500"/>
        <n v="14500"/>
        <n v="13500"/>
        <n v="13000"/>
        <n v="4000"/>
        <n v="18000"/>
        <n v="14000"/>
        <n v="12500"/>
        <n v="8000"/>
        <n v="5500"/>
        <n v="9500"/>
        <n v="16000"/>
        <n v="6000"/>
        <n v="15000"/>
        <n v="8500"/>
        <n v="5000"/>
        <n v="17500"/>
        <n v="7500"/>
        <n v="17000"/>
        <n v="15500"/>
        <n v="18500"/>
        <n v="19500"/>
        <n v="9000"/>
        <n v="19000"/>
        <n v="12000"/>
        <n v="10000"/>
        <n v="7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x v="0"/>
    <x v="0"/>
    <x v="0"/>
  </r>
  <r>
    <x v="1"/>
    <x v="1"/>
    <x v="1"/>
    <x v="1"/>
  </r>
  <r>
    <x v="2"/>
    <x v="2"/>
    <x v="2"/>
    <x v="2"/>
  </r>
  <r>
    <x v="3"/>
    <x v="0"/>
    <x v="3"/>
    <x v="3"/>
  </r>
  <r>
    <x v="4"/>
    <x v="3"/>
    <x v="4"/>
    <x v="4"/>
  </r>
  <r>
    <x v="1"/>
    <x v="4"/>
    <x v="3"/>
    <x v="5"/>
  </r>
  <r>
    <x v="2"/>
    <x v="2"/>
    <x v="2"/>
    <x v="6"/>
  </r>
  <r>
    <x v="5"/>
    <x v="5"/>
    <x v="5"/>
    <x v="7"/>
  </r>
  <r>
    <x v="6"/>
    <x v="6"/>
    <x v="1"/>
    <x v="3"/>
  </r>
  <r>
    <x v="6"/>
    <x v="7"/>
    <x v="5"/>
    <x v="8"/>
  </r>
  <r>
    <x v="7"/>
    <x v="6"/>
    <x v="6"/>
    <x v="9"/>
  </r>
  <r>
    <x v="3"/>
    <x v="6"/>
    <x v="7"/>
    <x v="8"/>
  </r>
  <r>
    <x v="8"/>
    <x v="2"/>
    <x v="8"/>
    <x v="10"/>
  </r>
  <r>
    <x v="9"/>
    <x v="8"/>
    <x v="2"/>
    <x v="11"/>
  </r>
  <r>
    <x v="9"/>
    <x v="9"/>
    <x v="8"/>
    <x v="12"/>
  </r>
  <r>
    <x v="10"/>
    <x v="2"/>
    <x v="9"/>
    <x v="11"/>
  </r>
  <r>
    <x v="0"/>
    <x v="7"/>
    <x v="5"/>
    <x v="5"/>
  </r>
  <r>
    <x v="9"/>
    <x v="10"/>
    <x v="8"/>
    <x v="10"/>
  </r>
  <r>
    <x v="0"/>
    <x v="11"/>
    <x v="10"/>
    <x v="13"/>
  </r>
  <r>
    <x v="11"/>
    <x v="6"/>
    <x v="7"/>
    <x v="4"/>
  </r>
  <r>
    <x v="10"/>
    <x v="12"/>
    <x v="9"/>
    <x v="14"/>
  </r>
  <r>
    <x v="2"/>
    <x v="13"/>
    <x v="2"/>
    <x v="11"/>
  </r>
  <r>
    <x v="12"/>
    <x v="14"/>
    <x v="4"/>
    <x v="5"/>
  </r>
  <r>
    <x v="7"/>
    <x v="0"/>
    <x v="0"/>
    <x v="15"/>
  </r>
  <r>
    <x v="4"/>
    <x v="5"/>
    <x v="10"/>
    <x v="7"/>
  </r>
  <r>
    <x v="12"/>
    <x v="15"/>
    <x v="11"/>
    <x v="10"/>
  </r>
  <r>
    <x v="1"/>
    <x v="16"/>
    <x v="5"/>
    <x v="13"/>
  </r>
  <r>
    <x v="3"/>
    <x v="17"/>
    <x v="12"/>
    <x v="3"/>
  </r>
  <r>
    <x v="6"/>
    <x v="5"/>
    <x v="13"/>
    <x v="15"/>
  </r>
  <r>
    <x v="9"/>
    <x v="9"/>
    <x v="14"/>
    <x v="16"/>
  </r>
  <r>
    <x v="2"/>
    <x v="10"/>
    <x v="15"/>
    <x v="16"/>
  </r>
  <r>
    <x v="13"/>
    <x v="8"/>
    <x v="9"/>
    <x v="17"/>
  </r>
  <r>
    <x v="13"/>
    <x v="13"/>
    <x v="16"/>
    <x v="17"/>
  </r>
  <r>
    <x v="14"/>
    <x v="1"/>
    <x v="0"/>
    <x v="8"/>
  </r>
  <r>
    <x v="1"/>
    <x v="16"/>
    <x v="17"/>
    <x v="18"/>
  </r>
  <r>
    <x v="5"/>
    <x v="16"/>
    <x v="3"/>
    <x v="8"/>
  </r>
  <r>
    <x v="0"/>
    <x v="4"/>
    <x v="10"/>
    <x v="4"/>
  </r>
  <r>
    <x v="9"/>
    <x v="18"/>
    <x v="2"/>
    <x v="11"/>
  </r>
  <r>
    <x v="12"/>
    <x v="19"/>
    <x v="0"/>
    <x v="15"/>
  </r>
  <r>
    <x v="14"/>
    <x v="5"/>
    <x v="7"/>
    <x v="8"/>
  </r>
  <r>
    <x v="8"/>
    <x v="15"/>
    <x v="18"/>
    <x v="10"/>
  </r>
  <r>
    <x v="2"/>
    <x v="9"/>
    <x v="15"/>
    <x v="19"/>
  </r>
  <r>
    <x v="3"/>
    <x v="3"/>
    <x v="19"/>
    <x v="3"/>
  </r>
  <r>
    <x v="12"/>
    <x v="13"/>
    <x v="18"/>
    <x v="10"/>
  </r>
  <r>
    <x v="15"/>
    <x v="13"/>
    <x v="9"/>
    <x v="6"/>
  </r>
  <r>
    <x v="5"/>
    <x v="3"/>
    <x v="3"/>
    <x v="4"/>
  </r>
  <r>
    <x v="4"/>
    <x v="17"/>
    <x v="1"/>
    <x v="20"/>
  </r>
  <r>
    <x v="0"/>
    <x v="5"/>
    <x v="20"/>
    <x v="21"/>
  </r>
  <r>
    <x v="1"/>
    <x v="1"/>
    <x v="21"/>
    <x v="9"/>
  </r>
  <r>
    <x v="14"/>
    <x v="1"/>
    <x v="22"/>
    <x v="20"/>
  </r>
  <r>
    <x v="16"/>
    <x v="17"/>
    <x v="1"/>
    <x v="0"/>
  </r>
  <r>
    <x v="17"/>
    <x v="16"/>
    <x v="5"/>
    <x v="22"/>
  </r>
  <r>
    <x v="16"/>
    <x v="11"/>
    <x v="20"/>
    <x v="23"/>
  </r>
  <r>
    <x v="3"/>
    <x v="17"/>
    <x v="1"/>
    <x v="8"/>
  </r>
  <r>
    <x v="6"/>
    <x v="6"/>
    <x v="22"/>
    <x v="18"/>
  </r>
  <r>
    <x v="2"/>
    <x v="12"/>
    <x v="9"/>
    <x v="2"/>
  </r>
  <r>
    <x v="2"/>
    <x v="9"/>
    <x v="8"/>
    <x v="16"/>
  </r>
  <r>
    <x v="13"/>
    <x v="9"/>
    <x v="8"/>
    <x v="24"/>
  </r>
  <r>
    <x v="13"/>
    <x v="15"/>
    <x v="23"/>
    <x v="24"/>
  </r>
  <r>
    <x v="3"/>
    <x v="6"/>
    <x v="13"/>
    <x v="25"/>
  </r>
  <r>
    <x v="0"/>
    <x v="16"/>
    <x v="21"/>
    <x v="8"/>
  </r>
  <r>
    <x v="11"/>
    <x v="17"/>
    <x v="5"/>
    <x v="3"/>
  </r>
  <r>
    <x v="18"/>
    <x v="17"/>
    <x v="24"/>
    <x v="23"/>
  </r>
  <r>
    <x v="5"/>
    <x v="6"/>
    <x v="20"/>
    <x v="0"/>
  </r>
  <r>
    <x v="10"/>
    <x v="18"/>
    <x v="2"/>
    <x v="17"/>
  </r>
  <r>
    <x v="19"/>
    <x v="5"/>
    <x v="20"/>
    <x v="22"/>
  </r>
  <r>
    <x v="15"/>
    <x v="12"/>
    <x v="2"/>
    <x v="17"/>
  </r>
  <r>
    <x v="8"/>
    <x v="9"/>
    <x v="25"/>
    <x v="16"/>
  </r>
  <r>
    <x v="7"/>
    <x v="20"/>
    <x v="10"/>
    <x v="13"/>
  </r>
  <r>
    <x v="19"/>
    <x v="21"/>
    <x v="7"/>
    <x v="9"/>
  </r>
  <r>
    <x v="5"/>
    <x v="3"/>
    <x v="1"/>
    <x v="23"/>
  </r>
  <r>
    <x v="19"/>
    <x v="21"/>
    <x v="6"/>
    <x v="5"/>
  </r>
  <r>
    <x v="9"/>
    <x v="10"/>
    <x v="14"/>
    <x v="12"/>
  </r>
  <r>
    <x v="12"/>
    <x v="6"/>
    <x v="5"/>
    <x v="3"/>
  </r>
  <r>
    <x v="6"/>
    <x v="19"/>
    <x v="21"/>
    <x v="0"/>
  </r>
  <r>
    <x v="4"/>
    <x v="0"/>
    <x v="21"/>
    <x v="5"/>
  </r>
  <r>
    <x v="7"/>
    <x v="5"/>
    <x v="22"/>
    <x v="8"/>
  </r>
  <r>
    <x v="12"/>
    <x v="5"/>
    <x v="10"/>
    <x v="3"/>
  </r>
  <r>
    <x v="5"/>
    <x v="5"/>
    <x v="0"/>
    <x v="26"/>
  </r>
  <r>
    <x v="11"/>
    <x v="19"/>
    <x v="13"/>
    <x v="5"/>
  </r>
  <r>
    <x v="15"/>
    <x v="13"/>
    <x v="16"/>
    <x v="2"/>
  </r>
  <r>
    <x v="19"/>
    <x v="17"/>
    <x v="13"/>
    <x v="21"/>
  </r>
  <r>
    <x v="14"/>
    <x v="5"/>
    <x v="10"/>
    <x v="8"/>
  </r>
  <r>
    <x v="2"/>
    <x v="2"/>
    <x v="23"/>
    <x v="19"/>
  </r>
  <r>
    <x v="11"/>
    <x v="6"/>
    <x v="5"/>
    <x v="5"/>
  </r>
  <r>
    <x v="7"/>
    <x v="4"/>
    <x v="22"/>
    <x v="5"/>
  </r>
  <r>
    <x v="19"/>
    <x v="20"/>
    <x v="10"/>
    <x v="0"/>
  </r>
  <r>
    <x v="11"/>
    <x v="4"/>
    <x v="13"/>
    <x v="3"/>
  </r>
  <r>
    <x v="5"/>
    <x v="1"/>
    <x v="12"/>
    <x v="4"/>
  </r>
  <r>
    <x v="11"/>
    <x v="5"/>
    <x v="6"/>
    <x v="3"/>
  </r>
  <r>
    <x v="8"/>
    <x v="2"/>
    <x v="25"/>
    <x v="12"/>
  </r>
  <r>
    <x v="1"/>
    <x v="1"/>
    <x v="3"/>
    <x v="15"/>
  </r>
  <r>
    <x v="12"/>
    <x v="15"/>
    <x v="11"/>
    <x v="27"/>
  </r>
  <r>
    <x v="16"/>
    <x v="19"/>
    <x v="19"/>
    <x v="0"/>
  </r>
  <r>
    <x v="13"/>
    <x v="13"/>
    <x v="15"/>
    <x v="10"/>
  </r>
  <r>
    <x v="2"/>
    <x v="2"/>
    <x v="8"/>
    <x v="16"/>
  </r>
  <r>
    <x v="13"/>
    <x v="2"/>
    <x v="8"/>
    <x v="28"/>
  </r>
  <r>
    <x v="15"/>
    <x v="13"/>
    <x v="2"/>
    <x v="14"/>
  </r>
  <r>
    <x v="15"/>
    <x v="15"/>
    <x v="15"/>
    <x v="27"/>
  </r>
  <r>
    <x v="19"/>
    <x v="19"/>
    <x v="1"/>
    <x v="4"/>
  </r>
  <r>
    <x v="11"/>
    <x v="14"/>
    <x v="12"/>
    <x v="3"/>
  </r>
  <r>
    <x v="14"/>
    <x v="3"/>
    <x v="1"/>
    <x v="8"/>
  </r>
  <r>
    <x v="11"/>
    <x v="7"/>
    <x v="0"/>
    <x v="3"/>
  </r>
  <r>
    <x v="19"/>
    <x v="5"/>
    <x v="24"/>
    <x v="23"/>
  </r>
  <r>
    <x v="4"/>
    <x v="0"/>
    <x v="21"/>
    <x v="3"/>
  </r>
  <r>
    <x v="1"/>
    <x v="22"/>
    <x v="5"/>
    <x v="23"/>
  </r>
  <r>
    <x v="9"/>
    <x v="8"/>
    <x v="9"/>
    <x v="17"/>
  </r>
  <r>
    <x v="0"/>
    <x v="1"/>
    <x v="22"/>
    <x v="15"/>
  </r>
  <r>
    <x v="13"/>
    <x v="13"/>
    <x v="11"/>
    <x v="19"/>
  </r>
  <r>
    <x v="11"/>
    <x v="19"/>
    <x v="21"/>
    <x v="9"/>
  </r>
  <r>
    <x v="2"/>
    <x v="13"/>
    <x v="2"/>
    <x v="6"/>
  </r>
  <r>
    <x v="19"/>
    <x v="19"/>
    <x v="3"/>
    <x v="5"/>
  </r>
  <r>
    <x v="5"/>
    <x v="5"/>
    <x v="22"/>
    <x v="4"/>
  </r>
  <r>
    <x v="20"/>
    <x v="11"/>
    <x v="17"/>
    <x v="25"/>
  </r>
  <r>
    <x v="0"/>
    <x v="19"/>
    <x v="7"/>
    <x v="21"/>
  </r>
  <r>
    <x v="19"/>
    <x v="3"/>
    <x v="21"/>
    <x v="9"/>
  </r>
  <r>
    <x v="9"/>
    <x v="10"/>
    <x v="18"/>
    <x v="19"/>
  </r>
  <r>
    <x v="3"/>
    <x v="19"/>
    <x v="12"/>
    <x v="3"/>
  </r>
  <r>
    <x v="14"/>
    <x v="16"/>
    <x v="5"/>
    <x v="20"/>
  </r>
  <r>
    <x v="6"/>
    <x v="16"/>
    <x v="10"/>
    <x v="3"/>
  </r>
  <r>
    <x v="13"/>
    <x v="13"/>
    <x v="26"/>
    <x v="12"/>
  </r>
  <r>
    <x v="14"/>
    <x v="4"/>
    <x v="1"/>
    <x v="3"/>
  </r>
  <r>
    <x v="9"/>
    <x v="18"/>
    <x v="16"/>
    <x v="17"/>
  </r>
  <r>
    <x v="15"/>
    <x v="8"/>
    <x v="27"/>
    <x v="11"/>
  </r>
  <r>
    <x v="14"/>
    <x v="1"/>
    <x v="22"/>
    <x v="8"/>
  </r>
  <r>
    <x v="3"/>
    <x v="19"/>
    <x v="21"/>
    <x v="4"/>
  </r>
  <r>
    <x v="12"/>
    <x v="20"/>
    <x v="10"/>
    <x v="8"/>
  </r>
  <r>
    <x v="9"/>
    <x v="13"/>
    <x v="8"/>
    <x v="12"/>
  </r>
  <r>
    <x v="15"/>
    <x v="15"/>
    <x v="23"/>
    <x v="19"/>
  </r>
  <r>
    <x v="18"/>
    <x v="19"/>
    <x v="17"/>
    <x v="15"/>
  </r>
  <r>
    <x v="11"/>
    <x v="4"/>
    <x v="20"/>
    <x v="20"/>
  </r>
  <r>
    <x v="19"/>
    <x v="3"/>
    <x v="21"/>
    <x v="4"/>
  </r>
  <r>
    <x v="18"/>
    <x v="22"/>
    <x v="20"/>
    <x v="21"/>
  </r>
  <r>
    <x v="11"/>
    <x v="17"/>
    <x v="12"/>
    <x v="8"/>
  </r>
  <r>
    <x v="14"/>
    <x v="4"/>
    <x v="19"/>
    <x v="5"/>
  </r>
  <r>
    <x v="15"/>
    <x v="8"/>
    <x v="27"/>
    <x v="14"/>
  </r>
  <r>
    <x v="3"/>
    <x v="0"/>
    <x v="7"/>
    <x v="9"/>
  </r>
  <r>
    <x v="13"/>
    <x v="13"/>
    <x v="9"/>
    <x v="17"/>
  </r>
  <r>
    <x v="3"/>
    <x v="16"/>
    <x v="1"/>
    <x v="15"/>
  </r>
  <r>
    <x v="3"/>
    <x v="19"/>
    <x v="3"/>
    <x v="4"/>
  </r>
  <r>
    <x v="18"/>
    <x v="20"/>
    <x v="20"/>
    <x v="21"/>
  </r>
  <r>
    <x v="1"/>
    <x v="4"/>
    <x v="7"/>
    <x v="4"/>
  </r>
  <r>
    <x v="8"/>
    <x v="10"/>
    <x v="25"/>
    <x v="10"/>
  </r>
  <r>
    <x v="0"/>
    <x v="16"/>
    <x v="13"/>
    <x v="18"/>
  </r>
  <r>
    <x v="5"/>
    <x v="1"/>
    <x v="10"/>
    <x v="4"/>
  </r>
  <r>
    <x v="10"/>
    <x v="13"/>
    <x v="28"/>
    <x v="11"/>
  </r>
  <r>
    <x v="8"/>
    <x v="2"/>
    <x v="15"/>
    <x v="19"/>
  </r>
  <r>
    <x v="1"/>
    <x v="21"/>
    <x v="22"/>
    <x v="3"/>
  </r>
  <r>
    <x v="12"/>
    <x v="5"/>
    <x v="3"/>
    <x v="15"/>
  </r>
  <r>
    <x v="17"/>
    <x v="5"/>
    <x v="19"/>
    <x v="23"/>
  </r>
  <r>
    <x v="2"/>
    <x v="8"/>
    <x v="2"/>
    <x v="17"/>
  </r>
  <r>
    <x v="7"/>
    <x v="1"/>
    <x v="4"/>
    <x v="15"/>
  </r>
  <r>
    <x v="3"/>
    <x v="6"/>
    <x v="24"/>
    <x v="20"/>
  </r>
  <r>
    <x v="8"/>
    <x v="9"/>
    <x v="15"/>
    <x v="10"/>
  </r>
  <r>
    <x v="14"/>
    <x v="14"/>
    <x v="5"/>
    <x v="9"/>
  </r>
  <r>
    <x v="11"/>
    <x v="6"/>
    <x v="22"/>
    <x v="13"/>
  </r>
  <r>
    <x v="19"/>
    <x v="19"/>
    <x v="21"/>
    <x v="8"/>
  </r>
  <r>
    <x v="6"/>
    <x v="4"/>
    <x v="22"/>
    <x v="5"/>
  </r>
  <r>
    <x v="5"/>
    <x v="20"/>
    <x v="21"/>
    <x v="18"/>
  </r>
  <r>
    <x v="6"/>
    <x v="16"/>
    <x v="1"/>
    <x v="4"/>
  </r>
  <r>
    <x v="2"/>
    <x v="9"/>
    <x v="14"/>
    <x v="12"/>
  </r>
  <r>
    <x v="7"/>
    <x v="17"/>
    <x v="3"/>
    <x v="8"/>
  </r>
  <r>
    <x v="2"/>
    <x v="15"/>
    <x v="25"/>
    <x v="24"/>
  </r>
  <r>
    <x v="19"/>
    <x v="4"/>
    <x v="21"/>
    <x v="26"/>
  </r>
  <r>
    <x v="9"/>
    <x v="8"/>
    <x v="2"/>
    <x v="11"/>
  </r>
  <r>
    <x v="4"/>
    <x v="17"/>
    <x v="5"/>
    <x v="7"/>
  </r>
  <r>
    <x v="18"/>
    <x v="20"/>
    <x v="13"/>
    <x v="18"/>
  </r>
  <r>
    <x v="2"/>
    <x v="12"/>
    <x v="9"/>
    <x v="17"/>
  </r>
  <r>
    <x v="15"/>
    <x v="13"/>
    <x v="16"/>
    <x v="14"/>
  </r>
  <r>
    <x v="14"/>
    <x v="5"/>
    <x v="0"/>
    <x v="9"/>
  </r>
  <r>
    <x v="0"/>
    <x v="3"/>
    <x v="21"/>
    <x v="4"/>
  </r>
  <r>
    <x v="17"/>
    <x v="17"/>
    <x v="17"/>
    <x v="21"/>
  </r>
  <r>
    <x v="17"/>
    <x v="5"/>
    <x v="24"/>
    <x v="0"/>
  </r>
  <r>
    <x v="14"/>
    <x v="22"/>
    <x v="10"/>
    <x v="18"/>
  </r>
  <r>
    <x v="13"/>
    <x v="13"/>
    <x v="15"/>
    <x v="12"/>
  </r>
  <r>
    <x v="3"/>
    <x v="0"/>
    <x v="0"/>
    <x v="18"/>
  </r>
  <r>
    <x v="4"/>
    <x v="1"/>
    <x v="19"/>
    <x v="3"/>
  </r>
  <r>
    <x v="6"/>
    <x v="6"/>
    <x v="13"/>
    <x v="7"/>
  </r>
  <r>
    <x v="11"/>
    <x v="3"/>
    <x v="0"/>
    <x v="18"/>
  </r>
  <r>
    <x v="1"/>
    <x v="5"/>
    <x v="13"/>
    <x v="0"/>
  </r>
  <r>
    <x v="1"/>
    <x v="6"/>
    <x v="20"/>
    <x v="13"/>
  </r>
  <r>
    <x v="3"/>
    <x v="3"/>
    <x v="20"/>
    <x v="13"/>
  </r>
  <r>
    <x v="5"/>
    <x v="4"/>
    <x v="22"/>
    <x v="0"/>
  </r>
  <r>
    <x v="9"/>
    <x v="9"/>
    <x v="8"/>
    <x v="16"/>
  </r>
  <r>
    <x v="9"/>
    <x v="8"/>
    <x v="2"/>
    <x v="2"/>
  </r>
  <r>
    <x v="15"/>
    <x v="8"/>
    <x v="16"/>
    <x v="6"/>
  </r>
  <r>
    <x v="12"/>
    <x v="2"/>
    <x v="14"/>
    <x v="19"/>
  </r>
  <r>
    <x v="9"/>
    <x v="2"/>
    <x v="2"/>
    <x v="11"/>
  </r>
  <r>
    <x v="12"/>
    <x v="3"/>
    <x v="19"/>
    <x v="4"/>
  </r>
  <r>
    <x v="11"/>
    <x v="7"/>
    <x v="0"/>
    <x v="5"/>
  </r>
  <r>
    <x v="15"/>
    <x v="18"/>
    <x v="9"/>
    <x v="17"/>
  </r>
  <r>
    <x v="18"/>
    <x v="22"/>
    <x v="10"/>
    <x v="22"/>
  </r>
  <r>
    <x v="4"/>
    <x v="0"/>
    <x v="1"/>
    <x v="4"/>
  </r>
  <r>
    <x v="13"/>
    <x v="8"/>
    <x v="16"/>
    <x v="2"/>
  </r>
  <r>
    <x v="9"/>
    <x v="8"/>
    <x v="16"/>
    <x v="17"/>
  </r>
  <r>
    <x v="15"/>
    <x v="2"/>
    <x v="2"/>
    <x v="6"/>
  </r>
  <r>
    <x v="18"/>
    <x v="11"/>
    <x v="10"/>
    <x v="0"/>
  </r>
  <r>
    <x v="8"/>
    <x v="15"/>
    <x v="18"/>
    <x v="24"/>
  </r>
  <r>
    <x v="16"/>
    <x v="17"/>
    <x v="1"/>
    <x v="18"/>
  </r>
  <r>
    <x v="9"/>
    <x v="9"/>
    <x v="23"/>
    <x v="24"/>
  </r>
  <r>
    <x v="4"/>
    <x v="20"/>
    <x v="0"/>
    <x v="7"/>
  </r>
  <r>
    <x v="21"/>
    <x v="23"/>
    <x v="21"/>
    <x v="23"/>
  </r>
  <r>
    <x v="5"/>
    <x v="0"/>
    <x v="22"/>
    <x v="4"/>
  </r>
  <r>
    <x v="6"/>
    <x v="0"/>
    <x v="7"/>
    <x v="3"/>
  </r>
  <r>
    <x v="2"/>
    <x v="15"/>
    <x v="8"/>
    <x v="24"/>
  </r>
  <r>
    <x v="13"/>
    <x v="13"/>
    <x v="16"/>
    <x v="2"/>
  </r>
  <r>
    <x v="19"/>
    <x v="1"/>
    <x v="24"/>
    <x v="7"/>
  </r>
  <r>
    <x v="15"/>
    <x v="13"/>
    <x v="23"/>
    <x v="19"/>
  </r>
  <r>
    <x v="7"/>
    <x v="0"/>
    <x v="3"/>
    <x v="15"/>
  </r>
  <r>
    <x v="16"/>
    <x v="6"/>
    <x v="22"/>
    <x v="20"/>
  </r>
  <r>
    <x v="13"/>
    <x v="13"/>
    <x v="28"/>
    <x v="11"/>
  </r>
  <r>
    <x v="15"/>
    <x v="13"/>
    <x v="16"/>
    <x v="6"/>
  </r>
  <r>
    <x v="5"/>
    <x v="17"/>
    <x v="7"/>
    <x v="9"/>
  </r>
  <r>
    <x v="5"/>
    <x v="19"/>
    <x v="10"/>
    <x v="25"/>
  </r>
  <r>
    <x v="14"/>
    <x v="4"/>
    <x v="6"/>
    <x v="3"/>
  </r>
  <r>
    <x v="3"/>
    <x v="0"/>
    <x v="21"/>
    <x v="3"/>
  </r>
  <r>
    <x v="14"/>
    <x v="22"/>
    <x v="24"/>
    <x v="22"/>
  </r>
  <r>
    <x v="5"/>
    <x v="3"/>
    <x v="4"/>
    <x v="8"/>
  </r>
  <r>
    <x v="2"/>
    <x v="18"/>
    <x v="27"/>
    <x v="6"/>
  </r>
  <r>
    <x v="9"/>
    <x v="18"/>
    <x v="2"/>
    <x v="2"/>
  </r>
  <r>
    <x v="14"/>
    <x v="1"/>
    <x v="1"/>
    <x v="20"/>
  </r>
  <r>
    <x v="0"/>
    <x v="14"/>
    <x v="5"/>
    <x v="9"/>
  </r>
  <r>
    <x v="15"/>
    <x v="12"/>
    <x v="16"/>
    <x v="2"/>
  </r>
  <r>
    <x v="14"/>
    <x v="19"/>
    <x v="13"/>
    <x v="18"/>
  </r>
  <r>
    <x v="13"/>
    <x v="13"/>
    <x v="16"/>
    <x v="17"/>
  </r>
  <r>
    <x v="13"/>
    <x v="18"/>
    <x v="16"/>
    <x v="6"/>
  </r>
  <r>
    <x v="6"/>
    <x v="0"/>
    <x v="3"/>
    <x v="20"/>
  </r>
  <r>
    <x v="3"/>
    <x v="16"/>
    <x v="19"/>
    <x v="21"/>
  </r>
  <r>
    <x v="12"/>
    <x v="0"/>
    <x v="7"/>
    <x v="3"/>
  </r>
  <r>
    <x v="3"/>
    <x v="3"/>
    <x v="17"/>
    <x v="18"/>
  </r>
  <r>
    <x v="8"/>
    <x v="2"/>
    <x v="25"/>
    <x v="10"/>
  </r>
  <r>
    <x v="6"/>
    <x v="17"/>
    <x v="1"/>
    <x v="5"/>
  </r>
  <r>
    <x v="14"/>
    <x v="5"/>
    <x v="21"/>
    <x v="18"/>
  </r>
  <r>
    <x v="13"/>
    <x v="13"/>
    <x v="14"/>
    <x v="28"/>
  </r>
  <r>
    <x v="11"/>
    <x v="6"/>
    <x v="22"/>
    <x v="8"/>
  </r>
  <r>
    <x v="17"/>
    <x v="5"/>
    <x v="1"/>
    <x v="7"/>
  </r>
  <r>
    <x v="15"/>
    <x v="8"/>
    <x v="27"/>
    <x v="2"/>
  </r>
  <r>
    <x v="19"/>
    <x v="1"/>
    <x v="5"/>
    <x v="15"/>
  </r>
  <r>
    <x v="16"/>
    <x v="22"/>
    <x v="1"/>
    <x v="18"/>
  </r>
  <r>
    <x v="14"/>
    <x v="19"/>
    <x v="13"/>
    <x v="18"/>
  </r>
  <r>
    <x v="9"/>
    <x v="13"/>
    <x v="14"/>
    <x v="12"/>
  </r>
  <r>
    <x v="4"/>
    <x v="3"/>
    <x v="3"/>
    <x v="9"/>
  </r>
  <r>
    <x v="18"/>
    <x v="16"/>
    <x v="10"/>
    <x v="18"/>
  </r>
  <r>
    <x v="14"/>
    <x v="17"/>
    <x v="0"/>
    <x v="13"/>
  </r>
  <r>
    <x v="14"/>
    <x v="3"/>
    <x v="10"/>
    <x v="7"/>
  </r>
  <r>
    <x v="8"/>
    <x v="2"/>
    <x v="25"/>
    <x v="24"/>
  </r>
  <r>
    <x v="12"/>
    <x v="20"/>
    <x v="19"/>
    <x v="0"/>
  </r>
  <r>
    <x v="6"/>
    <x v="20"/>
    <x v="10"/>
    <x v="0"/>
  </r>
  <r>
    <x v="3"/>
    <x v="20"/>
    <x v="13"/>
    <x v="18"/>
  </r>
  <r>
    <x v="3"/>
    <x v="17"/>
    <x v="10"/>
    <x v="21"/>
  </r>
  <r>
    <x v="5"/>
    <x v="19"/>
    <x v="1"/>
    <x v="4"/>
  </r>
  <r>
    <x v="12"/>
    <x v="0"/>
    <x v="3"/>
    <x v="21"/>
  </r>
  <r>
    <x v="2"/>
    <x v="9"/>
    <x v="14"/>
    <x v="24"/>
  </r>
  <r>
    <x v="0"/>
    <x v="5"/>
    <x v="7"/>
    <x v="13"/>
  </r>
  <r>
    <x v="11"/>
    <x v="4"/>
    <x v="1"/>
    <x v="13"/>
  </r>
  <r>
    <x v="13"/>
    <x v="13"/>
    <x v="25"/>
    <x v="19"/>
  </r>
  <r>
    <x v="6"/>
    <x v="6"/>
    <x v="0"/>
    <x v="8"/>
  </r>
  <r>
    <x v="11"/>
    <x v="4"/>
    <x v="5"/>
    <x v="20"/>
  </r>
  <r>
    <x v="2"/>
    <x v="12"/>
    <x v="9"/>
    <x v="11"/>
  </r>
  <r>
    <x v="15"/>
    <x v="2"/>
    <x v="15"/>
    <x v="16"/>
  </r>
  <r>
    <x v="15"/>
    <x v="15"/>
    <x v="14"/>
    <x v="19"/>
  </r>
  <r>
    <x v="1"/>
    <x v="11"/>
    <x v="5"/>
    <x v="7"/>
  </r>
  <r>
    <x v="14"/>
    <x v="17"/>
    <x v="1"/>
    <x v="7"/>
  </r>
  <r>
    <x v="14"/>
    <x v="20"/>
    <x v="29"/>
    <x v="7"/>
  </r>
  <r>
    <x v="10"/>
    <x v="2"/>
    <x v="2"/>
    <x v="17"/>
  </r>
  <r>
    <x v="6"/>
    <x v="17"/>
    <x v="1"/>
    <x v="0"/>
  </r>
  <r>
    <x v="3"/>
    <x v="4"/>
    <x v="22"/>
    <x v="26"/>
  </r>
  <r>
    <x v="0"/>
    <x v="14"/>
    <x v="21"/>
    <x v="3"/>
  </r>
  <r>
    <x v="17"/>
    <x v="11"/>
    <x v="24"/>
    <x v="7"/>
  </r>
  <r>
    <x v="15"/>
    <x v="18"/>
    <x v="16"/>
    <x v="2"/>
  </r>
  <r>
    <x v="18"/>
    <x v="16"/>
    <x v="13"/>
    <x v="7"/>
  </r>
  <r>
    <x v="7"/>
    <x v="20"/>
    <x v="19"/>
    <x v="18"/>
  </r>
  <r>
    <x v="19"/>
    <x v="3"/>
    <x v="1"/>
    <x v="21"/>
  </r>
  <r>
    <x v="7"/>
    <x v="5"/>
    <x v="22"/>
    <x v="8"/>
  </r>
  <r>
    <x v="6"/>
    <x v="6"/>
    <x v="5"/>
    <x v="3"/>
  </r>
  <r>
    <x v="18"/>
    <x v="3"/>
    <x v="13"/>
    <x v="21"/>
  </r>
  <r>
    <x v="16"/>
    <x v="5"/>
    <x v="22"/>
    <x v="21"/>
  </r>
  <r>
    <x v="10"/>
    <x v="18"/>
    <x v="2"/>
    <x v="11"/>
  </r>
  <r>
    <x v="7"/>
    <x v="20"/>
    <x v="0"/>
    <x v="13"/>
  </r>
  <r>
    <x v="12"/>
    <x v="5"/>
    <x v="7"/>
    <x v="5"/>
  </r>
  <r>
    <x v="3"/>
    <x v="0"/>
    <x v="21"/>
    <x v="15"/>
  </r>
  <r>
    <x v="0"/>
    <x v="1"/>
    <x v="12"/>
    <x v="3"/>
  </r>
  <r>
    <x v="19"/>
    <x v="11"/>
    <x v="17"/>
    <x v="22"/>
  </r>
  <r>
    <x v="13"/>
    <x v="13"/>
    <x v="16"/>
    <x v="2"/>
  </r>
  <r>
    <x v="13"/>
    <x v="9"/>
    <x v="8"/>
    <x v="16"/>
  </r>
  <r>
    <x v="19"/>
    <x v="0"/>
    <x v="13"/>
    <x v="5"/>
  </r>
  <r>
    <x v="4"/>
    <x v="3"/>
    <x v="6"/>
    <x v="26"/>
  </r>
  <r>
    <x v="14"/>
    <x v="1"/>
    <x v="19"/>
    <x v="5"/>
  </r>
  <r>
    <x v="9"/>
    <x v="18"/>
    <x v="2"/>
    <x v="6"/>
  </r>
  <r>
    <x v="15"/>
    <x v="13"/>
    <x v="9"/>
    <x v="2"/>
  </r>
  <r>
    <x v="2"/>
    <x v="8"/>
    <x v="2"/>
    <x v="2"/>
  </r>
  <r>
    <x v="9"/>
    <x v="13"/>
    <x v="2"/>
    <x v="2"/>
  </r>
  <r>
    <x v="21"/>
    <x v="5"/>
    <x v="13"/>
    <x v="15"/>
  </r>
  <r>
    <x v="13"/>
    <x v="12"/>
    <x v="2"/>
    <x v="2"/>
  </r>
  <r>
    <x v="13"/>
    <x v="12"/>
    <x v="16"/>
    <x v="14"/>
  </r>
  <r>
    <x v="5"/>
    <x v="19"/>
    <x v="1"/>
    <x v="13"/>
  </r>
  <r>
    <x v="13"/>
    <x v="2"/>
    <x v="8"/>
    <x v="28"/>
  </r>
  <r>
    <x v="4"/>
    <x v="17"/>
    <x v="21"/>
    <x v="13"/>
  </r>
  <r>
    <x v="0"/>
    <x v="6"/>
    <x v="1"/>
    <x v="3"/>
  </r>
  <r>
    <x v="15"/>
    <x v="2"/>
    <x v="9"/>
    <x v="2"/>
  </r>
  <r>
    <x v="13"/>
    <x v="10"/>
    <x v="25"/>
    <x v="12"/>
  </r>
  <r>
    <x v="4"/>
    <x v="7"/>
    <x v="21"/>
    <x v="3"/>
  </r>
  <r>
    <x v="2"/>
    <x v="18"/>
    <x v="9"/>
    <x v="17"/>
  </r>
  <r>
    <x v="21"/>
    <x v="11"/>
    <x v="5"/>
    <x v="25"/>
  </r>
  <r>
    <x v="13"/>
    <x v="2"/>
    <x v="16"/>
    <x v="2"/>
  </r>
  <r>
    <x v="8"/>
    <x v="10"/>
    <x v="14"/>
    <x v="12"/>
  </r>
  <r>
    <x v="5"/>
    <x v="16"/>
    <x v="3"/>
    <x v="0"/>
  </r>
  <r>
    <x v="16"/>
    <x v="6"/>
    <x v="24"/>
    <x v="25"/>
  </r>
  <r>
    <x v="0"/>
    <x v="5"/>
    <x v="5"/>
    <x v="15"/>
  </r>
  <r>
    <x v="5"/>
    <x v="4"/>
    <x v="21"/>
    <x v="20"/>
  </r>
  <r>
    <x v="11"/>
    <x v="17"/>
    <x v="19"/>
    <x v="18"/>
  </r>
  <r>
    <x v="4"/>
    <x v="4"/>
    <x v="13"/>
    <x v="0"/>
  </r>
  <r>
    <x v="3"/>
    <x v="6"/>
    <x v="24"/>
    <x v="7"/>
  </r>
  <r>
    <x v="13"/>
    <x v="8"/>
    <x v="2"/>
    <x v="17"/>
  </r>
  <r>
    <x v="5"/>
    <x v="3"/>
    <x v="5"/>
    <x v="8"/>
  </r>
  <r>
    <x v="4"/>
    <x v="1"/>
    <x v="13"/>
    <x v="21"/>
  </r>
  <r>
    <x v="11"/>
    <x v="17"/>
    <x v="7"/>
    <x v="20"/>
  </r>
  <r>
    <x v="12"/>
    <x v="1"/>
    <x v="6"/>
    <x v="5"/>
  </r>
  <r>
    <x v="9"/>
    <x v="2"/>
    <x v="16"/>
    <x v="17"/>
  </r>
  <r>
    <x v="6"/>
    <x v="19"/>
    <x v="13"/>
    <x v="8"/>
  </r>
  <r>
    <x v="19"/>
    <x v="19"/>
    <x v="5"/>
    <x v="20"/>
  </r>
  <r>
    <x v="8"/>
    <x v="9"/>
    <x v="23"/>
    <x v="24"/>
  </r>
  <r>
    <x v="5"/>
    <x v="1"/>
    <x v="21"/>
    <x v="4"/>
  </r>
  <r>
    <x v="14"/>
    <x v="3"/>
    <x v="7"/>
    <x v="15"/>
  </r>
  <r>
    <x v="9"/>
    <x v="18"/>
    <x v="2"/>
    <x v="6"/>
  </r>
  <r>
    <x v="16"/>
    <x v="20"/>
    <x v="10"/>
    <x v="7"/>
  </r>
  <r>
    <x v="0"/>
    <x v="5"/>
    <x v="5"/>
    <x v="15"/>
  </r>
  <r>
    <x v="3"/>
    <x v="20"/>
    <x v="21"/>
    <x v="4"/>
  </r>
  <r>
    <x v="7"/>
    <x v="17"/>
    <x v="21"/>
    <x v="15"/>
  </r>
  <r>
    <x v="11"/>
    <x v="7"/>
    <x v="3"/>
    <x v="15"/>
  </r>
  <r>
    <x v="4"/>
    <x v="20"/>
    <x v="7"/>
    <x v="13"/>
  </r>
  <r>
    <x v="2"/>
    <x v="13"/>
    <x v="2"/>
    <x v="14"/>
  </r>
  <r>
    <x v="7"/>
    <x v="19"/>
    <x v="1"/>
    <x v="4"/>
  </r>
  <r>
    <x v="13"/>
    <x v="18"/>
    <x v="16"/>
    <x v="17"/>
  </r>
  <r>
    <x v="7"/>
    <x v="17"/>
    <x v="12"/>
    <x v="8"/>
  </r>
  <r>
    <x v="2"/>
    <x v="18"/>
    <x v="16"/>
    <x v="2"/>
  </r>
  <r>
    <x v="18"/>
    <x v="17"/>
    <x v="24"/>
    <x v="7"/>
  </r>
  <r>
    <x v="9"/>
    <x v="12"/>
    <x v="2"/>
    <x v="14"/>
  </r>
  <r>
    <x v="3"/>
    <x v="0"/>
    <x v="21"/>
    <x v="21"/>
  </r>
  <r>
    <x v="13"/>
    <x v="8"/>
    <x v="9"/>
    <x v="17"/>
  </r>
  <r>
    <x v="10"/>
    <x v="13"/>
    <x v="16"/>
    <x v="14"/>
  </r>
  <r>
    <x v="11"/>
    <x v="17"/>
    <x v="13"/>
    <x v="3"/>
  </r>
  <r>
    <x v="3"/>
    <x v="7"/>
    <x v="5"/>
    <x v="4"/>
  </r>
  <r>
    <x v="20"/>
    <x v="6"/>
    <x v="1"/>
    <x v="7"/>
  </r>
  <r>
    <x v="13"/>
    <x v="12"/>
    <x v="9"/>
    <x v="17"/>
  </r>
  <r>
    <x v="3"/>
    <x v="11"/>
    <x v="24"/>
    <x v="18"/>
  </r>
  <r>
    <x v="4"/>
    <x v="7"/>
    <x v="12"/>
    <x v="9"/>
  </r>
  <r>
    <x v="11"/>
    <x v="6"/>
    <x v="6"/>
    <x v="4"/>
  </r>
  <r>
    <x v="13"/>
    <x v="13"/>
    <x v="9"/>
    <x v="17"/>
  </r>
  <r>
    <x v="3"/>
    <x v="5"/>
    <x v="1"/>
    <x v="18"/>
  </r>
  <r>
    <x v="12"/>
    <x v="9"/>
    <x v="25"/>
    <x v="12"/>
  </r>
  <r>
    <x v="16"/>
    <x v="11"/>
    <x v="19"/>
    <x v="7"/>
  </r>
  <r>
    <x v="15"/>
    <x v="8"/>
    <x v="2"/>
    <x v="2"/>
  </r>
  <r>
    <x v="19"/>
    <x v="4"/>
    <x v="10"/>
    <x v="18"/>
  </r>
  <r>
    <x v="7"/>
    <x v="16"/>
    <x v="19"/>
    <x v="5"/>
  </r>
  <r>
    <x v="7"/>
    <x v="1"/>
    <x v="12"/>
    <x v="4"/>
  </r>
  <r>
    <x v="0"/>
    <x v="5"/>
    <x v="19"/>
    <x v="13"/>
  </r>
  <r>
    <x v="8"/>
    <x v="13"/>
    <x v="11"/>
    <x v="16"/>
  </r>
  <r>
    <x v="9"/>
    <x v="15"/>
    <x v="11"/>
    <x v="19"/>
  </r>
  <r>
    <x v="19"/>
    <x v="6"/>
    <x v="4"/>
    <x v="3"/>
  </r>
  <r>
    <x v="14"/>
    <x v="14"/>
    <x v="22"/>
    <x v="5"/>
  </r>
  <r>
    <x v="11"/>
    <x v="21"/>
    <x v="12"/>
    <x v="3"/>
  </r>
  <r>
    <x v="0"/>
    <x v="4"/>
    <x v="0"/>
    <x v="9"/>
  </r>
  <r>
    <x v="11"/>
    <x v="7"/>
    <x v="3"/>
    <x v="26"/>
  </r>
  <r>
    <x v="14"/>
    <x v="19"/>
    <x v="4"/>
    <x v="8"/>
  </r>
  <r>
    <x v="15"/>
    <x v="2"/>
    <x v="8"/>
    <x v="12"/>
  </r>
  <r>
    <x v="3"/>
    <x v="19"/>
    <x v="3"/>
    <x v="3"/>
  </r>
  <r>
    <x v="6"/>
    <x v="7"/>
    <x v="7"/>
    <x v="5"/>
  </r>
  <r>
    <x v="7"/>
    <x v="7"/>
    <x v="21"/>
    <x v="15"/>
  </r>
  <r>
    <x v="11"/>
    <x v="17"/>
    <x v="3"/>
    <x v="5"/>
  </r>
  <r>
    <x v="9"/>
    <x v="13"/>
    <x v="18"/>
    <x v="16"/>
  </r>
  <r>
    <x v="7"/>
    <x v="1"/>
    <x v="7"/>
    <x v="15"/>
  </r>
  <r>
    <x v="0"/>
    <x v="7"/>
    <x v="21"/>
    <x v="4"/>
  </r>
  <r>
    <x v="12"/>
    <x v="4"/>
    <x v="22"/>
    <x v="9"/>
  </r>
  <r>
    <x v="16"/>
    <x v="6"/>
    <x v="10"/>
    <x v="20"/>
  </r>
  <r>
    <x v="19"/>
    <x v="6"/>
    <x v="29"/>
    <x v="25"/>
  </r>
  <r>
    <x v="10"/>
    <x v="13"/>
    <x v="9"/>
    <x v="11"/>
  </r>
  <r>
    <x v="19"/>
    <x v="20"/>
    <x v="19"/>
    <x v="3"/>
  </r>
  <r>
    <x v="0"/>
    <x v="16"/>
    <x v="5"/>
    <x v="13"/>
  </r>
  <r>
    <x v="15"/>
    <x v="15"/>
    <x v="14"/>
    <x v="28"/>
  </r>
  <r>
    <x v="4"/>
    <x v="1"/>
    <x v="3"/>
    <x v="5"/>
  </r>
  <r>
    <x v="3"/>
    <x v="23"/>
    <x v="13"/>
    <x v="1"/>
  </r>
  <r>
    <x v="19"/>
    <x v="6"/>
    <x v="21"/>
    <x v="9"/>
  </r>
  <r>
    <x v="12"/>
    <x v="1"/>
    <x v="6"/>
    <x v="9"/>
  </r>
  <r>
    <x v="2"/>
    <x v="8"/>
    <x v="16"/>
    <x v="14"/>
  </r>
  <r>
    <x v="0"/>
    <x v="1"/>
    <x v="13"/>
    <x v="23"/>
  </r>
  <r>
    <x v="9"/>
    <x v="9"/>
    <x v="23"/>
    <x v="12"/>
  </r>
  <r>
    <x v="14"/>
    <x v="6"/>
    <x v="19"/>
    <x v="21"/>
  </r>
  <r>
    <x v="5"/>
    <x v="17"/>
    <x v="3"/>
    <x v="15"/>
  </r>
  <r>
    <x v="13"/>
    <x v="18"/>
    <x v="9"/>
    <x v="17"/>
  </r>
  <r>
    <x v="9"/>
    <x v="12"/>
    <x v="2"/>
    <x v="11"/>
  </r>
  <r>
    <x v="1"/>
    <x v="5"/>
    <x v="6"/>
    <x v="9"/>
  </r>
  <r>
    <x v="8"/>
    <x v="10"/>
    <x v="23"/>
    <x v="10"/>
  </r>
  <r>
    <x v="13"/>
    <x v="10"/>
    <x v="23"/>
    <x v="10"/>
  </r>
  <r>
    <x v="3"/>
    <x v="1"/>
    <x v="3"/>
    <x v="4"/>
  </r>
  <r>
    <x v="9"/>
    <x v="2"/>
    <x v="23"/>
    <x v="28"/>
  </r>
  <r>
    <x v="11"/>
    <x v="17"/>
    <x v="3"/>
    <x v="8"/>
  </r>
  <r>
    <x v="11"/>
    <x v="1"/>
    <x v="1"/>
    <x v="21"/>
  </r>
  <r>
    <x v="9"/>
    <x v="18"/>
    <x v="16"/>
    <x v="11"/>
  </r>
  <r>
    <x v="19"/>
    <x v="20"/>
    <x v="20"/>
    <x v="1"/>
  </r>
  <r>
    <x v="13"/>
    <x v="8"/>
    <x v="16"/>
    <x v="2"/>
  </r>
  <r>
    <x v="13"/>
    <x v="18"/>
    <x v="9"/>
    <x v="17"/>
  </r>
  <r>
    <x v="21"/>
    <x v="19"/>
    <x v="24"/>
    <x v="13"/>
  </r>
  <r>
    <x v="4"/>
    <x v="0"/>
    <x v="4"/>
    <x v="15"/>
  </r>
  <r>
    <x v="8"/>
    <x v="2"/>
    <x v="11"/>
    <x v="16"/>
  </r>
  <r>
    <x v="9"/>
    <x v="13"/>
    <x v="9"/>
    <x v="11"/>
  </r>
  <r>
    <x v="13"/>
    <x v="18"/>
    <x v="27"/>
    <x v="6"/>
  </r>
  <r>
    <x v="19"/>
    <x v="5"/>
    <x v="22"/>
    <x v="4"/>
  </r>
  <r>
    <x v="7"/>
    <x v="5"/>
    <x v="21"/>
    <x v="8"/>
  </r>
  <r>
    <x v="11"/>
    <x v="19"/>
    <x v="12"/>
    <x v="3"/>
  </r>
  <r>
    <x v="12"/>
    <x v="7"/>
    <x v="6"/>
    <x v="15"/>
  </r>
  <r>
    <x v="1"/>
    <x v="19"/>
    <x v="5"/>
    <x v="5"/>
  </r>
  <r>
    <x v="8"/>
    <x v="2"/>
    <x v="11"/>
    <x v="27"/>
  </r>
  <r>
    <x v="14"/>
    <x v="19"/>
    <x v="3"/>
    <x v="9"/>
  </r>
  <r>
    <x v="4"/>
    <x v="0"/>
    <x v="3"/>
    <x v="0"/>
  </r>
  <r>
    <x v="9"/>
    <x v="13"/>
    <x v="16"/>
    <x v="6"/>
  </r>
  <r>
    <x v="7"/>
    <x v="3"/>
    <x v="3"/>
    <x v="15"/>
  </r>
  <r>
    <x v="14"/>
    <x v="1"/>
    <x v="5"/>
    <x v="5"/>
  </r>
  <r>
    <x v="11"/>
    <x v="6"/>
    <x v="1"/>
    <x v="20"/>
  </r>
  <r>
    <x v="8"/>
    <x v="2"/>
    <x v="11"/>
    <x v="19"/>
  </r>
  <r>
    <x v="19"/>
    <x v="1"/>
    <x v="7"/>
    <x v="5"/>
  </r>
  <r>
    <x v="0"/>
    <x v="16"/>
    <x v="21"/>
    <x v="20"/>
  </r>
  <r>
    <x v="10"/>
    <x v="18"/>
    <x v="9"/>
    <x v="17"/>
  </r>
  <r>
    <x v="13"/>
    <x v="12"/>
    <x v="2"/>
    <x v="2"/>
  </r>
  <r>
    <x v="12"/>
    <x v="9"/>
    <x v="14"/>
    <x v="12"/>
  </r>
  <r>
    <x v="14"/>
    <x v="17"/>
    <x v="24"/>
    <x v="21"/>
  </r>
  <r>
    <x v="5"/>
    <x v="4"/>
    <x v="7"/>
    <x v="3"/>
  </r>
  <r>
    <x v="13"/>
    <x v="13"/>
    <x v="14"/>
    <x v="12"/>
  </r>
  <r>
    <x v="7"/>
    <x v="19"/>
    <x v="0"/>
    <x v="9"/>
  </r>
  <r>
    <x v="4"/>
    <x v="3"/>
    <x v="4"/>
    <x v="5"/>
  </r>
  <r>
    <x v="10"/>
    <x v="18"/>
    <x v="2"/>
    <x v="2"/>
  </r>
  <r>
    <x v="9"/>
    <x v="13"/>
    <x v="23"/>
    <x v="24"/>
  </r>
  <r>
    <x v="13"/>
    <x v="8"/>
    <x v="16"/>
    <x v="2"/>
  </r>
  <r>
    <x v="19"/>
    <x v="14"/>
    <x v="0"/>
    <x v="9"/>
  </r>
  <r>
    <x v="15"/>
    <x v="8"/>
    <x v="16"/>
    <x v="11"/>
  </r>
  <r>
    <x v="13"/>
    <x v="9"/>
    <x v="14"/>
    <x v="16"/>
  </r>
  <r>
    <x v="6"/>
    <x v="21"/>
    <x v="12"/>
    <x v="4"/>
  </r>
  <r>
    <x v="2"/>
    <x v="9"/>
    <x v="25"/>
    <x v="27"/>
  </r>
  <r>
    <x v="1"/>
    <x v="6"/>
    <x v="5"/>
    <x v="0"/>
  </r>
  <r>
    <x v="13"/>
    <x v="2"/>
    <x v="11"/>
    <x v="16"/>
  </r>
  <r>
    <x v="19"/>
    <x v="11"/>
    <x v="21"/>
    <x v="23"/>
  </r>
  <r>
    <x v="19"/>
    <x v="6"/>
    <x v="20"/>
    <x v="21"/>
  </r>
  <r>
    <x v="15"/>
    <x v="18"/>
    <x v="2"/>
    <x v="11"/>
  </r>
  <r>
    <x v="8"/>
    <x v="15"/>
    <x v="11"/>
    <x v="24"/>
  </r>
  <r>
    <x v="5"/>
    <x v="17"/>
    <x v="1"/>
    <x v="18"/>
  </r>
  <r>
    <x v="6"/>
    <x v="5"/>
    <x v="5"/>
    <x v="13"/>
  </r>
  <r>
    <x v="6"/>
    <x v="1"/>
    <x v="22"/>
    <x v="3"/>
  </r>
  <r>
    <x v="5"/>
    <x v="3"/>
    <x v="29"/>
    <x v="0"/>
  </r>
  <r>
    <x v="19"/>
    <x v="4"/>
    <x v="1"/>
    <x v="0"/>
  </r>
  <r>
    <x v="5"/>
    <x v="19"/>
    <x v="12"/>
    <x v="4"/>
  </r>
  <r>
    <x v="18"/>
    <x v="20"/>
    <x v="19"/>
    <x v="1"/>
  </r>
  <r>
    <x v="9"/>
    <x v="13"/>
    <x v="2"/>
    <x v="2"/>
  </r>
  <r>
    <x v="0"/>
    <x v="3"/>
    <x v="3"/>
    <x v="15"/>
  </r>
  <r>
    <x v="3"/>
    <x v="4"/>
    <x v="0"/>
    <x v="26"/>
  </r>
  <r>
    <x v="1"/>
    <x v="17"/>
    <x v="20"/>
    <x v="22"/>
  </r>
  <r>
    <x v="19"/>
    <x v="0"/>
    <x v="7"/>
    <x v="5"/>
  </r>
  <r>
    <x v="7"/>
    <x v="6"/>
    <x v="3"/>
    <x v="8"/>
  </r>
  <r>
    <x v="1"/>
    <x v="14"/>
    <x v="5"/>
    <x v="9"/>
  </r>
  <r>
    <x v="5"/>
    <x v="16"/>
    <x v="7"/>
    <x v="7"/>
  </r>
  <r>
    <x v="10"/>
    <x v="18"/>
    <x v="9"/>
    <x v="6"/>
  </r>
  <r>
    <x v="0"/>
    <x v="17"/>
    <x v="3"/>
    <x v="21"/>
  </r>
  <r>
    <x v="4"/>
    <x v="19"/>
    <x v="3"/>
    <x v="5"/>
  </r>
  <r>
    <x v="8"/>
    <x v="10"/>
    <x v="11"/>
    <x v="19"/>
  </r>
  <r>
    <x v="3"/>
    <x v="17"/>
    <x v="13"/>
    <x v="21"/>
  </r>
  <r>
    <x v="19"/>
    <x v="17"/>
    <x v="6"/>
    <x v="9"/>
  </r>
  <r>
    <x v="5"/>
    <x v="17"/>
    <x v="21"/>
    <x v="0"/>
  </r>
  <r>
    <x v="2"/>
    <x v="18"/>
    <x v="2"/>
    <x v="6"/>
  </r>
  <r>
    <x v="12"/>
    <x v="0"/>
    <x v="5"/>
    <x v="13"/>
  </r>
  <r>
    <x v="15"/>
    <x v="8"/>
    <x v="2"/>
    <x v="11"/>
  </r>
  <r>
    <x v="14"/>
    <x v="17"/>
    <x v="22"/>
    <x v="5"/>
  </r>
  <r>
    <x v="0"/>
    <x v="20"/>
    <x v="3"/>
    <x v="8"/>
  </r>
  <r>
    <x v="9"/>
    <x v="13"/>
    <x v="2"/>
    <x v="2"/>
  </r>
  <r>
    <x v="12"/>
    <x v="2"/>
    <x v="8"/>
    <x v="10"/>
  </r>
  <r>
    <x v="12"/>
    <x v="4"/>
    <x v="7"/>
    <x v="8"/>
  </r>
  <r>
    <x v="16"/>
    <x v="16"/>
    <x v="19"/>
    <x v="0"/>
  </r>
  <r>
    <x v="13"/>
    <x v="12"/>
    <x v="16"/>
    <x v="2"/>
  </r>
  <r>
    <x v="13"/>
    <x v="18"/>
    <x v="2"/>
    <x v="17"/>
  </r>
  <r>
    <x v="3"/>
    <x v="19"/>
    <x v="1"/>
    <x v="4"/>
  </r>
  <r>
    <x v="21"/>
    <x v="5"/>
    <x v="24"/>
    <x v="25"/>
  </r>
  <r>
    <x v="19"/>
    <x v="5"/>
    <x v="4"/>
    <x v="26"/>
  </r>
  <r>
    <x v="2"/>
    <x v="15"/>
    <x v="14"/>
    <x v="24"/>
  </r>
  <r>
    <x v="0"/>
    <x v="0"/>
    <x v="3"/>
    <x v="4"/>
  </r>
  <r>
    <x v="19"/>
    <x v="22"/>
    <x v="22"/>
    <x v="1"/>
  </r>
  <r>
    <x v="10"/>
    <x v="13"/>
    <x v="16"/>
    <x v="6"/>
  </r>
  <r>
    <x v="14"/>
    <x v="16"/>
    <x v="24"/>
    <x v="20"/>
  </r>
  <r>
    <x v="3"/>
    <x v="5"/>
    <x v="3"/>
    <x v="15"/>
  </r>
  <r>
    <x v="9"/>
    <x v="2"/>
    <x v="14"/>
    <x v="19"/>
  </r>
  <r>
    <x v="6"/>
    <x v="6"/>
    <x v="10"/>
    <x v="21"/>
  </r>
  <r>
    <x v="0"/>
    <x v="14"/>
    <x v="4"/>
    <x v="8"/>
  </r>
  <r>
    <x v="1"/>
    <x v="0"/>
    <x v="10"/>
    <x v="3"/>
  </r>
  <r>
    <x v="4"/>
    <x v="19"/>
    <x v="21"/>
    <x v="9"/>
  </r>
  <r>
    <x v="3"/>
    <x v="6"/>
    <x v="1"/>
    <x v="21"/>
  </r>
  <r>
    <x v="19"/>
    <x v="21"/>
    <x v="0"/>
    <x v="8"/>
  </r>
  <r>
    <x v="14"/>
    <x v="7"/>
    <x v="3"/>
    <x v="5"/>
  </r>
  <r>
    <x v="14"/>
    <x v="3"/>
    <x v="20"/>
    <x v="22"/>
  </r>
  <r>
    <x v="19"/>
    <x v="17"/>
    <x v="22"/>
    <x v="23"/>
  </r>
  <r>
    <x v="19"/>
    <x v="17"/>
    <x v="10"/>
    <x v="23"/>
  </r>
  <r>
    <x v="2"/>
    <x v="18"/>
    <x v="9"/>
    <x v="17"/>
  </r>
  <r>
    <x v="8"/>
    <x v="9"/>
    <x v="11"/>
    <x v="12"/>
  </r>
  <r>
    <x v="8"/>
    <x v="9"/>
    <x v="8"/>
    <x v="28"/>
  </r>
  <r>
    <x v="1"/>
    <x v="19"/>
    <x v="12"/>
    <x v="9"/>
  </r>
  <r>
    <x v="0"/>
    <x v="19"/>
    <x v="19"/>
    <x v="0"/>
  </r>
  <r>
    <x v="13"/>
    <x v="8"/>
    <x v="16"/>
    <x v="14"/>
  </r>
  <r>
    <x v="5"/>
    <x v="6"/>
    <x v="3"/>
    <x v="5"/>
  </r>
  <r>
    <x v="14"/>
    <x v="4"/>
    <x v="0"/>
    <x v="8"/>
  </r>
  <r>
    <x v="13"/>
    <x v="18"/>
    <x v="2"/>
    <x v="14"/>
  </r>
  <r>
    <x v="15"/>
    <x v="8"/>
    <x v="9"/>
    <x v="17"/>
  </r>
  <r>
    <x v="6"/>
    <x v="1"/>
    <x v="22"/>
    <x v="18"/>
  </r>
  <r>
    <x v="7"/>
    <x v="5"/>
    <x v="3"/>
    <x v="21"/>
  </r>
  <r>
    <x v="15"/>
    <x v="13"/>
    <x v="9"/>
    <x v="11"/>
  </r>
  <r>
    <x v="21"/>
    <x v="20"/>
    <x v="20"/>
    <x v="18"/>
  </r>
  <r>
    <x v="19"/>
    <x v="1"/>
    <x v="10"/>
    <x v="15"/>
  </r>
  <r>
    <x v="17"/>
    <x v="6"/>
    <x v="24"/>
    <x v="13"/>
  </r>
  <r>
    <x v="11"/>
    <x v="4"/>
    <x v="0"/>
    <x v="5"/>
  </r>
  <r>
    <x v="13"/>
    <x v="13"/>
    <x v="9"/>
    <x v="14"/>
  </r>
  <r>
    <x v="15"/>
    <x v="13"/>
    <x v="2"/>
    <x v="11"/>
  </r>
  <r>
    <x v="16"/>
    <x v="11"/>
    <x v="24"/>
    <x v="13"/>
  </r>
  <r>
    <x v="11"/>
    <x v="1"/>
    <x v="7"/>
    <x v="18"/>
  </r>
  <r>
    <x v="14"/>
    <x v="17"/>
    <x v="0"/>
    <x v="21"/>
  </r>
  <r>
    <x v="6"/>
    <x v="4"/>
    <x v="12"/>
    <x v="5"/>
  </r>
  <r>
    <x v="7"/>
    <x v="3"/>
    <x v="7"/>
    <x v="4"/>
  </r>
  <r>
    <x v="14"/>
    <x v="14"/>
    <x v="22"/>
    <x v="26"/>
  </r>
  <r>
    <x v="0"/>
    <x v="5"/>
    <x v="1"/>
    <x v="7"/>
  </r>
  <r>
    <x v="4"/>
    <x v="0"/>
    <x v="5"/>
    <x v="3"/>
  </r>
  <r>
    <x v="9"/>
    <x v="13"/>
    <x v="9"/>
    <x v="17"/>
  </r>
  <r>
    <x v="8"/>
    <x v="13"/>
    <x v="11"/>
    <x v="16"/>
  </r>
  <r>
    <x v="11"/>
    <x v="3"/>
    <x v="3"/>
    <x v="13"/>
  </r>
  <r>
    <x v="2"/>
    <x v="15"/>
    <x v="14"/>
    <x v="19"/>
  </r>
  <r>
    <x v="15"/>
    <x v="2"/>
    <x v="16"/>
    <x v="6"/>
  </r>
  <r>
    <x v="6"/>
    <x v="0"/>
    <x v="22"/>
    <x v="3"/>
  </r>
  <r>
    <x v="2"/>
    <x v="9"/>
    <x v="11"/>
    <x v="16"/>
  </r>
  <r>
    <x v="9"/>
    <x v="15"/>
    <x v="11"/>
    <x v="28"/>
  </r>
  <r>
    <x v="3"/>
    <x v="6"/>
    <x v="5"/>
    <x v="23"/>
  </r>
  <r>
    <x v="4"/>
    <x v="1"/>
    <x v="5"/>
    <x v="26"/>
  </r>
  <r>
    <x v="5"/>
    <x v="17"/>
    <x v="4"/>
    <x v="4"/>
  </r>
  <r>
    <x v="12"/>
    <x v="0"/>
    <x v="0"/>
    <x v="9"/>
  </r>
  <r>
    <x v="6"/>
    <x v="5"/>
    <x v="0"/>
    <x v="18"/>
  </r>
  <r>
    <x v="13"/>
    <x v="13"/>
    <x v="16"/>
    <x v="6"/>
  </r>
  <r>
    <x v="7"/>
    <x v="4"/>
    <x v="21"/>
    <x v="4"/>
  </r>
  <r>
    <x v="4"/>
    <x v="1"/>
    <x v="1"/>
    <x v="5"/>
  </r>
  <r>
    <x v="15"/>
    <x v="13"/>
    <x v="9"/>
    <x v="11"/>
  </r>
  <r>
    <x v="18"/>
    <x v="3"/>
    <x v="10"/>
    <x v="7"/>
  </r>
  <r>
    <x v="6"/>
    <x v="17"/>
    <x v="0"/>
    <x v="15"/>
  </r>
  <r>
    <x v="5"/>
    <x v="6"/>
    <x v="7"/>
    <x v="5"/>
  </r>
  <r>
    <x v="6"/>
    <x v="21"/>
    <x v="5"/>
    <x v="15"/>
  </r>
  <r>
    <x v="7"/>
    <x v="4"/>
    <x v="5"/>
    <x v="3"/>
  </r>
  <r>
    <x v="9"/>
    <x v="8"/>
    <x v="9"/>
    <x v="2"/>
  </r>
  <r>
    <x v="16"/>
    <x v="22"/>
    <x v="13"/>
    <x v="7"/>
  </r>
  <r>
    <x v="13"/>
    <x v="13"/>
    <x v="2"/>
    <x v="17"/>
  </r>
  <r>
    <x v="2"/>
    <x v="18"/>
    <x v="16"/>
    <x v="2"/>
  </r>
  <r>
    <x v="7"/>
    <x v="3"/>
    <x v="7"/>
    <x v="5"/>
  </r>
  <r>
    <x v="4"/>
    <x v="19"/>
    <x v="6"/>
    <x v="26"/>
  </r>
  <r>
    <x v="12"/>
    <x v="5"/>
    <x v="0"/>
    <x v="7"/>
  </r>
  <r>
    <x v="4"/>
    <x v="4"/>
    <x v="0"/>
    <x v="3"/>
  </r>
  <r>
    <x v="8"/>
    <x v="2"/>
    <x v="14"/>
    <x v="12"/>
  </r>
  <r>
    <x v="11"/>
    <x v="7"/>
    <x v="7"/>
    <x v="5"/>
  </r>
  <r>
    <x v="16"/>
    <x v="11"/>
    <x v="5"/>
    <x v="7"/>
  </r>
  <r>
    <x v="14"/>
    <x v="5"/>
    <x v="3"/>
    <x v="8"/>
  </r>
  <r>
    <x v="11"/>
    <x v="6"/>
    <x v="6"/>
    <x v="8"/>
  </r>
  <r>
    <x v="3"/>
    <x v="1"/>
    <x v="1"/>
    <x v="7"/>
  </r>
  <r>
    <x v="4"/>
    <x v="3"/>
    <x v="3"/>
    <x v="4"/>
  </r>
  <r>
    <x v="7"/>
    <x v="21"/>
    <x v="5"/>
    <x v="3"/>
  </r>
  <r>
    <x v="4"/>
    <x v="14"/>
    <x v="3"/>
    <x v="8"/>
  </r>
  <r>
    <x v="20"/>
    <x v="17"/>
    <x v="10"/>
    <x v="15"/>
  </r>
  <r>
    <x v="1"/>
    <x v="19"/>
    <x v="21"/>
    <x v="21"/>
  </r>
  <r>
    <x v="14"/>
    <x v="20"/>
    <x v="5"/>
    <x v="20"/>
  </r>
  <r>
    <x v="11"/>
    <x v="6"/>
    <x v="3"/>
    <x v="8"/>
  </r>
  <r>
    <x v="12"/>
    <x v="15"/>
    <x v="18"/>
    <x v="10"/>
  </r>
  <r>
    <x v="0"/>
    <x v="20"/>
    <x v="0"/>
    <x v="0"/>
  </r>
  <r>
    <x v="4"/>
    <x v="7"/>
    <x v="21"/>
    <x v="26"/>
  </r>
  <r>
    <x v="11"/>
    <x v="4"/>
    <x v="12"/>
    <x v="9"/>
  </r>
  <r>
    <x v="9"/>
    <x v="8"/>
    <x v="2"/>
    <x v="2"/>
  </r>
  <r>
    <x v="12"/>
    <x v="0"/>
    <x v="1"/>
    <x v="20"/>
  </r>
  <r>
    <x v="5"/>
    <x v="20"/>
    <x v="1"/>
    <x v="4"/>
  </r>
  <r>
    <x v="13"/>
    <x v="9"/>
    <x v="11"/>
    <x v="24"/>
  </r>
  <r>
    <x v="15"/>
    <x v="9"/>
    <x v="25"/>
    <x v="12"/>
  </r>
  <r>
    <x v="13"/>
    <x v="8"/>
    <x v="2"/>
    <x v="2"/>
  </r>
  <r>
    <x v="8"/>
    <x v="9"/>
    <x v="8"/>
    <x v="28"/>
  </r>
  <r>
    <x v="2"/>
    <x v="8"/>
    <x v="16"/>
    <x v="6"/>
  </r>
  <r>
    <x v="9"/>
    <x v="18"/>
    <x v="2"/>
    <x v="2"/>
  </r>
  <r>
    <x v="8"/>
    <x v="15"/>
    <x v="15"/>
    <x v="12"/>
  </r>
  <r>
    <x v="14"/>
    <x v="1"/>
    <x v="10"/>
    <x v="13"/>
  </r>
  <r>
    <x v="5"/>
    <x v="22"/>
    <x v="17"/>
    <x v="21"/>
  </r>
  <r>
    <x v="6"/>
    <x v="4"/>
    <x v="6"/>
    <x v="5"/>
  </r>
  <r>
    <x v="5"/>
    <x v="3"/>
    <x v="0"/>
    <x v="4"/>
  </r>
  <r>
    <x v="4"/>
    <x v="16"/>
    <x v="22"/>
    <x v="4"/>
  </r>
  <r>
    <x v="17"/>
    <x v="17"/>
    <x v="21"/>
    <x v="1"/>
  </r>
  <r>
    <x v="2"/>
    <x v="15"/>
    <x v="14"/>
    <x v="10"/>
  </r>
  <r>
    <x v="13"/>
    <x v="13"/>
    <x v="2"/>
    <x v="14"/>
  </r>
  <r>
    <x v="9"/>
    <x v="15"/>
    <x v="23"/>
    <x v="10"/>
  </r>
  <r>
    <x v="0"/>
    <x v="7"/>
    <x v="1"/>
    <x v="8"/>
  </r>
  <r>
    <x v="14"/>
    <x v="16"/>
    <x v="5"/>
    <x v="21"/>
  </r>
  <r>
    <x v="9"/>
    <x v="13"/>
    <x v="9"/>
    <x v="6"/>
  </r>
  <r>
    <x v="1"/>
    <x v="0"/>
    <x v="7"/>
    <x v="4"/>
  </r>
  <r>
    <x v="12"/>
    <x v="9"/>
    <x v="25"/>
    <x v="16"/>
  </r>
  <r>
    <x v="19"/>
    <x v="1"/>
    <x v="10"/>
    <x v="15"/>
  </r>
  <r>
    <x v="11"/>
    <x v="0"/>
    <x v="5"/>
    <x v="8"/>
  </r>
  <r>
    <x v="10"/>
    <x v="18"/>
    <x v="16"/>
    <x v="2"/>
  </r>
  <r>
    <x v="12"/>
    <x v="10"/>
    <x v="23"/>
    <x v="24"/>
  </r>
  <r>
    <x v="15"/>
    <x v="18"/>
    <x v="2"/>
    <x v="2"/>
  </r>
  <r>
    <x v="5"/>
    <x v="6"/>
    <x v="22"/>
    <x v="13"/>
  </r>
  <r>
    <x v="14"/>
    <x v="17"/>
    <x v="7"/>
    <x v="9"/>
  </r>
  <r>
    <x v="19"/>
    <x v="1"/>
    <x v="6"/>
    <x v="26"/>
  </r>
  <r>
    <x v="14"/>
    <x v="17"/>
    <x v="19"/>
    <x v="20"/>
  </r>
  <r>
    <x v="12"/>
    <x v="3"/>
    <x v="13"/>
    <x v="4"/>
  </r>
  <r>
    <x v="2"/>
    <x v="18"/>
    <x v="2"/>
    <x v="11"/>
  </r>
  <r>
    <x v="10"/>
    <x v="13"/>
    <x v="2"/>
    <x v="14"/>
  </r>
  <r>
    <x v="19"/>
    <x v="14"/>
    <x v="4"/>
    <x v="8"/>
  </r>
  <r>
    <x v="4"/>
    <x v="3"/>
    <x v="22"/>
    <x v="18"/>
  </r>
  <r>
    <x v="4"/>
    <x v="7"/>
    <x v="12"/>
    <x v="26"/>
  </r>
  <r>
    <x v="14"/>
    <x v="16"/>
    <x v="17"/>
    <x v="23"/>
  </r>
  <r>
    <x v="2"/>
    <x v="8"/>
    <x v="2"/>
    <x v="14"/>
  </r>
  <r>
    <x v="14"/>
    <x v="0"/>
    <x v="12"/>
    <x v="9"/>
  </r>
  <r>
    <x v="13"/>
    <x v="13"/>
    <x v="18"/>
    <x v="19"/>
  </r>
  <r>
    <x v="17"/>
    <x v="19"/>
    <x v="21"/>
    <x v="25"/>
  </r>
  <r>
    <x v="8"/>
    <x v="15"/>
    <x v="23"/>
    <x v="27"/>
  </r>
  <r>
    <x v="10"/>
    <x v="18"/>
    <x v="28"/>
    <x v="6"/>
  </r>
  <r>
    <x v="6"/>
    <x v="3"/>
    <x v="19"/>
    <x v="18"/>
  </r>
  <r>
    <x v="19"/>
    <x v="22"/>
    <x v="22"/>
    <x v="18"/>
  </r>
  <r>
    <x v="3"/>
    <x v="1"/>
    <x v="3"/>
    <x v="8"/>
  </r>
  <r>
    <x v="13"/>
    <x v="2"/>
    <x v="23"/>
    <x v="19"/>
  </r>
  <r>
    <x v="15"/>
    <x v="8"/>
    <x v="9"/>
    <x v="6"/>
  </r>
  <r>
    <x v="10"/>
    <x v="8"/>
    <x v="16"/>
    <x v="14"/>
  </r>
  <r>
    <x v="8"/>
    <x v="13"/>
    <x v="15"/>
    <x v="27"/>
  </r>
  <r>
    <x v="1"/>
    <x v="19"/>
    <x v="24"/>
    <x v="22"/>
  </r>
  <r>
    <x v="17"/>
    <x v="20"/>
    <x v="1"/>
    <x v="25"/>
  </r>
  <r>
    <x v="18"/>
    <x v="17"/>
    <x v="20"/>
    <x v="1"/>
  </r>
  <r>
    <x v="6"/>
    <x v="3"/>
    <x v="5"/>
    <x v="26"/>
  </r>
  <r>
    <x v="19"/>
    <x v="5"/>
    <x v="21"/>
    <x v="8"/>
  </r>
  <r>
    <x v="19"/>
    <x v="23"/>
    <x v="10"/>
    <x v="13"/>
  </r>
  <r>
    <x v="3"/>
    <x v="11"/>
    <x v="5"/>
    <x v="21"/>
  </r>
  <r>
    <x v="12"/>
    <x v="10"/>
    <x v="18"/>
    <x v="10"/>
  </r>
  <r>
    <x v="10"/>
    <x v="13"/>
    <x v="2"/>
    <x v="2"/>
  </r>
  <r>
    <x v="3"/>
    <x v="19"/>
    <x v="0"/>
    <x v="20"/>
  </r>
  <r>
    <x v="7"/>
    <x v="19"/>
    <x v="3"/>
    <x v="5"/>
  </r>
  <r>
    <x v="12"/>
    <x v="0"/>
    <x v="19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BEAB5-3159-45DE-AAC2-BAC50C6FD522}" name="Сводная таблица4" cacheId="5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O1:P30" firstHeaderRow="1" firstDataRow="1" firstDataCol="1"/>
  <pivotFields count="4">
    <pivotField showAll="0" sortType="descending">
      <items count="23">
        <item x="20"/>
        <item x="18"/>
        <item x="16"/>
        <item x="21"/>
        <item x="17"/>
        <item x="1"/>
        <item x="5"/>
        <item x="3"/>
        <item x="19"/>
        <item x="14"/>
        <item x="0"/>
        <item x="4"/>
        <item x="6"/>
        <item x="11"/>
        <item x="7"/>
        <item x="12"/>
        <item x="8"/>
        <item x="2"/>
        <item x="9"/>
        <item x="13"/>
        <item x="15"/>
        <item x="10"/>
        <item t="default"/>
      </items>
    </pivotField>
    <pivotField showAll="0"/>
    <pivotField showAll="0"/>
    <pivotField axis="axisRow" dataField="1" showAll="0" sortType="ascending">
      <items count="30">
        <item x="6"/>
        <item x="2"/>
        <item x="17"/>
        <item x="11"/>
        <item x="14"/>
        <item x="28"/>
        <item x="19"/>
        <item x="10"/>
        <item x="16"/>
        <item x="24"/>
        <item x="12"/>
        <item x="27"/>
        <item x="26"/>
        <item x="9"/>
        <item x="5"/>
        <item x="4"/>
        <item x="8"/>
        <item x="3"/>
        <item x="15"/>
        <item x="21"/>
        <item x="13"/>
        <item x="0"/>
        <item x="20"/>
        <item x="18"/>
        <item x="7"/>
        <item x="22"/>
        <item x="25"/>
        <item x="23"/>
        <item x="1"/>
        <item t="default"/>
      </items>
    </pivotField>
  </pivotFields>
  <rowFields count="1">
    <field x="3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Items count="1">
    <i/>
  </colItems>
  <dataFields count="1">
    <dataField name="Количество по полю Сл.Дорого" fld="3" subtotal="count" baseField="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FE484-B611-41E7-A289-B8F2AA275A0B}" name="Сводная таблица3" cacheId="5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L1:M31" firstHeaderRow="1" firstDataRow="1" firstDataCol="1"/>
  <pivotFields count="4">
    <pivotField showAll="0" sortType="descending">
      <items count="23">
        <item x="20"/>
        <item x="18"/>
        <item x="16"/>
        <item x="21"/>
        <item x="17"/>
        <item x="1"/>
        <item x="5"/>
        <item x="3"/>
        <item x="19"/>
        <item x="14"/>
        <item x="0"/>
        <item x="4"/>
        <item x="6"/>
        <item x="11"/>
        <item x="7"/>
        <item x="12"/>
        <item x="8"/>
        <item x="2"/>
        <item x="9"/>
        <item x="13"/>
        <item x="15"/>
        <item x="10"/>
        <item t="default"/>
      </items>
    </pivotField>
    <pivotField showAll="0"/>
    <pivotField axis="axisRow" dataField="1" showAll="0" sortType="ascending">
      <items count="31">
        <item x="27"/>
        <item x="2"/>
        <item x="16"/>
        <item x="9"/>
        <item x="28"/>
        <item x="26"/>
        <item x="18"/>
        <item x="25"/>
        <item x="8"/>
        <item x="14"/>
        <item x="11"/>
        <item x="23"/>
        <item x="15"/>
        <item x="6"/>
        <item x="4"/>
        <item x="12"/>
        <item x="7"/>
        <item x="3"/>
        <item x="0"/>
        <item x="21"/>
        <item x="22"/>
        <item x="5"/>
        <item x="1"/>
        <item x="19"/>
        <item x="10"/>
        <item x="13"/>
        <item x="20"/>
        <item x="24"/>
        <item x="17"/>
        <item x="29"/>
        <item t="default"/>
      </items>
    </pivotField>
    <pivotField showAll="0"/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Items count="1">
    <i/>
  </colItems>
  <dataFields count="1">
    <dataField name="Количество по полю Дорого" fld="2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DADA1-9477-458D-9CD4-55585AB6BAAF}" name="Сводная таблица2" cacheId="5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I1:J25" firstHeaderRow="1" firstDataRow="1" firstDataCol="1"/>
  <pivotFields count="4">
    <pivotField showAll="0" sortType="descending">
      <items count="23">
        <item x="20"/>
        <item x="18"/>
        <item x="16"/>
        <item x="21"/>
        <item x="17"/>
        <item x="1"/>
        <item x="5"/>
        <item x="3"/>
        <item x="19"/>
        <item x="14"/>
        <item x="0"/>
        <item x="4"/>
        <item x="6"/>
        <item x="11"/>
        <item x="7"/>
        <item x="12"/>
        <item x="8"/>
        <item x="2"/>
        <item x="9"/>
        <item x="13"/>
        <item x="15"/>
        <item x="10"/>
        <item t="default"/>
      </items>
    </pivotField>
    <pivotField axis="axisRow" dataField="1" showAll="0" sortType="descending">
      <items count="25">
        <item x="23"/>
        <item x="22"/>
        <item x="11"/>
        <item x="20"/>
        <item x="16"/>
        <item x="6"/>
        <item x="19"/>
        <item x="3"/>
        <item x="5"/>
        <item x="17"/>
        <item x="1"/>
        <item x="0"/>
        <item x="4"/>
        <item x="7"/>
        <item x="14"/>
        <item x="21"/>
        <item x="9"/>
        <item x="10"/>
        <item x="15"/>
        <item x="2"/>
        <item x="13"/>
        <item x="18"/>
        <item x="8"/>
        <item x="12"/>
        <item t="default"/>
      </items>
    </pivotField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Количество по полю Дешево" fld="1" subtotal="count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6A643-1FFD-4EA9-A481-AB0F99FDC146}" name="Сводная таблица1" cacheId="5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F1:G23" firstHeaderRow="1" firstDataRow="1" firstDataCol="1"/>
  <pivotFields count="4">
    <pivotField axis="axisRow" dataField="1" showAll="0" sortType="descending">
      <items count="23">
        <item x="20"/>
        <item x="18"/>
        <item x="16"/>
        <item x="21"/>
        <item x="17"/>
        <item x="1"/>
        <item x="5"/>
        <item x="3"/>
        <item x="19"/>
        <item x="14"/>
        <item x="0"/>
        <item x="4"/>
        <item x="6"/>
        <item x="11"/>
        <item x="7"/>
        <item x="12"/>
        <item x="8"/>
        <item x="2"/>
        <item x="9"/>
        <item x="13"/>
        <item x="15"/>
        <item x="10"/>
        <item t="default"/>
      </items>
    </pivotField>
    <pivotField showAll="0"/>
    <pivotField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Items count="1">
    <i/>
  </colItems>
  <dataFields count="1">
    <dataField name="Количество по полю сл. Дешево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9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01"/>
  <sheetViews>
    <sheetView zoomScale="70" zoomScaleNormal="70" workbookViewId="0">
      <selection activeCell="F1" sqref="F1:I1048576"/>
    </sheetView>
  </sheetViews>
  <sheetFormatPr defaultRowHeight="15" x14ac:dyDescent="0.25"/>
  <cols>
    <col min="1" max="1" width="18" customWidth="1"/>
    <col min="2" max="2" width="9.42578125" bestFit="1" customWidth="1"/>
    <col min="3" max="3" width="21" customWidth="1"/>
    <col min="4" max="4" width="19" customWidth="1"/>
    <col min="5" max="5" width="22" customWidth="1"/>
    <col min="6" max="9" width="9.28515625" customWidth="1"/>
    <col min="10" max="10" width="27" customWidth="1"/>
    <col min="11" max="11" width="30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25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25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25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25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hidden="1" x14ac:dyDescent="0.25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25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25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hidden="1" x14ac:dyDescent="0.25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hidden="1" x14ac:dyDescent="0.25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25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25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25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25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25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25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hidden="1" x14ac:dyDescent="0.25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25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25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25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25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hidden="1" x14ac:dyDescent="0.25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hidden="1" x14ac:dyDescent="0.25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25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25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hidden="1" x14ac:dyDescent="0.25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25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hidden="1" x14ac:dyDescent="0.25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25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25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hidden="1" x14ac:dyDescent="0.25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2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hidden="1" x14ac:dyDescent="0.25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25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25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hidden="1" x14ac:dyDescent="0.25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25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hidden="1" x14ac:dyDescent="0.25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25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hidden="1" x14ac:dyDescent="0.25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hidden="1" x14ac:dyDescent="0.25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25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25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hidden="1" x14ac:dyDescent="0.25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25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25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25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25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hidden="1" x14ac:dyDescent="0.25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25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2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25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hidden="1" x14ac:dyDescent="0.25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25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hidden="1" x14ac:dyDescent="0.25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25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hidden="1" x14ac:dyDescent="0.25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25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25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hidden="1" x14ac:dyDescent="0.25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25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25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25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25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hidden="1" x14ac:dyDescent="0.25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hidden="1" x14ac:dyDescent="0.25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25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25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hidden="1" x14ac:dyDescent="0.25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25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25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25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hidden="1" x14ac:dyDescent="0.25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hidden="1" x14ac:dyDescent="0.25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25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25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25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25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hidden="1" x14ac:dyDescent="0.25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25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25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25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hidden="1" x14ac:dyDescent="0.25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25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hidden="1" x14ac:dyDescent="0.25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25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25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25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25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25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hidden="1" x14ac:dyDescent="0.25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25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hidden="1" x14ac:dyDescent="0.25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hidden="1" x14ac:dyDescent="0.25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hidden="1" x14ac:dyDescent="0.25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hidden="1" x14ac:dyDescent="0.25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hidden="1" x14ac:dyDescent="0.25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25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hidden="1" x14ac:dyDescent="0.25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25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25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hidden="1" x14ac:dyDescent="0.25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25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25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hidden="1" x14ac:dyDescent="0.25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25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25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25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25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hidden="1" x14ac:dyDescent="0.25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25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25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25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25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25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25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25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25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25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25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hidden="1" x14ac:dyDescent="0.25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25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25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hidden="1" x14ac:dyDescent="0.25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hidden="1" x14ac:dyDescent="0.25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hidden="1" x14ac:dyDescent="0.25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25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25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25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25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25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hidden="1" x14ac:dyDescent="0.25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25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hidden="1" x14ac:dyDescent="0.25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hidden="1" x14ac:dyDescent="0.25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hidden="1" x14ac:dyDescent="0.25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25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hidden="1" x14ac:dyDescent="0.25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25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25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hidden="1" x14ac:dyDescent="0.25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25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hidden="1" x14ac:dyDescent="0.25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hidden="1" x14ac:dyDescent="0.25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25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25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25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25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hidden="1" x14ac:dyDescent="0.25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hidden="1" x14ac:dyDescent="0.25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25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hidden="1" x14ac:dyDescent="0.25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25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25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25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hidden="1" x14ac:dyDescent="0.25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hidden="1" x14ac:dyDescent="0.25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hidden="1" x14ac:dyDescent="0.25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25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hidden="1" x14ac:dyDescent="0.25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25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25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25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hidden="1" x14ac:dyDescent="0.25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25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hidden="1" x14ac:dyDescent="0.25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hidden="1" x14ac:dyDescent="0.25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hidden="1" x14ac:dyDescent="0.25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25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hidden="1" x14ac:dyDescent="0.25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25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25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hidden="1" x14ac:dyDescent="0.25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25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25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25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25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25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25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25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hidden="1" x14ac:dyDescent="0.25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25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25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25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25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hidden="1" x14ac:dyDescent="0.25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25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25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hidden="1" x14ac:dyDescent="0.25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25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25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25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25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25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25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hidden="1" x14ac:dyDescent="0.25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hidden="1" x14ac:dyDescent="0.25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25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25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25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hidden="1" x14ac:dyDescent="0.25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hidden="1" x14ac:dyDescent="0.25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hidden="1" x14ac:dyDescent="0.25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hidden="1" x14ac:dyDescent="0.25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25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25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25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hidden="1" x14ac:dyDescent="0.25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25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25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25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25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25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hidden="1" x14ac:dyDescent="0.25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25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hidden="1" x14ac:dyDescent="0.25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25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hidden="1" x14ac:dyDescent="0.25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hidden="1" x14ac:dyDescent="0.25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25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25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hidden="1" x14ac:dyDescent="0.25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hidden="1" x14ac:dyDescent="0.25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25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hidden="1" x14ac:dyDescent="0.25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25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hidden="1" x14ac:dyDescent="0.25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25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hidden="1" x14ac:dyDescent="0.25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25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25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25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hidden="1" x14ac:dyDescent="0.25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hidden="1" x14ac:dyDescent="0.25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25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25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25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25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hidden="1" x14ac:dyDescent="0.25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hidden="1" x14ac:dyDescent="0.25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25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hidden="1" x14ac:dyDescent="0.25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hidden="1" x14ac:dyDescent="0.25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hidden="1" x14ac:dyDescent="0.25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25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25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hidden="1" x14ac:dyDescent="0.25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25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25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25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25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25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25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25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hidden="1" x14ac:dyDescent="0.25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25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hidden="1" x14ac:dyDescent="0.25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25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hidden="1" x14ac:dyDescent="0.25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25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25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25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25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hidden="1" x14ac:dyDescent="0.25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25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25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25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25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25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hidden="1" x14ac:dyDescent="0.25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hidden="1" x14ac:dyDescent="0.25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25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hidden="1" x14ac:dyDescent="0.25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25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25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25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25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hidden="1" x14ac:dyDescent="0.25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hidden="1" x14ac:dyDescent="0.25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25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hidden="1" x14ac:dyDescent="0.25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hidden="1" x14ac:dyDescent="0.25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25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25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25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hidden="1" x14ac:dyDescent="0.25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hidden="1" x14ac:dyDescent="0.25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25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hidden="1" x14ac:dyDescent="0.25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25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25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25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25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25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hidden="1" x14ac:dyDescent="0.25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hidden="1" x14ac:dyDescent="0.25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25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25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hidden="1" x14ac:dyDescent="0.25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25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hidden="1" x14ac:dyDescent="0.25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hidden="1" x14ac:dyDescent="0.25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25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25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25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hidden="1" x14ac:dyDescent="0.25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hidden="1" x14ac:dyDescent="0.25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hidden="1" x14ac:dyDescent="0.25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hidden="1" x14ac:dyDescent="0.25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25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25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hidden="1" x14ac:dyDescent="0.25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25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25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25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25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25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hidden="1" x14ac:dyDescent="0.25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25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25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25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25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25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hidden="1" x14ac:dyDescent="0.25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25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hidden="1" x14ac:dyDescent="0.25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25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hidden="1" x14ac:dyDescent="0.25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25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hidden="1" x14ac:dyDescent="0.25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hidden="1" x14ac:dyDescent="0.25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25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25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hidden="1" x14ac:dyDescent="0.25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hidden="1" x14ac:dyDescent="0.25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hidden="1" x14ac:dyDescent="0.25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hidden="1" x14ac:dyDescent="0.25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25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hidden="1" x14ac:dyDescent="0.25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hidden="1" x14ac:dyDescent="0.25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25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hidden="1" x14ac:dyDescent="0.25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hidden="1" x14ac:dyDescent="0.25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hidden="1" x14ac:dyDescent="0.25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25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hidden="1" x14ac:dyDescent="0.25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25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hidden="1" x14ac:dyDescent="0.25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25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hidden="1" x14ac:dyDescent="0.25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hidden="1" x14ac:dyDescent="0.25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hidden="1" x14ac:dyDescent="0.25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25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25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25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hidden="1" x14ac:dyDescent="0.25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hidden="1" x14ac:dyDescent="0.25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hidden="1" x14ac:dyDescent="0.25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25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25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hidden="1" x14ac:dyDescent="0.25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hidden="1" x14ac:dyDescent="0.25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25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25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hidden="1" x14ac:dyDescent="0.25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hidden="1" x14ac:dyDescent="0.25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hidden="1" x14ac:dyDescent="0.25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hidden="1" x14ac:dyDescent="0.25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25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hidden="1" x14ac:dyDescent="0.25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25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25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hidden="1" x14ac:dyDescent="0.25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25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25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25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25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25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25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25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25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25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25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25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25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hidden="1" x14ac:dyDescent="0.25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hidden="1" x14ac:dyDescent="0.25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hidden="1" x14ac:dyDescent="0.25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25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25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25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25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hidden="1" x14ac:dyDescent="0.25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25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25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hidden="1" x14ac:dyDescent="0.25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25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hidden="1" x14ac:dyDescent="0.25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25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25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25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hidden="1" x14ac:dyDescent="0.25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hidden="1" x14ac:dyDescent="0.25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25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hidden="1" x14ac:dyDescent="0.25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25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25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25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25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hidden="1" x14ac:dyDescent="0.25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hidden="1" x14ac:dyDescent="0.25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25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25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hidden="1" x14ac:dyDescent="0.25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25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25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25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hidden="1" x14ac:dyDescent="0.25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hidden="1" x14ac:dyDescent="0.25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hidden="1" x14ac:dyDescent="0.25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25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hidden="1" x14ac:dyDescent="0.25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25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hidden="1" x14ac:dyDescent="0.25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25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25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25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25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hidden="1" x14ac:dyDescent="0.25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hidden="1" x14ac:dyDescent="0.25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25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hidden="1" x14ac:dyDescent="0.25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25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25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hidden="1" x14ac:dyDescent="0.25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hidden="1" x14ac:dyDescent="0.25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hidden="1" x14ac:dyDescent="0.25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hidden="1" x14ac:dyDescent="0.25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hidden="1" x14ac:dyDescent="0.25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25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25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hidden="1" x14ac:dyDescent="0.25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25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hidden="1" x14ac:dyDescent="0.25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hidden="1" x14ac:dyDescent="0.25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25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25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hidden="1" x14ac:dyDescent="0.25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25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25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hidden="1" x14ac:dyDescent="0.25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hidden="1" x14ac:dyDescent="0.25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hidden="1" x14ac:dyDescent="0.25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hidden="1" x14ac:dyDescent="0.25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25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25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hidden="1" x14ac:dyDescent="0.25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25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25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hidden="1" x14ac:dyDescent="0.25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hidden="1" x14ac:dyDescent="0.25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25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25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25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hidden="1" x14ac:dyDescent="0.25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hidden="1" x14ac:dyDescent="0.25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hidden="1" x14ac:dyDescent="0.25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hidden="1" x14ac:dyDescent="0.25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25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25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hidden="1" x14ac:dyDescent="0.25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hidden="1" x14ac:dyDescent="0.25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25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hidden="1" x14ac:dyDescent="0.25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25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25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25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hidden="1" x14ac:dyDescent="0.25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25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25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25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hidden="1" x14ac:dyDescent="0.25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25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25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25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hidden="1" x14ac:dyDescent="0.25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25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25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25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hidden="1" x14ac:dyDescent="0.25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hidden="1" x14ac:dyDescent="0.25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25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hidden="1" x14ac:dyDescent="0.25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hidden="1" x14ac:dyDescent="0.25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hidden="1" x14ac:dyDescent="0.25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25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25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25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25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25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25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25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25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25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25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25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hidden="1" x14ac:dyDescent="0.25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25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25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hidden="1" x14ac:dyDescent="0.25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hidden="1" x14ac:dyDescent="0.25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hidden="1" x14ac:dyDescent="0.25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25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hidden="1" x14ac:dyDescent="0.25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25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25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hidden="1" x14ac:dyDescent="0.25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hidden="1" x14ac:dyDescent="0.25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25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25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hidden="1" x14ac:dyDescent="0.25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hidden="1" x14ac:dyDescent="0.25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25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hidden="1" x14ac:dyDescent="0.25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25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25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hidden="1" x14ac:dyDescent="0.25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hidden="1" x14ac:dyDescent="0.25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25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25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25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25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25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hidden="1" x14ac:dyDescent="0.25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25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25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25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25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hidden="1" x14ac:dyDescent="0.25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25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hidden="1" x14ac:dyDescent="0.25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25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hidden="1" x14ac:dyDescent="0.25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25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25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25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25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25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25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25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hidden="1" x14ac:dyDescent="0.25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25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hidden="1" x14ac:dyDescent="0.25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25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25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25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25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25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hidden="1" x14ac:dyDescent="0.25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hidden="1" x14ac:dyDescent="0.25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25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hidden="1" x14ac:dyDescent="0.25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hidden="1" x14ac:dyDescent="0.25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25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25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hidden="1" x14ac:dyDescent="0.25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25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hidden="1" x14ac:dyDescent="0.25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25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25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25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25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25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hidden="1" x14ac:dyDescent="0.25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25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hidden="1" x14ac:dyDescent="0.25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hidden="1" x14ac:dyDescent="0.25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hidden="1" x14ac:dyDescent="0.25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25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hidden="1" x14ac:dyDescent="0.25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25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hidden="1" x14ac:dyDescent="0.25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25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25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25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25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hidden="1" x14ac:dyDescent="0.25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25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25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25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hidden="1" x14ac:dyDescent="0.25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hidden="1" x14ac:dyDescent="0.25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25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25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hidden="1" x14ac:dyDescent="0.25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25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25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25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hidden="1" x14ac:dyDescent="0.25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25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hidden="1" x14ac:dyDescent="0.25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25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hidden="1" x14ac:dyDescent="0.25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hidden="1" x14ac:dyDescent="0.25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25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hidden="1" x14ac:dyDescent="0.25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25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25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hidden="1" x14ac:dyDescent="0.25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25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25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hidden="1" x14ac:dyDescent="0.25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25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25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25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25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25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hidden="1" x14ac:dyDescent="0.25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hidden="1" x14ac:dyDescent="0.25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25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hidden="1" x14ac:dyDescent="0.25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hidden="1" x14ac:dyDescent="0.25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25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hidden="1" x14ac:dyDescent="0.25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25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25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25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hidden="1" x14ac:dyDescent="0.25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25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hidden="1" x14ac:dyDescent="0.25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hidden="1" x14ac:dyDescent="0.25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25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25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25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hidden="1" x14ac:dyDescent="0.25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hidden="1" x14ac:dyDescent="0.25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25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25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25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25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25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25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hidden="1" x14ac:dyDescent="0.25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25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hidden="1" x14ac:dyDescent="0.25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hidden="1" x14ac:dyDescent="0.25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25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25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25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hidden="1" x14ac:dyDescent="0.25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25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25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hidden="1" x14ac:dyDescent="0.25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hidden="1" x14ac:dyDescent="0.25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25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hidden="1" x14ac:dyDescent="0.25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hidden="1" x14ac:dyDescent="0.25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25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25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hidden="1" x14ac:dyDescent="0.25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25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25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25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25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25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25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25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hidden="1" x14ac:dyDescent="0.25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25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hidden="1" x14ac:dyDescent="0.25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hidden="1" x14ac:dyDescent="0.25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25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hidden="1" x14ac:dyDescent="0.25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hidden="1" x14ac:dyDescent="0.25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25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25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25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25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hidden="1" x14ac:dyDescent="0.25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25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25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25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25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25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25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25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hidden="1" x14ac:dyDescent="0.25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hidden="1" x14ac:dyDescent="0.25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25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25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25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25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25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25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hidden="1" x14ac:dyDescent="0.25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25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hidden="1" x14ac:dyDescent="0.25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25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25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hidden="1" x14ac:dyDescent="0.25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hidden="1" x14ac:dyDescent="0.25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25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25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25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25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25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25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hidden="1" x14ac:dyDescent="0.25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hidden="1" x14ac:dyDescent="0.25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25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25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25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hidden="1" x14ac:dyDescent="0.25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25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25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25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25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hidden="1" x14ac:dyDescent="0.25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25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25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25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25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25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25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25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25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25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hidden="1" x14ac:dyDescent="0.25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25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hidden="1" x14ac:dyDescent="0.25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25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hidden="1" x14ac:dyDescent="0.25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25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hidden="1" x14ac:dyDescent="0.25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hidden="1" x14ac:dyDescent="0.25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hidden="1" x14ac:dyDescent="0.25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25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25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hidden="1" x14ac:dyDescent="0.25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25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25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hidden="1" x14ac:dyDescent="0.25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25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25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25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25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25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25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25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25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25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25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25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25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25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25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25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25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25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hidden="1" x14ac:dyDescent="0.25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25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25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25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25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25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25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25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25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hidden="1" x14ac:dyDescent="0.25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25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25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25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25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25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hidden="1" x14ac:dyDescent="0.25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25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25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25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25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25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25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25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hidden="1" x14ac:dyDescent="0.25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hidden="1" x14ac:dyDescent="0.25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25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25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25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hidden="1" x14ac:dyDescent="0.25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25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hidden="1" x14ac:dyDescent="0.25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25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25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25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25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25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25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25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25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25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hidden="1" x14ac:dyDescent="0.25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25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25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25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hidden="1" x14ac:dyDescent="0.25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25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hidden="1" x14ac:dyDescent="0.25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25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25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25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25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hidden="1" x14ac:dyDescent="0.25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25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hidden="1" x14ac:dyDescent="0.25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hidden="1" x14ac:dyDescent="0.25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25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25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hidden="1" x14ac:dyDescent="0.25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25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hidden="1" x14ac:dyDescent="0.25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25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25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25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25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25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hidden="1" x14ac:dyDescent="0.25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25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hidden="1" x14ac:dyDescent="0.25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25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25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hidden="1" x14ac:dyDescent="0.25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hidden="1" x14ac:dyDescent="0.25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25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hidden="1" x14ac:dyDescent="0.25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25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hidden="1" x14ac:dyDescent="0.25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hidden="1" x14ac:dyDescent="0.25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hidden="1" x14ac:dyDescent="0.25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25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hidden="1" x14ac:dyDescent="0.25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25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hidden="1" x14ac:dyDescent="0.25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hidden="1" x14ac:dyDescent="0.25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hidden="1" x14ac:dyDescent="0.25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hidden="1" x14ac:dyDescent="0.25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25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hidden="1" x14ac:dyDescent="0.25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25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25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25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25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25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hidden="1" x14ac:dyDescent="0.25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hidden="1" x14ac:dyDescent="0.25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25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hidden="1" x14ac:dyDescent="0.25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25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hidden="1" x14ac:dyDescent="0.25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25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hidden="1" x14ac:dyDescent="0.25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hidden="1" x14ac:dyDescent="0.25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25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25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25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25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25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hidden="1" x14ac:dyDescent="0.25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25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hidden="1" x14ac:dyDescent="0.25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hidden="1" x14ac:dyDescent="0.25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hidden="1" x14ac:dyDescent="0.25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25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25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hidden="1" x14ac:dyDescent="0.25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hidden="1" x14ac:dyDescent="0.25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25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25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hidden="1" x14ac:dyDescent="0.25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hidden="1" x14ac:dyDescent="0.25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hidden="1" x14ac:dyDescent="0.25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25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25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hidden="1" x14ac:dyDescent="0.25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25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hidden="1" x14ac:dyDescent="0.25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25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25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25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25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hidden="1" x14ac:dyDescent="0.25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hidden="1" x14ac:dyDescent="0.25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25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25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25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hidden="1" x14ac:dyDescent="0.25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hidden="1" x14ac:dyDescent="0.25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25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hidden="1" x14ac:dyDescent="0.25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25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25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hidden="1" x14ac:dyDescent="0.25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25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25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25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25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hidden="1" x14ac:dyDescent="0.25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25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25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25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hidden="1" x14ac:dyDescent="0.25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25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hidden="1" x14ac:dyDescent="0.25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25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25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25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25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25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hidden="1" x14ac:dyDescent="0.25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25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25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hidden="1" x14ac:dyDescent="0.25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hidden="1" x14ac:dyDescent="0.25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25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25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hidden="1" x14ac:dyDescent="0.25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25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25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25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hidden="1" x14ac:dyDescent="0.25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25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25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25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hidden="1" x14ac:dyDescent="0.25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25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25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25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25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25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hidden="1" x14ac:dyDescent="0.25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25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25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hidden="1" x14ac:dyDescent="0.25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25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25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25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25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25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hidden="1" x14ac:dyDescent="0.25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25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25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hidden="1" x14ac:dyDescent="0.25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hidden="1" x14ac:dyDescent="0.25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hidden="1" x14ac:dyDescent="0.25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hidden="1" x14ac:dyDescent="0.25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25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25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hidden="1" x14ac:dyDescent="0.25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25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25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hidden="1" x14ac:dyDescent="0.25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25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hidden="1" x14ac:dyDescent="0.25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25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25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25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hidden="1" x14ac:dyDescent="0.25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hidden="1" x14ac:dyDescent="0.25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25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25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25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hidden="1" x14ac:dyDescent="0.25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25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25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hidden="1" x14ac:dyDescent="0.25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hidden="1" x14ac:dyDescent="0.25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25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25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25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hidden="1" x14ac:dyDescent="0.25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hidden="1" x14ac:dyDescent="0.25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25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hidden="1" x14ac:dyDescent="0.25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25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hidden="1" x14ac:dyDescent="0.25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25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25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25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25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25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25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hidden="1" x14ac:dyDescent="0.25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hidden="1" x14ac:dyDescent="0.25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25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25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25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hidden="1" x14ac:dyDescent="0.25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autoFilter ref="A1:K1001" xr:uid="{00000000-0001-0000-0000-000000000000}">
    <filterColumn colId="1">
      <filters>
        <filter val="мужской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9"/>
  <sheetViews>
    <sheetView tabSelected="1" zoomScale="76" zoomScaleNormal="115" workbookViewId="0">
      <selection activeCell="Y22" sqref="Y22"/>
    </sheetView>
  </sheetViews>
  <sheetFormatPr defaultRowHeight="15" x14ac:dyDescent="0.25"/>
  <cols>
    <col min="1" max="1" width="39.140625" customWidth="1"/>
    <col min="2" max="2" width="22.7109375" customWidth="1"/>
    <col min="3" max="3" width="20.28515625" customWidth="1"/>
    <col min="4" max="4" width="17.42578125" customWidth="1"/>
    <col min="17" max="17" width="19.7109375" hidden="1" customWidth="1"/>
    <col min="18" max="18" width="13.570312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5546875" hidden="1" customWidth="1"/>
  </cols>
  <sheetData>
    <row r="1" spans="2:23" x14ac:dyDescent="0.25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25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25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25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25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25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25">
      <c r="Q7" t="s">
        <v>29</v>
      </c>
      <c r="T7" t="s">
        <v>33</v>
      </c>
      <c r="V7" t="s">
        <v>38</v>
      </c>
    </row>
    <row r="8" spans="2:23" x14ac:dyDescent="0.25">
      <c r="Q8" t="s">
        <v>30</v>
      </c>
    </row>
    <row r="9" spans="2:23" x14ac:dyDescent="0.25">
      <c r="Q9" t="s">
        <v>32</v>
      </c>
    </row>
    <row r="10" spans="2:23" x14ac:dyDescent="0.25">
      <c r="Q10" t="s">
        <v>34</v>
      </c>
    </row>
    <row r="11" spans="2:23" x14ac:dyDescent="0.25">
      <c r="Q11" t="s">
        <v>35</v>
      </c>
    </row>
    <row r="12" spans="2:23" x14ac:dyDescent="0.25">
      <c r="Q12" t="s">
        <v>37</v>
      </c>
    </row>
    <row r="13" spans="2:23" x14ac:dyDescent="0.25">
      <c r="Q13" t="s">
        <v>39</v>
      </c>
    </row>
    <row r="15" spans="2:23" x14ac:dyDescent="0.25">
      <c r="B15" t="s">
        <v>58</v>
      </c>
    </row>
    <row r="16" spans="2:23" x14ac:dyDescent="0.25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25">
      <c r="A17" s="8" t="s">
        <v>64</v>
      </c>
      <c r="B17" s="9" t="s">
        <v>3</v>
      </c>
      <c r="C17" s="9" t="s">
        <v>26</v>
      </c>
      <c r="D17" s="5" t="str">
        <f ca="1">INDEX($Q$16:$W$25,G17,F17)&amp;" респондентов"</f>
        <v>223 респондентов</v>
      </c>
      <c r="F17" s="6">
        <f>MATCH(B17,$Q$2:$W$2,0)</f>
        <v>4</v>
      </c>
      <c r="G17" s="10">
        <f ca="1">MATCH(C17,INDIRECT(HLOOKUP(B17,$Q$2:$W$3,2,0)),0)</f>
        <v>3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25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25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25">
      <c r="A20" t="s">
        <v>69</v>
      </c>
      <c r="B20" s="12">
        <v>2400</v>
      </c>
      <c r="C20" s="12">
        <v>4880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25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25">
      <c r="A22" t="s">
        <v>70</v>
      </c>
      <c r="B22" s="12">
        <v>4478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25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25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25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25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25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25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25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25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25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25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25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25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25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25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5">
      <c r="A37" s="13"/>
      <c r="B37" s="13"/>
      <c r="C37" s="13"/>
      <c r="D37" s="13"/>
    </row>
    <row r="39" spans="1:15" x14ac:dyDescent="0.25">
      <c r="B39" t="s">
        <v>71</v>
      </c>
    </row>
    <row r="40" spans="1:15" x14ac:dyDescent="0.25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25">
      <c r="A41" s="8" t="s">
        <v>64</v>
      </c>
      <c r="B41" s="9" t="s">
        <v>3</v>
      </c>
      <c r="C41" s="9" t="s">
        <v>21</v>
      </c>
      <c r="D41" s="5" t="str">
        <f ca="1">INDEX($Q$16:$W$25,G41,F41)&amp;" респондентов"</f>
        <v>493 респондентов</v>
      </c>
      <c r="F41" s="6">
        <f>MATCH(B41,$Q$2:$W$2,0)</f>
        <v>4</v>
      </c>
      <c r="G41" s="10">
        <f ca="1">MATCH(C41,INDIRECT(HLOOKUP(B41,$Q$2:$W$3,2,0)),0)</f>
        <v>2</v>
      </c>
    </row>
    <row r="42" spans="1:15" x14ac:dyDescent="0.25">
      <c r="A42" s="11" t="s">
        <v>65</v>
      </c>
    </row>
    <row r="43" spans="1:15" x14ac:dyDescent="0.25">
      <c r="B43" t="s">
        <v>66</v>
      </c>
      <c r="C43" t="s">
        <v>67</v>
      </c>
      <c r="F43" t="s">
        <v>68</v>
      </c>
    </row>
    <row r="44" spans="1:15" x14ac:dyDescent="0.25">
      <c r="A44" t="s">
        <v>69</v>
      </c>
      <c r="B44" s="12">
        <v>2920</v>
      </c>
      <c r="C44" s="12">
        <v>5950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25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25">
      <c r="A46" t="s">
        <v>70</v>
      </c>
      <c r="B46" s="12">
        <v>4850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25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5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5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5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25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25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5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5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5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5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25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25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25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25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25">
      <c r="A61" s="13"/>
      <c r="B61" s="13"/>
      <c r="C61" s="13"/>
      <c r="D61" s="13"/>
    </row>
    <row r="63" spans="1:15" x14ac:dyDescent="0.25">
      <c r="B63" t="s">
        <v>72</v>
      </c>
    </row>
    <row r="64" spans="1:15" x14ac:dyDescent="0.25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25">
      <c r="A65" s="8" t="s">
        <v>64</v>
      </c>
      <c r="B65" s="9" t="s">
        <v>1</v>
      </c>
      <c r="C65" s="9" t="s">
        <v>12</v>
      </c>
      <c r="D65" s="5" t="str">
        <f ca="1">INDEX($Q$16:$W$25,G65,F65)&amp;" респондентов"</f>
        <v>364 респондентов</v>
      </c>
      <c r="F65" s="6">
        <f>MATCH(B65,$Q$2:$W$2,0)</f>
        <v>2</v>
      </c>
      <c r="G65" s="10">
        <f ca="1">MATCH(C65,INDIRECT(HLOOKUP(B65,$Q$2:$W$3,2,0)),0)</f>
        <v>1</v>
      </c>
    </row>
    <row r="66" spans="1:15" x14ac:dyDescent="0.25">
      <c r="A66" s="11" t="s">
        <v>65</v>
      </c>
    </row>
    <row r="67" spans="1:15" x14ac:dyDescent="0.25">
      <c r="B67" t="s">
        <v>66</v>
      </c>
      <c r="C67" t="s">
        <v>67</v>
      </c>
      <c r="F67" t="s">
        <v>68</v>
      </c>
    </row>
    <row r="68" spans="1:15" x14ac:dyDescent="0.25">
      <c r="A68" t="s">
        <v>69</v>
      </c>
      <c r="B68" s="12">
        <v>2370</v>
      </c>
      <c r="C68" s="12">
        <v>4470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25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25">
      <c r="A70" t="s">
        <v>70</v>
      </c>
      <c r="B70" s="12">
        <v>3485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25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25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25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25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25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25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25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25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25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25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25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25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25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25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25">
      <c r="A86" s="13"/>
      <c r="B86" s="13"/>
      <c r="C86" s="13"/>
      <c r="D86" s="13"/>
    </row>
    <row r="88" spans="1:15" x14ac:dyDescent="0.25">
      <c r="B88" t="s">
        <v>73</v>
      </c>
    </row>
    <row r="89" spans="1:15" x14ac:dyDescent="0.25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25">
      <c r="A90" s="8" t="s">
        <v>64</v>
      </c>
      <c r="B90" s="9" t="s">
        <v>1</v>
      </c>
      <c r="C90" s="9" t="s">
        <v>19</v>
      </c>
      <c r="D90" s="5" t="str">
        <f ca="1">INDEX($Q$16:$W$25,G90,F90)&amp;" респондентов"</f>
        <v>636 респондентов</v>
      </c>
      <c r="F90" s="6">
        <f>MATCH(B90,$Q$2:$W$2,0)</f>
        <v>2</v>
      </c>
      <c r="G90" s="10">
        <f ca="1">MATCH(C90,INDIRECT(HLOOKUP(B90,$Q$2:$W$3,2,0)),0)</f>
        <v>2</v>
      </c>
    </row>
    <row r="91" spans="1:15" x14ac:dyDescent="0.25">
      <c r="A91" s="11" t="s">
        <v>65</v>
      </c>
    </row>
    <row r="92" spans="1:15" x14ac:dyDescent="0.25">
      <c r="B92" t="s">
        <v>66</v>
      </c>
      <c r="C92" t="s">
        <v>67</v>
      </c>
      <c r="F92" t="s">
        <v>68</v>
      </c>
    </row>
    <row r="93" spans="1:15" x14ac:dyDescent="0.25">
      <c r="A93" t="s">
        <v>69</v>
      </c>
      <c r="B93" s="12">
        <v>5150</v>
      </c>
      <c r="C93" s="12">
        <v>2450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25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25">
      <c r="A95" t="s">
        <v>70</v>
      </c>
      <c r="B95" s="12">
        <v>4790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25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25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25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25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25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25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25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25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25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25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25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25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25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25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 xr:uid="{00000000-0002-0000-0100-000000000000}">
      <formula1>INDIRECT(HLOOKUP(B17,$Q$2:$W$3,2,0))</formula1>
    </dataValidation>
    <dataValidation type="list" allowBlank="1" showInputMessage="1" showErrorMessage="1" sqref="B17 B41 B65 B90" xr:uid="{00000000-0002-0000-0100-000001000000}">
      <formula1>$Q$2:$W$2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D17E-F03B-4292-93D9-0E36060BD2DD}">
  <dimension ref="A1:AD224"/>
  <sheetViews>
    <sheetView zoomScale="57" zoomScaleNormal="40" workbookViewId="0">
      <selection activeCell="Z42" sqref="Z42"/>
    </sheetView>
  </sheetViews>
  <sheetFormatPr defaultRowHeight="15" x14ac:dyDescent="0.25"/>
  <cols>
    <col min="1" max="1" width="10.140625" bestFit="1" customWidth="1"/>
    <col min="2" max="2" width="3.5703125" customWidth="1"/>
    <col min="3" max="3" width="4" customWidth="1"/>
    <col min="4" max="4" width="3" customWidth="1"/>
    <col min="5" max="5" width="11.7109375" bestFit="1" customWidth="1"/>
    <col min="6" max="6" width="1.42578125" customWidth="1"/>
    <col min="7" max="7" width="2.140625" customWidth="1"/>
    <col min="8" max="8" width="1.42578125" bestFit="1" customWidth="1"/>
    <col min="9" max="9" width="19.5703125" bestFit="1" customWidth="1"/>
    <col min="10" max="10" width="3.85546875" customWidth="1"/>
    <col min="11" max="11" width="3.140625" customWidth="1"/>
    <col min="12" max="12" width="2.5703125" customWidth="1"/>
    <col min="13" max="13" width="11.5703125" bestFit="1" customWidth="1"/>
    <col min="15" max="15" width="10.140625" bestFit="1" customWidth="1"/>
    <col min="16" max="16" width="5.85546875" bestFit="1" customWidth="1"/>
    <col min="17" max="17" width="7.140625" bestFit="1" customWidth="1"/>
    <col min="18" max="18" width="8.28515625" bestFit="1" customWidth="1"/>
    <col min="19" max="19" width="14.140625" bestFit="1" customWidth="1"/>
    <col min="20" max="20" width="8" customWidth="1"/>
    <col min="21" max="21" width="7.140625" bestFit="1" customWidth="1"/>
    <col min="22" max="22" width="8.28515625" bestFit="1" customWidth="1"/>
    <col min="23" max="23" width="10.140625" customWidth="1"/>
    <col min="24" max="24" width="5.85546875" bestFit="1" customWidth="1"/>
    <col min="25" max="25" width="7.140625" bestFit="1" customWidth="1"/>
    <col min="26" max="26" width="8.28515625" bestFit="1" customWidth="1"/>
    <col min="27" max="27" width="11.5703125" bestFit="1" customWidth="1"/>
    <col min="28" max="28" width="5.85546875" bestFit="1" customWidth="1"/>
    <col min="29" max="29" width="7.140625" bestFit="1" customWidth="1"/>
    <col min="30" max="30" width="8.28515625" bestFit="1" customWidth="1"/>
  </cols>
  <sheetData>
    <row r="1" spans="1:30" x14ac:dyDescent="0.25">
      <c r="A1" s="1" t="s">
        <v>75</v>
      </c>
      <c r="B1" s="1" t="s">
        <v>74</v>
      </c>
      <c r="C1" s="1" t="s">
        <v>74</v>
      </c>
      <c r="D1" s="1" t="s">
        <v>74</v>
      </c>
      <c r="E1" s="1" t="s">
        <v>76</v>
      </c>
      <c r="F1" s="1" t="s">
        <v>74</v>
      </c>
      <c r="G1" s="1"/>
      <c r="H1" s="1" t="s">
        <v>74</v>
      </c>
      <c r="I1" s="1" t="s">
        <v>77</v>
      </c>
      <c r="J1" s="1" t="s">
        <v>74</v>
      </c>
      <c r="K1" s="1"/>
      <c r="L1" s="1" t="s">
        <v>74</v>
      </c>
      <c r="M1" s="1" t="s">
        <v>78</v>
      </c>
      <c r="O1" s="14" t="s">
        <v>85</v>
      </c>
      <c r="P1" s="14" t="s">
        <v>79</v>
      </c>
      <c r="Q1" s="14" t="s">
        <v>81</v>
      </c>
      <c r="R1" s="14" t="s">
        <v>80</v>
      </c>
      <c r="S1" s="16" t="s">
        <v>84</v>
      </c>
      <c r="T1" s="16" t="s">
        <v>79</v>
      </c>
      <c r="U1" s="16" t="s">
        <v>81</v>
      </c>
      <c r="V1" s="16" t="s">
        <v>80</v>
      </c>
      <c r="W1" s="18" t="s">
        <v>82</v>
      </c>
      <c r="X1" s="18" t="s">
        <v>79</v>
      </c>
      <c r="Y1" s="18" t="s">
        <v>81</v>
      </c>
      <c r="Z1" s="18" t="s">
        <v>80</v>
      </c>
      <c r="AA1" s="20" t="s">
        <v>83</v>
      </c>
      <c r="AB1" s="20" t="s">
        <v>79</v>
      </c>
      <c r="AC1" s="20" t="s">
        <v>81</v>
      </c>
      <c r="AD1" s="20" t="s">
        <v>80</v>
      </c>
    </row>
    <row r="2" spans="1:30" x14ac:dyDescent="0.25">
      <c r="A2">
        <v>2000</v>
      </c>
      <c r="E2">
        <v>4000</v>
      </c>
      <c r="I2">
        <v>9900</v>
      </c>
      <c r="M2">
        <v>20000</v>
      </c>
      <c r="O2" s="15">
        <v>2400</v>
      </c>
      <c r="P2" s="15">
        <f>COUNTIF(A:A,O2)</f>
        <v>5</v>
      </c>
      <c r="Q2" s="15">
        <f>SUM(P$2:P2)</f>
        <v>5</v>
      </c>
      <c r="R2" s="22">
        <f>Q2/MAX(Q:Q)</f>
        <v>2.2421524663677129E-2</v>
      </c>
      <c r="S2" s="17">
        <v>5800</v>
      </c>
      <c r="T2" s="17">
        <f>COUNTIF(E:E,S2)</f>
        <v>4</v>
      </c>
      <c r="U2" s="17">
        <f>SUM(T$2:T2)</f>
        <v>4</v>
      </c>
      <c r="V2" s="23">
        <f>U2/MAX(U:U)</f>
        <v>1.7937219730941704E-2</v>
      </c>
      <c r="W2" s="19">
        <v>2400</v>
      </c>
      <c r="X2" s="19">
        <f>COUNTIF(I:I,W2)</f>
        <v>4</v>
      </c>
      <c r="Y2" s="19">
        <f>SUM(X$2:X2)</f>
        <v>4</v>
      </c>
      <c r="Z2" s="27">
        <f>Y2/MAX(Y:Y)</f>
        <v>1.7937219730941704E-2</v>
      </c>
      <c r="AA2" s="21">
        <v>4000</v>
      </c>
      <c r="AB2" s="21">
        <f>COUNTIF(M:M,AA2)</f>
        <v>12</v>
      </c>
      <c r="AC2" s="21">
        <f>SUM(AB$2:AB2)</f>
        <v>12</v>
      </c>
      <c r="AD2" s="26">
        <f>AC2/MAX(AC:AC)</f>
        <v>5.3811659192825115E-2</v>
      </c>
    </row>
    <row r="3" spans="1:30" x14ac:dyDescent="0.25">
      <c r="A3">
        <v>800</v>
      </c>
      <c r="E3">
        <v>1800</v>
      </c>
      <c r="I3">
        <v>2700</v>
      </c>
      <c r="M3">
        <v>4500</v>
      </c>
      <c r="O3" s="15">
        <v>2300</v>
      </c>
      <c r="P3" s="15">
        <f t="shared" ref="P3:P21" si="0">COUNTIF(A:A,O3)</f>
        <v>8</v>
      </c>
      <c r="Q3" s="15">
        <f>SUM(P$2:P3)</f>
        <v>13</v>
      </c>
      <c r="R3" s="22">
        <f t="shared" ref="R3:R21" si="1">Q3/MAX(Q:Q)</f>
        <v>5.829596412556054E-2</v>
      </c>
      <c r="S3" s="17">
        <v>5600</v>
      </c>
      <c r="T3" s="17">
        <f t="shared" ref="T3:T21" si="2">COUNTIF(E:E,S3)</f>
        <v>6</v>
      </c>
      <c r="U3" s="17">
        <f>SUM(T$2:T3)</f>
        <v>10</v>
      </c>
      <c r="V3" s="23">
        <f t="shared" ref="V3:V21" si="3">U3/MAX(U:U)</f>
        <v>4.4843049327354258E-2</v>
      </c>
      <c r="W3" s="19">
        <v>2700</v>
      </c>
      <c r="X3" s="19">
        <f t="shared" ref="X3:X23" si="4">COUNTIF(I:I,W3)</f>
        <v>24</v>
      </c>
      <c r="Y3" s="19">
        <f>SUM(X$2:X3)</f>
        <v>28</v>
      </c>
      <c r="Z3" s="27">
        <f t="shared" ref="Z3:Z23" si="5">Y3/MAX(Y:Y)</f>
        <v>0.12556053811659193</v>
      </c>
      <c r="AA3" s="21">
        <v>4500</v>
      </c>
      <c r="AB3" s="21">
        <f t="shared" ref="AB3:AB23" si="6">COUNTIF(M:M,AA3)</f>
        <v>22</v>
      </c>
      <c r="AC3" s="21">
        <f>SUM(AB$2:AB3)</f>
        <v>34</v>
      </c>
      <c r="AD3" s="26">
        <f t="shared" ref="AD3:AD23" si="7">AC3/MAX(AC:AC)</f>
        <v>0.15246636771300448</v>
      </c>
    </row>
    <row r="4" spans="1:30" x14ac:dyDescent="0.25">
      <c r="A4">
        <v>1400</v>
      </c>
      <c r="E4">
        <v>4600</v>
      </c>
      <c r="I4">
        <v>7500</v>
      </c>
      <c r="M4">
        <v>13500</v>
      </c>
      <c r="O4" s="15">
        <v>2200</v>
      </c>
      <c r="P4" s="15">
        <f t="shared" si="0"/>
        <v>1</v>
      </c>
      <c r="Q4" s="15">
        <f>SUM(P$2:P4)</f>
        <v>14</v>
      </c>
      <c r="R4" s="22">
        <f t="shared" si="1"/>
        <v>6.2780269058295965E-2</v>
      </c>
      <c r="S4" s="17">
        <v>5400</v>
      </c>
      <c r="T4" s="17">
        <f t="shared" si="2"/>
        <v>5</v>
      </c>
      <c r="U4" s="17">
        <f>SUM(T$2:T4)</f>
        <v>15</v>
      </c>
      <c r="V4" s="23">
        <f t="shared" si="3"/>
        <v>6.726457399103139E-2</v>
      </c>
      <c r="W4" s="19">
        <v>3000</v>
      </c>
      <c r="X4" s="19">
        <f t="shared" si="4"/>
        <v>19</v>
      </c>
      <c r="Y4" s="19">
        <f>SUM(X$2:X4)</f>
        <v>47</v>
      </c>
      <c r="Z4" s="27">
        <f t="shared" si="5"/>
        <v>0.21076233183856502</v>
      </c>
      <c r="AA4" s="21">
        <v>5000</v>
      </c>
      <c r="AB4" s="21">
        <f t="shared" si="6"/>
        <v>16</v>
      </c>
      <c r="AC4" s="21">
        <f>SUM(AB$2:AB4)</f>
        <v>50</v>
      </c>
      <c r="AD4" s="26">
        <f t="shared" si="7"/>
        <v>0.22421524663677131</v>
      </c>
    </row>
    <row r="5" spans="1:30" x14ac:dyDescent="0.25">
      <c r="A5">
        <v>1300</v>
      </c>
      <c r="E5">
        <v>3400</v>
      </c>
      <c r="I5">
        <v>9600</v>
      </c>
      <c r="M5">
        <v>14000</v>
      </c>
      <c r="O5" s="15">
        <v>2100</v>
      </c>
      <c r="P5" s="15">
        <f t="shared" si="0"/>
        <v>3</v>
      </c>
      <c r="Q5" s="15">
        <f>SUM(P$2:P5)</f>
        <v>17</v>
      </c>
      <c r="R5" s="22">
        <f t="shared" si="1"/>
        <v>7.623318385650224E-2</v>
      </c>
      <c r="S5" s="17">
        <v>5200</v>
      </c>
      <c r="T5" s="17">
        <f t="shared" si="2"/>
        <v>8</v>
      </c>
      <c r="U5" s="17">
        <f>SUM(T$2:T5)</f>
        <v>23</v>
      </c>
      <c r="V5" s="23">
        <f t="shared" si="3"/>
        <v>0.1031390134529148</v>
      </c>
      <c r="W5" s="19">
        <v>3300</v>
      </c>
      <c r="X5" s="19">
        <f t="shared" si="4"/>
        <v>21</v>
      </c>
      <c r="Y5" s="19">
        <f>SUM(X$2:X5)</f>
        <v>68</v>
      </c>
      <c r="Z5" s="27">
        <f t="shared" si="5"/>
        <v>0.30493273542600896</v>
      </c>
      <c r="AA5" s="21">
        <v>5500</v>
      </c>
      <c r="AB5" s="21">
        <f t="shared" si="6"/>
        <v>10</v>
      </c>
      <c r="AC5" s="21">
        <f>SUM(AB$2:AB5)</f>
        <v>60</v>
      </c>
      <c r="AD5" s="26">
        <f t="shared" si="7"/>
        <v>0.26905829596412556</v>
      </c>
    </row>
    <row r="6" spans="1:30" x14ac:dyDescent="0.25">
      <c r="A6">
        <v>1100</v>
      </c>
      <c r="E6">
        <v>5000</v>
      </c>
      <c r="I6">
        <v>7200</v>
      </c>
      <c r="M6">
        <v>12500</v>
      </c>
      <c r="O6" s="15">
        <v>2000</v>
      </c>
      <c r="P6" s="15">
        <f t="shared" si="0"/>
        <v>13</v>
      </c>
      <c r="Q6" s="15">
        <f>SUM(P$2:P6)</f>
        <v>30</v>
      </c>
      <c r="R6" s="22">
        <f t="shared" si="1"/>
        <v>0.13452914798206278</v>
      </c>
      <c r="S6" s="17">
        <v>5000</v>
      </c>
      <c r="T6" s="17">
        <f t="shared" si="2"/>
        <v>16</v>
      </c>
      <c r="U6" s="17">
        <f>SUM(T$2:T6)</f>
        <v>39</v>
      </c>
      <c r="V6" s="23">
        <f t="shared" si="3"/>
        <v>0.17488789237668162</v>
      </c>
      <c r="W6" s="30">
        <v>3600</v>
      </c>
      <c r="X6" s="30">
        <f t="shared" si="4"/>
        <v>1</v>
      </c>
      <c r="Y6" s="30">
        <f>SUM(X$2:X6)</f>
        <v>69</v>
      </c>
      <c r="Z6" s="31">
        <f t="shared" si="5"/>
        <v>0.3094170403587444</v>
      </c>
      <c r="AA6" s="21">
        <v>6000</v>
      </c>
      <c r="AB6" s="21">
        <f t="shared" si="6"/>
        <v>9</v>
      </c>
      <c r="AC6" s="21">
        <f>SUM(AB$2:AB6)</f>
        <v>69</v>
      </c>
      <c r="AD6" s="26">
        <f t="shared" si="7"/>
        <v>0.3094170403587444</v>
      </c>
    </row>
    <row r="7" spans="1:30" x14ac:dyDescent="0.25">
      <c r="A7">
        <v>1800</v>
      </c>
      <c r="E7">
        <v>5000</v>
      </c>
      <c r="I7">
        <v>8100</v>
      </c>
      <c r="M7">
        <v>14000</v>
      </c>
      <c r="O7" s="15">
        <v>1900</v>
      </c>
      <c r="P7" s="15">
        <f t="shared" si="0"/>
        <v>10</v>
      </c>
      <c r="Q7" s="15">
        <f>SUM(P$2:P7)</f>
        <v>40</v>
      </c>
      <c r="R7" s="22">
        <f t="shared" si="1"/>
        <v>0.17937219730941703</v>
      </c>
      <c r="S7" s="17">
        <v>4800</v>
      </c>
      <c r="T7" s="17">
        <f t="shared" si="2"/>
        <v>11</v>
      </c>
      <c r="U7" s="17">
        <f>SUM(T$2:T7)</f>
        <v>50</v>
      </c>
      <c r="V7" s="23">
        <f t="shared" si="3"/>
        <v>0.22421524663677131</v>
      </c>
      <c r="W7" s="30">
        <v>7200</v>
      </c>
      <c r="X7" s="30">
        <f t="shared" si="4"/>
        <v>11</v>
      </c>
      <c r="Y7" s="30">
        <f>SUM(X$2:X7)</f>
        <v>80</v>
      </c>
      <c r="Z7" s="31">
        <f t="shared" si="5"/>
        <v>0.35874439461883406</v>
      </c>
      <c r="AA7" s="21">
        <v>12000</v>
      </c>
      <c r="AB7" s="21">
        <f t="shared" si="6"/>
        <v>12</v>
      </c>
      <c r="AC7" s="21">
        <f>SUM(AB$2:AB7)</f>
        <v>81</v>
      </c>
      <c r="AD7" s="26">
        <f t="shared" si="7"/>
        <v>0.3632286995515695</v>
      </c>
    </row>
    <row r="8" spans="1:30" x14ac:dyDescent="0.25">
      <c r="A8">
        <v>700</v>
      </c>
      <c r="E8">
        <v>1200</v>
      </c>
      <c r="I8">
        <v>2700</v>
      </c>
      <c r="M8">
        <v>5500</v>
      </c>
      <c r="O8" s="15">
        <v>1800</v>
      </c>
      <c r="P8" s="15">
        <f t="shared" si="0"/>
        <v>17</v>
      </c>
      <c r="Q8" s="15">
        <f>SUM(P$2:P8)</f>
        <v>57</v>
      </c>
      <c r="R8" s="22">
        <f t="shared" si="1"/>
        <v>0.2556053811659193</v>
      </c>
      <c r="S8" s="28">
        <v>4600</v>
      </c>
      <c r="T8" s="28">
        <f t="shared" si="2"/>
        <v>15</v>
      </c>
      <c r="U8" s="28">
        <f>SUM(T$2:T8)</f>
        <v>65</v>
      </c>
      <c r="V8" s="29">
        <f t="shared" si="3"/>
        <v>0.2914798206278027</v>
      </c>
      <c r="W8" s="19">
        <v>7500</v>
      </c>
      <c r="X8" s="19">
        <f t="shared" si="4"/>
        <v>7</v>
      </c>
      <c r="Y8" s="19">
        <f>SUM(X$2:X8)</f>
        <v>87</v>
      </c>
      <c r="Z8" s="27">
        <f t="shared" si="5"/>
        <v>0.39013452914798208</v>
      </c>
      <c r="AA8" s="21">
        <v>12500</v>
      </c>
      <c r="AB8" s="21">
        <f t="shared" si="6"/>
        <v>22</v>
      </c>
      <c r="AC8" s="21">
        <f>SUM(AB$2:AB8)</f>
        <v>103</v>
      </c>
      <c r="AD8" s="26">
        <f t="shared" si="7"/>
        <v>0.46188340807174888</v>
      </c>
    </row>
    <row r="9" spans="1:30" x14ac:dyDescent="0.25">
      <c r="A9">
        <v>400</v>
      </c>
      <c r="E9">
        <v>1800</v>
      </c>
      <c r="I9">
        <v>3300</v>
      </c>
      <c r="M9">
        <v>5500</v>
      </c>
      <c r="O9" s="15">
        <v>1700</v>
      </c>
      <c r="P9" s="15">
        <f t="shared" si="0"/>
        <v>16</v>
      </c>
      <c r="Q9" s="15">
        <f>SUM(P$2:P9)</f>
        <v>73</v>
      </c>
      <c r="R9" s="22">
        <f t="shared" si="1"/>
        <v>0.3273542600896861</v>
      </c>
      <c r="S9" s="28">
        <v>4400</v>
      </c>
      <c r="T9" s="28">
        <f t="shared" si="2"/>
        <v>11</v>
      </c>
      <c r="U9" s="28">
        <f>SUM(T$2:T9)</f>
        <v>76</v>
      </c>
      <c r="V9" s="29">
        <f t="shared" si="3"/>
        <v>0.34080717488789236</v>
      </c>
      <c r="W9" s="19">
        <v>7800</v>
      </c>
      <c r="X9" s="19">
        <f t="shared" si="4"/>
        <v>12</v>
      </c>
      <c r="Y9" s="19">
        <f>SUM(X$2:X9)</f>
        <v>99</v>
      </c>
      <c r="Z9" s="27">
        <f t="shared" si="5"/>
        <v>0.44394618834080718</v>
      </c>
      <c r="AA9" s="21">
        <v>13000</v>
      </c>
      <c r="AB9" s="21">
        <f t="shared" si="6"/>
        <v>14</v>
      </c>
      <c r="AC9" s="21">
        <f>SUM(AB$2:AB9)</f>
        <v>117</v>
      </c>
      <c r="AD9" s="26">
        <f t="shared" si="7"/>
        <v>0.5246636771300448</v>
      </c>
    </row>
    <row r="10" spans="1:30" x14ac:dyDescent="0.25">
      <c r="A10">
        <v>400</v>
      </c>
      <c r="E10">
        <v>1000</v>
      </c>
      <c r="I10">
        <v>3300</v>
      </c>
      <c r="M10">
        <v>6000</v>
      </c>
      <c r="O10" s="15">
        <v>1600</v>
      </c>
      <c r="P10" s="15">
        <f t="shared" si="0"/>
        <v>19</v>
      </c>
      <c r="Q10" s="15">
        <f>SUM(P$2:P10)</f>
        <v>92</v>
      </c>
      <c r="R10" s="22">
        <f t="shared" si="1"/>
        <v>0.41255605381165922</v>
      </c>
      <c r="S10" s="17">
        <v>4200</v>
      </c>
      <c r="T10" s="17">
        <f t="shared" si="2"/>
        <v>17</v>
      </c>
      <c r="U10" s="17">
        <f>SUM(T$2:T10)</f>
        <v>93</v>
      </c>
      <c r="V10" s="23">
        <f t="shared" si="3"/>
        <v>0.4170403587443946</v>
      </c>
      <c r="W10" s="19">
        <v>8100</v>
      </c>
      <c r="X10" s="19">
        <f t="shared" si="4"/>
        <v>14</v>
      </c>
      <c r="Y10" s="19">
        <f>SUM(X$2:X10)</f>
        <v>113</v>
      </c>
      <c r="Z10" s="27">
        <f t="shared" si="5"/>
        <v>0.50672645739910316</v>
      </c>
      <c r="AA10" s="21">
        <v>13500</v>
      </c>
      <c r="AB10" s="21">
        <f t="shared" si="6"/>
        <v>15</v>
      </c>
      <c r="AC10" s="21">
        <f>SUM(AB$2:AB10)</f>
        <v>132</v>
      </c>
      <c r="AD10" s="26">
        <f t="shared" si="7"/>
        <v>0.59192825112107628</v>
      </c>
    </row>
    <row r="11" spans="1:30" x14ac:dyDescent="0.25">
      <c r="A11">
        <v>1000</v>
      </c>
      <c r="E11">
        <v>3200</v>
      </c>
      <c r="I11">
        <v>7500</v>
      </c>
      <c r="M11">
        <v>13000</v>
      </c>
      <c r="O11" s="15">
        <v>1500</v>
      </c>
      <c r="P11" s="15">
        <f t="shared" si="0"/>
        <v>5</v>
      </c>
      <c r="Q11" s="15">
        <f>SUM(P$2:P11)</f>
        <v>97</v>
      </c>
      <c r="R11" s="22">
        <f t="shared" si="1"/>
        <v>0.4349775784753363</v>
      </c>
      <c r="S11" s="17">
        <v>4000</v>
      </c>
      <c r="T11" s="17">
        <f t="shared" si="2"/>
        <v>14</v>
      </c>
      <c r="U11" s="17">
        <f>SUM(T$2:T11)</f>
        <v>107</v>
      </c>
      <c r="V11" s="23">
        <f t="shared" si="3"/>
        <v>0.47982062780269058</v>
      </c>
      <c r="W11" s="19">
        <v>8400</v>
      </c>
      <c r="X11" s="19">
        <f t="shared" si="4"/>
        <v>14</v>
      </c>
      <c r="Y11" s="19">
        <f>SUM(X$2:X11)</f>
        <v>127</v>
      </c>
      <c r="Z11" s="27">
        <f t="shared" si="5"/>
        <v>0.56950672645739908</v>
      </c>
      <c r="AA11" s="21">
        <v>14000</v>
      </c>
      <c r="AB11" s="21">
        <f t="shared" si="6"/>
        <v>19</v>
      </c>
      <c r="AC11" s="21">
        <f>SUM(AB$2:AB11)</f>
        <v>151</v>
      </c>
      <c r="AD11" s="26">
        <f t="shared" si="7"/>
        <v>0.67713004484304928</v>
      </c>
    </row>
    <row r="12" spans="1:30" x14ac:dyDescent="0.25">
      <c r="A12">
        <v>2000</v>
      </c>
      <c r="E12">
        <v>5200</v>
      </c>
      <c r="I12">
        <v>9600</v>
      </c>
      <c r="M12">
        <v>16000</v>
      </c>
      <c r="O12" s="15">
        <v>1400</v>
      </c>
      <c r="P12" s="15">
        <f t="shared" si="0"/>
        <v>11</v>
      </c>
      <c r="Q12" s="15">
        <f>SUM(P$2:P12)</f>
        <v>108</v>
      </c>
      <c r="R12" s="22">
        <f t="shared" si="1"/>
        <v>0.48430493273542602</v>
      </c>
      <c r="S12" s="17">
        <v>3800</v>
      </c>
      <c r="T12" s="17">
        <f t="shared" si="2"/>
        <v>10</v>
      </c>
      <c r="U12" s="17">
        <f>SUM(T$2:T12)</f>
        <v>117</v>
      </c>
      <c r="V12" s="23">
        <f t="shared" si="3"/>
        <v>0.5246636771300448</v>
      </c>
      <c r="W12" s="19">
        <v>8700</v>
      </c>
      <c r="X12" s="19">
        <f t="shared" si="4"/>
        <v>10</v>
      </c>
      <c r="Y12" s="19">
        <f>SUM(X$2:X12)</f>
        <v>137</v>
      </c>
      <c r="Z12" s="27">
        <f t="shared" si="5"/>
        <v>0.61434977578475336</v>
      </c>
      <c r="AA12" s="21">
        <v>14500</v>
      </c>
      <c r="AB12" s="21">
        <f t="shared" si="6"/>
        <v>16</v>
      </c>
      <c r="AC12" s="21">
        <f>SUM(AB$2:AB12)</f>
        <v>167</v>
      </c>
      <c r="AD12" s="26">
        <f t="shared" si="7"/>
        <v>0.7488789237668162</v>
      </c>
    </row>
    <row r="13" spans="1:30" x14ac:dyDescent="0.25">
      <c r="A13">
        <v>1800</v>
      </c>
      <c r="E13">
        <v>4200</v>
      </c>
      <c r="I13">
        <v>7800</v>
      </c>
      <c r="M13">
        <v>14500</v>
      </c>
      <c r="O13" s="15">
        <v>1300</v>
      </c>
      <c r="P13" s="15">
        <f t="shared" si="0"/>
        <v>9</v>
      </c>
      <c r="Q13" s="15">
        <f>SUM(P$2:P13)</f>
        <v>117</v>
      </c>
      <c r="R13" s="22">
        <f t="shared" si="1"/>
        <v>0.5246636771300448</v>
      </c>
      <c r="S13" s="17">
        <v>3600</v>
      </c>
      <c r="T13" s="17">
        <f t="shared" si="2"/>
        <v>15</v>
      </c>
      <c r="U13" s="17">
        <f>SUM(T$2:T13)</f>
        <v>132</v>
      </c>
      <c r="V13" s="23">
        <f t="shared" si="3"/>
        <v>0.59192825112107628</v>
      </c>
      <c r="W13" s="19">
        <v>9000</v>
      </c>
      <c r="X13" s="19">
        <f t="shared" si="4"/>
        <v>12</v>
      </c>
      <c r="Y13" s="19">
        <f>SUM(X$2:X13)</f>
        <v>149</v>
      </c>
      <c r="Z13" s="27">
        <f t="shared" si="5"/>
        <v>0.66816143497757852</v>
      </c>
      <c r="AA13" s="21">
        <v>15000</v>
      </c>
      <c r="AB13" s="21">
        <f t="shared" si="6"/>
        <v>10</v>
      </c>
      <c r="AC13" s="21">
        <f>SUM(AB$2:AB13)</f>
        <v>177</v>
      </c>
      <c r="AD13" s="26">
        <f t="shared" si="7"/>
        <v>0.79372197309417036</v>
      </c>
    </row>
    <row r="14" spans="1:30" x14ac:dyDescent="0.25">
      <c r="A14">
        <v>1600</v>
      </c>
      <c r="E14">
        <v>4000</v>
      </c>
      <c r="I14">
        <v>8700</v>
      </c>
      <c r="M14">
        <v>14000</v>
      </c>
      <c r="O14" s="15">
        <v>1200</v>
      </c>
      <c r="P14" s="15">
        <f t="shared" si="0"/>
        <v>16</v>
      </c>
      <c r="Q14" s="15">
        <f>SUM(P$2:P14)</f>
        <v>133</v>
      </c>
      <c r="R14" s="22">
        <f t="shared" si="1"/>
        <v>0.5964125560538116</v>
      </c>
      <c r="S14" s="17">
        <v>3400</v>
      </c>
      <c r="T14" s="17">
        <f t="shared" si="2"/>
        <v>12</v>
      </c>
      <c r="U14" s="17">
        <f>SUM(T$2:T14)</f>
        <v>144</v>
      </c>
      <c r="V14" s="23">
        <f t="shared" si="3"/>
        <v>0.64573991031390132</v>
      </c>
      <c r="W14" s="19">
        <v>9300</v>
      </c>
      <c r="X14" s="19">
        <f t="shared" si="4"/>
        <v>14</v>
      </c>
      <c r="Y14" s="19">
        <f>SUM(X$2:X14)</f>
        <v>163</v>
      </c>
      <c r="Z14" s="27">
        <f t="shared" si="5"/>
        <v>0.73094170403587444</v>
      </c>
      <c r="AA14" s="21">
        <v>15500</v>
      </c>
      <c r="AB14" s="21">
        <f t="shared" si="6"/>
        <v>8</v>
      </c>
      <c r="AC14" s="21">
        <f>SUM(AB$2:AB14)</f>
        <v>185</v>
      </c>
      <c r="AD14" s="26">
        <f t="shared" si="7"/>
        <v>0.82959641255605376</v>
      </c>
    </row>
    <row r="15" spans="1:30" x14ac:dyDescent="0.25">
      <c r="A15">
        <v>2000</v>
      </c>
      <c r="E15">
        <v>5200</v>
      </c>
      <c r="I15">
        <v>11700</v>
      </c>
      <c r="M15">
        <v>17500</v>
      </c>
      <c r="O15" s="15">
        <v>1100</v>
      </c>
      <c r="P15" s="15">
        <f t="shared" si="0"/>
        <v>13</v>
      </c>
      <c r="Q15" s="15">
        <f>SUM(P$2:P15)</f>
        <v>146</v>
      </c>
      <c r="R15" s="22">
        <f t="shared" si="1"/>
        <v>0.6547085201793722</v>
      </c>
      <c r="S15" s="17">
        <v>3200</v>
      </c>
      <c r="T15" s="17">
        <f t="shared" si="2"/>
        <v>5</v>
      </c>
      <c r="U15" s="17">
        <f>SUM(T$2:T15)</f>
        <v>149</v>
      </c>
      <c r="V15" s="23">
        <f t="shared" si="3"/>
        <v>0.66816143497757852</v>
      </c>
      <c r="W15" s="19">
        <v>9600</v>
      </c>
      <c r="X15" s="19">
        <f t="shared" si="4"/>
        <v>16</v>
      </c>
      <c r="Y15" s="19">
        <f>SUM(X$2:X15)</f>
        <v>179</v>
      </c>
      <c r="Z15" s="27">
        <f t="shared" si="5"/>
        <v>0.80269058295964124</v>
      </c>
      <c r="AA15" s="21">
        <v>16000</v>
      </c>
      <c r="AB15" s="21">
        <f t="shared" si="6"/>
        <v>4</v>
      </c>
      <c r="AC15" s="21">
        <f>SUM(AB$2:AB15)</f>
        <v>189</v>
      </c>
      <c r="AD15" s="26">
        <f t="shared" si="7"/>
        <v>0.84753363228699552</v>
      </c>
    </row>
    <row r="16" spans="1:30" x14ac:dyDescent="0.25">
      <c r="A16">
        <v>700</v>
      </c>
      <c r="E16">
        <v>1400</v>
      </c>
      <c r="I16">
        <v>2700</v>
      </c>
      <c r="M16">
        <v>5500</v>
      </c>
      <c r="O16" s="15">
        <v>1000</v>
      </c>
      <c r="P16" s="15">
        <f t="shared" si="0"/>
        <v>8</v>
      </c>
      <c r="Q16" s="15">
        <f>SUM(P$2:P16)</f>
        <v>154</v>
      </c>
      <c r="R16" s="22">
        <f t="shared" si="1"/>
        <v>0.6905829596412556</v>
      </c>
      <c r="S16" s="17">
        <v>3000</v>
      </c>
      <c r="T16" s="17">
        <f t="shared" si="2"/>
        <v>5</v>
      </c>
      <c r="U16" s="17">
        <f>SUM(T$2:T16)</f>
        <v>154</v>
      </c>
      <c r="V16" s="23">
        <f t="shared" si="3"/>
        <v>0.6905829596412556</v>
      </c>
      <c r="W16" s="19">
        <v>9900</v>
      </c>
      <c r="X16" s="19">
        <f t="shared" si="4"/>
        <v>9</v>
      </c>
      <c r="Y16" s="19">
        <f>SUM(X$2:X16)</f>
        <v>188</v>
      </c>
      <c r="Z16" s="27">
        <f t="shared" si="5"/>
        <v>0.84304932735426008</v>
      </c>
      <c r="AA16" s="21">
        <v>16500</v>
      </c>
      <c r="AB16" s="21">
        <f t="shared" si="6"/>
        <v>1</v>
      </c>
      <c r="AC16" s="21">
        <f>SUM(AB$2:AB16)</f>
        <v>190</v>
      </c>
      <c r="AD16" s="26">
        <f t="shared" si="7"/>
        <v>0.85201793721973096</v>
      </c>
    </row>
    <row r="17" spans="1:30" x14ac:dyDescent="0.25">
      <c r="A17">
        <v>500</v>
      </c>
      <c r="E17">
        <v>1600</v>
      </c>
      <c r="I17">
        <v>3300</v>
      </c>
      <c r="M17">
        <v>4000</v>
      </c>
      <c r="O17" s="15">
        <v>800</v>
      </c>
      <c r="P17" s="15">
        <f t="shared" si="0"/>
        <v>10</v>
      </c>
      <c r="Q17" s="15">
        <f>SUM(P$2:P17)</f>
        <v>164</v>
      </c>
      <c r="R17" s="22">
        <f t="shared" si="1"/>
        <v>0.73542600896860988</v>
      </c>
      <c r="S17" s="17">
        <v>1800</v>
      </c>
      <c r="T17" s="17">
        <f t="shared" si="2"/>
        <v>6</v>
      </c>
      <c r="U17" s="17">
        <f>SUM(T$2:T17)</f>
        <v>160</v>
      </c>
      <c r="V17" s="23">
        <f t="shared" si="3"/>
        <v>0.71748878923766812</v>
      </c>
      <c r="W17" s="19">
        <v>10200</v>
      </c>
      <c r="X17" s="19">
        <f t="shared" si="4"/>
        <v>2</v>
      </c>
      <c r="Y17" s="19">
        <f>SUM(X$2:X17)</f>
        <v>190</v>
      </c>
      <c r="Z17" s="27">
        <f t="shared" si="5"/>
        <v>0.85201793721973096</v>
      </c>
      <c r="AA17" s="21">
        <v>17000</v>
      </c>
      <c r="AB17" s="21">
        <f t="shared" si="6"/>
        <v>4</v>
      </c>
      <c r="AC17" s="21">
        <f>SUM(AB$2:AB17)</f>
        <v>194</v>
      </c>
      <c r="AD17" s="26">
        <f t="shared" si="7"/>
        <v>0.8699551569506726</v>
      </c>
    </row>
    <row r="18" spans="1:30" x14ac:dyDescent="0.25">
      <c r="A18">
        <v>1500</v>
      </c>
      <c r="E18">
        <v>4400</v>
      </c>
      <c r="I18">
        <v>11100</v>
      </c>
      <c r="M18">
        <v>15500</v>
      </c>
      <c r="O18" s="15">
        <v>700</v>
      </c>
      <c r="P18" s="15">
        <f t="shared" si="0"/>
        <v>16</v>
      </c>
      <c r="Q18" s="15">
        <f>SUM(P$2:P18)</f>
        <v>180</v>
      </c>
      <c r="R18" s="22">
        <f t="shared" si="1"/>
        <v>0.80717488789237668</v>
      </c>
      <c r="S18" s="17">
        <v>1600</v>
      </c>
      <c r="T18" s="17">
        <f t="shared" si="2"/>
        <v>21</v>
      </c>
      <c r="U18" s="17">
        <f>SUM(T$2:T18)</f>
        <v>181</v>
      </c>
      <c r="V18" s="23">
        <f t="shared" si="3"/>
        <v>0.81165919282511212</v>
      </c>
      <c r="W18" s="19">
        <v>10500</v>
      </c>
      <c r="X18" s="19">
        <f t="shared" si="4"/>
        <v>5</v>
      </c>
      <c r="Y18" s="19">
        <f>SUM(X$2:X18)</f>
        <v>195</v>
      </c>
      <c r="Z18" s="27">
        <f t="shared" si="5"/>
        <v>0.87443946188340804</v>
      </c>
      <c r="AA18" s="21">
        <v>17500</v>
      </c>
      <c r="AB18" s="21">
        <f t="shared" si="6"/>
        <v>6</v>
      </c>
      <c r="AC18" s="21">
        <f>SUM(AB$2:AB18)</f>
        <v>200</v>
      </c>
      <c r="AD18" s="26">
        <f t="shared" si="7"/>
        <v>0.89686098654708524</v>
      </c>
    </row>
    <row r="19" spans="1:30" x14ac:dyDescent="0.25">
      <c r="A19">
        <v>2000</v>
      </c>
      <c r="E19">
        <v>4000</v>
      </c>
      <c r="I19">
        <v>9000</v>
      </c>
      <c r="M19">
        <v>12500</v>
      </c>
      <c r="O19" s="15">
        <v>600</v>
      </c>
      <c r="P19" s="15">
        <f t="shared" si="0"/>
        <v>15</v>
      </c>
      <c r="Q19" s="15">
        <f>SUM(P$2:P19)</f>
        <v>195</v>
      </c>
      <c r="R19" s="22">
        <f t="shared" si="1"/>
        <v>0.87443946188340804</v>
      </c>
      <c r="S19" s="17">
        <v>1400</v>
      </c>
      <c r="T19" s="17">
        <f t="shared" si="2"/>
        <v>18</v>
      </c>
      <c r="U19" s="17">
        <f>SUM(T$2:T19)</f>
        <v>199</v>
      </c>
      <c r="V19" s="23">
        <f t="shared" si="3"/>
        <v>0.8923766816143498</v>
      </c>
      <c r="W19" s="19">
        <v>10800</v>
      </c>
      <c r="X19" s="19">
        <f t="shared" si="4"/>
        <v>4</v>
      </c>
      <c r="Y19" s="19">
        <f>SUM(X$2:X19)</f>
        <v>199</v>
      </c>
      <c r="Z19" s="27">
        <f t="shared" si="5"/>
        <v>0.8923766816143498</v>
      </c>
      <c r="AA19" s="21">
        <v>18000</v>
      </c>
      <c r="AB19" s="21">
        <f t="shared" si="6"/>
        <v>8</v>
      </c>
      <c r="AC19" s="21">
        <f>SUM(AB$2:AB19)</f>
        <v>208</v>
      </c>
      <c r="AD19" s="26">
        <f t="shared" si="7"/>
        <v>0.93273542600896864</v>
      </c>
    </row>
    <row r="20" spans="1:30" x14ac:dyDescent="0.25">
      <c r="A20">
        <v>2100</v>
      </c>
      <c r="E20">
        <v>5200</v>
      </c>
      <c r="I20">
        <v>9600</v>
      </c>
      <c r="M20">
        <v>18500</v>
      </c>
      <c r="O20" s="15">
        <v>500</v>
      </c>
      <c r="P20" s="15">
        <f t="shared" si="0"/>
        <v>20</v>
      </c>
      <c r="Q20" s="15">
        <f>SUM(P$2:P20)</f>
        <v>215</v>
      </c>
      <c r="R20" s="22">
        <f t="shared" si="1"/>
        <v>0.9641255605381166</v>
      </c>
      <c r="S20" s="17">
        <v>1200</v>
      </c>
      <c r="T20" s="17">
        <f t="shared" si="2"/>
        <v>14</v>
      </c>
      <c r="U20" s="17">
        <f>SUM(T$2:T20)</f>
        <v>213</v>
      </c>
      <c r="V20" s="23">
        <f t="shared" si="3"/>
        <v>0.95515695067264572</v>
      </c>
      <c r="W20" s="19">
        <v>11100</v>
      </c>
      <c r="X20" s="19">
        <f t="shared" si="4"/>
        <v>10</v>
      </c>
      <c r="Y20" s="19">
        <f>SUM(X$2:X20)</f>
        <v>209</v>
      </c>
      <c r="Z20" s="27">
        <f t="shared" si="5"/>
        <v>0.93721973094170408</v>
      </c>
      <c r="AA20" s="21">
        <v>18500</v>
      </c>
      <c r="AB20" s="21">
        <f t="shared" si="6"/>
        <v>5</v>
      </c>
      <c r="AC20" s="21">
        <f>SUM(AB$2:AB20)</f>
        <v>213</v>
      </c>
      <c r="AD20" s="26">
        <f t="shared" si="7"/>
        <v>0.95515695067264572</v>
      </c>
    </row>
    <row r="21" spans="1:30" x14ac:dyDescent="0.25">
      <c r="A21">
        <v>2300</v>
      </c>
      <c r="E21">
        <v>5600</v>
      </c>
      <c r="I21">
        <v>11100</v>
      </c>
      <c r="M21">
        <v>19500</v>
      </c>
      <c r="O21" s="15">
        <v>400</v>
      </c>
      <c r="P21" s="15">
        <f t="shared" si="0"/>
        <v>8</v>
      </c>
      <c r="Q21" s="15">
        <f>SUM(P$2:P21)</f>
        <v>223</v>
      </c>
      <c r="R21" s="22">
        <f t="shared" si="1"/>
        <v>1</v>
      </c>
      <c r="S21" s="17">
        <v>1000</v>
      </c>
      <c r="T21" s="17">
        <f t="shared" si="2"/>
        <v>10</v>
      </c>
      <c r="U21" s="17">
        <f>SUM(T$2:T21)</f>
        <v>223</v>
      </c>
      <c r="V21" s="23">
        <f t="shared" si="3"/>
        <v>1</v>
      </c>
      <c r="W21" s="19">
        <v>11400</v>
      </c>
      <c r="X21" s="19">
        <f t="shared" si="4"/>
        <v>9</v>
      </c>
      <c r="Y21" s="19">
        <f>SUM(X$2:X21)</f>
        <v>218</v>
      </c>
      <c r="Z21" s="27">
        <f t="shared" si="5"/>
        <v>0.97757847533632292</v>
      </c>
      <c r="AA21" s="21">
        <v>19000</v>
      </c>
      <c r="AB21" s="21">
        <f t="shared" si="6"/>
        <v>1</v>
      </c>
      <c r="AC21" s="21">
        <f>SUM(AB$2:AB21)</f>
        <v>214</v>
      </c>
      <c r="AD21" s="26">
        <f t="shared" si="7"/>
        <v>0.95964125560538116</v>
      </c>
    </row>
    <row r="22" spans="1:30" x14ac:dyDescent="0.25">
      <c r="A22">
        <v>1800</v>
      </c>
      <c r="E22">
        <v>4200</v>
      </c>
      <c r="I22">
        <v>9900</v>
      </c>
      <c r="M22">
        <v>14000</v>
      </c>
      <c r="T22" s="24"/>
      <c r="U22" s="24"/>
      <c r="V22" s="25"/>
      <c r="W22" s="19">
        <v>11700</v>
      </c>
      <c r="X22" s="19">
        <f t="shared" si="4"/>
        <v>4</v>
      </c>
      <c r="Y22" s="19">
        <f>SUM(X$2:X22)</f>
        <v>222</v>
      </c>
      <c r="Z22" s="27">
        <f t="shared" si="5"/>
        <v>0.99551569506726456</v>
      </c>
      <c r="AA22" s="21">
        <v>19500</v>
      </c>
      <c r="AB22" s="21">
        <f t="shared" si="6"/>
        <v>6</v>
      </c>
      <c r="AC22" s="21">
        <f>SUM(AB$2:AB22)</f>
        <v>220</v>
      </c>
      <c r="AD22" s="26">
        <f t="shared" si="7"/>
        <v>0.98654708520179368</v>
      </c>
    </row>
    <row r="23" spans="1:30" x14ac:dyDescent="0.25">
      <c r="A23">
        <v>800</v>
      </c>
      <c r="E23">
        <v>1000</v>
      </c>
      <c r="I23">
        <v>3300</v>
      </c>
      <c r="M23">
        <v>4500</v>
      </c>
      <c r="T23" s="24"/>
      <c r="U23" s="24"/>
      <c r="V23" s="25"/>
      <c r="W23" s="19">
        <v>12000</v>
      </c>
      <c r="X23" s="19">
        <f t="shared" si="4"/>
        <v>1</v>
      </c>
      <c r="Y23" s="19">
        <f>SUM(X$2:X23)</f>
        <v>223</v>
      </c>
      <c r="Z23" s="27">
        <f t="shared" si="5"/>
        <v>1</v>
      </c>
      <c r="AA23" s="21">
        <v>20000</v>
      </c>
      <c r="AB23" s="21">
        <f t="shared" si="6"/>
        <v>3</v>
      </c>
      <c r="AC23" s="21">
        <f>SUM(AB$2:AB23)</f>
        <v>223</v>
      </c>
      <c r="AD23" s="26">
        <f t="shared" si="7"/>
        <v>1</v>
      </c>
    </row>
    <row r="24" spans="1:30" x14ac:dyDescent="0.25">
      <c r="A24">
        <v>1200</v>
      </c>
      <c r="E24">
        <v>4200</v>
      </c>
      <c r="I24">
        <v>9600</v>
      </c>
      <c r="M24">
        <v>14500</v>
      </c>
      <c r="U24" s="24"/>
    </row>
    <row r="25" spans="1:30" x14ac:dyDescent="0.25">
      <c r="A25">
        <v>1900</v>
      </c>
      <c r="E25">
        <v>5000</v>
      </c>
      <c r="I25">
        <v>11100</v>
      </c>
      <c r="M25">
        <v>16500</v>
      </c>
      <c r="S25" t="s">
        <v>86</v>
      </c>
      <c r="T25" t="s">
        <v>87</v>
      </c>
    </row>
    <row r="26" spans="1:30" x14ac:dyDescent="0.25">
      <c r="A26">
        <v>400</v>
      </c>
      <c r="E26">
        <v>1400</v>
      </c>
      <c r="I26">
        <v>2700</v>
      </c>
      <c r="M26">
        <v>5000</v>
      </c>
      <c r="R26" t="s">
        <v>40</v>
      </c>
      <c r="S26">
        <v>4600</v>
      </c>
      <c r="T26">
        <v>0.2914798206278027</v>
      </c>
    </row>
    <row r="27" spans="1:30" x14ac:dyDescent="0.25">
      <c r="A27">
        <v>500</v>
      </c>
      <c r="E27">
        <v>1000</v>
      </c>
      <c r="I27">
        <v>2700</v>
      </c>
      <c r="M27">
        <v>5000</v>
      </c>
      <c r="R27" t="s">
        <v>41</v>
      </c>
      <c r="S27">
        <v>4400</v>
      </c>
      <c r="T27">
        <v>0.34080717488789236</v>
      </c>
    </row>
    <row r="28" spans="1:30" x14ac:dyDescent="0.25">
      <c r="A28">
        <v>1700</v>
      </c>
      <c r="E28">
        <v>3000</v>
      </c>
      <c r="I28">
        <v>8100</v>
      </c>
      <c r="M28">
        <v>12500</v>
      </c>
      <c r="R28" t="s">
        <v>88</v>
      </c>
      <c r="S28" s="32">
        <f>(T27-T26)/(S27-S26)</f>
        <v>-2.4663677130044832E-4</v>
      </c>
    </row>
    <row r="29" spans="1:30" x14ac:dyDescent="0.25">
      <c r="A29">
        <v>1900</v>
      </c>
      <c r="E29">
        <v>4600</v>
      </c>
      <c r="I29">
        <v>9900</v>
      </c>
      <c r="M29">
        <v>19500</v>
      </c>
      <c r="R29" t="s">
        <v>89</v>
      </c>
      <c r="S29">
        <f>T26-S28*S26</f>
        <v>1.4260089686098649</v>
      </c>
    </row>
    <row r="30" spans="1:30" x14ac:dyDescent="0.25">
      <c r="A30">
        <v>1000</v>
      </c>
      <c r="E30">
        <v>5000</v>
      </c>
      <c r="I30">
        <v>9600</v>
      </c>
      <c r="M30">
        <v>14500</v>
      </c>
    </row>
    <row r="31" spans="1:30" x14ac:dyDescent="0.25">
      <c r="A31">
        <v>1900</v>
      </c>
      <c r="E31">
        <v>4400</v>
      </c>
      <c r="I31">
        <v>8700</v>
      </c>
      <c r="M31">
        <v>12000</v>
      </c>
      <c r="S31" s="24"/>
      <c r="T31" s="25"/>
    </row>
    <row r="32" spans="1:30" x14ac:dyDescent="0.25">
      <c r="A32">
        <v>500</v>
      </c>
      <c r="E32">
        <v>1600</v>
      </c>
      <c r="I32">
        <v>3000</v>
      </c>
      <c r="M32">
        <v>4500</v>
      </c>
      <c r="S32" t="s">
        <v>86</v>
      </c>
      <c r="T32" t="s">
        <v>87</v>
      </c>
    </row>
    <row r="33" spans="1:20" x14ac:dyDescent="0.25">
      <c r="A33">
        <v>1200</v>
      </c>
      <c r="E33">
        <v>5000</v>
      </c>
      <c r="I33">
        <v>9600</v>
      </c>
      <c r="M33">
        <v>13000</v>
      </c>
      <c r="R33" t="s">
        <v>42</v>
      </c>
      <c r="S33" s="30">
        <v>3600</v>
      </c>
      <c r="T33">
        <v>0.3094170403587444</v>
      </c>
    </row>
    <row r="34" spans="1:20" x14ac:dyDescent="0.25">
      <c r="A34">
        <v>1100</v>
      </c>
      <c r="E34">
        <v>3600</v>
      </c>
      <c r="I34">
        <v>9300</v>
      </c>
      <c r="M34">
        <v>13000</v>
      </c>
      <c r="R34" t="s">
        <v>43</v>
      </c>
      <c r="S34" s="30">
        <v>7200</v>
      </c>
      <c r="T34">
        <v>0.35874439461883406</v>
      </c>
    </row>
    <row r="35" spans="1:20" x14ac:dyDescent="0.25">
      <c r="A35">
        <v>1900</v>
      </c>
      <c r="E35">
        <v>4000</v>
      </c>
      <c r="I35">
        <v>7800</v>
      </c>
      <c r="M35">
        <v>13500</v>
      </c>
      <c r="R35" t="s">
        <v>90</v>
      </c>
      <c r="S35" s="32">
        <f>(T34-T33)/(S34-S33)</f>
        <v>1.3702042850024907E-5</v>
      </c>
    </row>
    <row r="36" spans="1:20" x14ac:dyDescent="0.25">
      <c r="A36">
        <v>1200</v>
      </c>
      <c r="E36">
        <v>4400</v>
      </c>
      <c r="I36">
        <v>7200</v>
      </c>
      <c r="M36">
        <v>14500</v>
      </c>
      <c r="R36" t="s">
        <v>91</v>
      </c>
      <c r="S36">
        <f>T33-S35*S33</f>
        <v>0.26008968609865474</v>
      </c>
    </row>
    <row r="37" spans="1:20" x14ac:dyDescent="0.25">
      <c r="A37">
        <v>500</v>
      </c>
      <c r="E37">
        <v>1600</v>
      </c>
      <c r="I37">
        <v>2700</v>
      </c>
      <c r="M37">
        <v>6000</v>
      </c>
    </row>
    <row r="38" spans="1:20" x14ac:dyDescent="0.25">
      <c r="A38">
        <v>1600</v>
      </c>
      <c r="E38">
        <v>4600</v>
      </c>
      <c r="I38">
        <v>9900</v>
      </c>
      <c r="M38">
        <v>14000</v>
      </c>
    </row>
    <row r="39" spans="1:20" x14ac:dyDescent="0.25">
      <c r="A39">
        <v>1200</v>
      </c>
      <c r="E39">
        <v>3400</v>
      </c>
      <c r="I39">
        <v>8700</v>
      </c>
      <c r="M39">
        <v>14500</v>
      </c>
      <c r="R39" t="s">
        <v>92</v>
      </c>
      <c r="S39">
        <f>(S36-S29)/(S28-S35)</f>
        <v>4478.4688995215311</v>
      </c>
    </row>
    <row r="40" spans="1:20" x14ac:dyDescent="0.25">
      <c r="A40">
        <v>1700</v>
      </c>
      <c r="E40">
        <v>4400</v>
      </c>
      <c r="I40">
        <v>11400</v>
      </c>
      <c r="M40">
        <v>19500</v>
      </c>
    </row>
    <row r="41" spans="1:20" x14ac:dyDescent="0.25">
      <c r="A41">
        <v>2000</v>
      </c>
      <c r="E41">
        <v>5800</v>
      </c>
      <c r="I41">
        <v>9600</v>
      </c>
      <c r="M41">
        <v>19500</v>
      </c>
    </row>
    <row r="42" spans="1:20" x14ac:dyDescent="0.25">
      <c r="A42">
        <v>1200</v>
      </c>
      <c r="E42">
        <v>4800</v>
      </c>
      <c r="I42">
        <v>9000</v>
      </c>
      <c r="M42">
        <v>12500</v>
      </c>
    </row>
    <row r="43" spans="1:20" x14ac:dyDescent="0.25">
      <c r="A43">
        <v>800</v>
      </c>
      <c r="E43">
        <v>1600</v>
      </c>
      <c r="I43">
        <v>2700</v>
      </c>
      <c r="M43">
        <v>4000</v>
      </c>
    </row>
    <row r="44" spans="1:20" x14ac:dyDescent="0.25">
      <c r="A44">
        <v>1700</v>
      </c>
      <c r="E44">
        <v>4800</v>
      </c>
      <c r="I44">
        <v>8400</v>
      </c>
      <c r="M44">
        <v>13000</v>
      </c>
    </row>
    <row r="45" spans="1:20" x14ac:dyDescent="0.25">
      <c r="A45">
        <v>1900</v>
      </c>
      <c r="E45">
        <v>4400</v>
      </c>
      <c r="I45">
        <v>9300</v>
      </c>
      <c r="M45">
        <v>13500</v>
      </c>
    </row>
    <row r="46" spans="1:20" x14ac:dyDescent="0.25">
      <c r="A46">
        <v>1700</v>
      </c>
      <c r="E46">
        <v>4600</v>
      </c>
      <c r="I46">
        <v>9000</v>
      </c>
      <c r="M46">
        <v>12500</v>
      </c>
    </row>
    <row r="47" spans="1:20" x14ac:dyDescent="0.25">
      <c r="A47">
        <v>1800</v>
      </c>
      <c r="E47">
        <v>4800</v>
      </c>
      <c r="I47">
        <v>7800</v>
      </c>
      <c r="M47">
        <v>14500</v>
      </c>
    </row>
    <row r="48" spans="1:20" x14ac:dyDescent="0.25">
      <c r="A48">
        <v>700</v>
      </c>
      <c r="E48">
        <v>1400</v>
      </c>
      <c r="I48">
        <v>3000</v>
      </c>
      <c r="M48">
        <v>5000</v>
      </c>
    </row>
    <row r="49" spans="1:13" x14ac:dyDescent="0.25">
      <c r="A49">
        <v>1600</v>
      </c>
      <c r="E49">
        <v>4000</v>
      </c>
      <c r="I49">
        <v>9300</v>
      </c>
      <c r="M49">
        <v>14000</v>
      </c>
    </row>
    <row r="50" spans="1:13" x14ac:dyDescent="0.25">
      <c r="A50">
        <v>2400</v>
      </c>
      <c r="E50">
        <v>5800</v>
      </c>
      <c r="I50">
        <v>11100</v>
      </c>
      <c r="M50">
        <v>15500</v>
      </c>
    </row>
    <row r="51" spans="1:13" x14ac:dyDescent="0.25">
      <c r="A51">
        <v>500</v>
      </c>
      <c r="E51">
        <v>1200</v>
      </c>
      <c r="I51">
        <v>2400</v>
      </c>
      <c r="M51">
        <v>6000</v>
      </c>
    </row>
    <row r="52" spans="1:13" x14ac:dyDescent="0.25">
      <c r="A52">
        <v>1800</v>
      </c>
      <c r="E52">
        <v>3800</v>
      </c>
      <c r="I52">
        <v>8100</v>
      </c>
      <c r="M52">
        <v>12500</v>
      </c>
    </row>
    <row r="53" spans="1:13" x14ac:dyDescent="0.25">
      <c r="A53">
        <v>1800</v>
      </c>
      <c r="E53">
        <v>5200</v>
      </c>
      <c r="I53">
        <v>9900</v>
      </c>
      <c r="M53">
        <v>15000</v>
      </c>
    </row>
    <row r="54" spans="1:13" x14ac:dyDescent="0.25">
      <c r="A54">
        <v>2000</v>
      </c>
      <c r="E54">
        <v>3600</v>
      </c>
      <c r="I54">
        <v>8100</v>
      </c>
      <c r="M54">
        <v>13500</v>
      </c>
    </row>
    <row r="55" spans="1:13" x14ac:dyDescent="0.25">
      <c r="A55">
        <v>1500</v>
      </c>
      <c r="E55">
        <v>5200</v>
      </c>
      <c r="I55">
        <v>10800</v>
      </c>
      <c r="M55">
        <v>17500</v>
      </c>
    </row>
    <row r="56" spans="1:13" x14ac:dyDescent="0.25">
      <c r="A56">
        <v>2000</v>
      </c>
      <c r="E56">
        <v>3000</v>
      </c>
      <c r="I56">
        <v>9300</v>
      </c>
      <c r="M56">
        <v>14500</v>
      </c>
    </row>
    <row r="57" spans="1:13" x14ac:dyDescent="0.25">
      <c r="A57">
        <v>1800</v>
      </c>
      <c r="E57">
        <v>5000</v>
      </c>
      <c r="I57">
        <v>11400</v>
      </c>
      <c r="M57">
        <v>17000</v>
      </c>
    </row>
    <row r="58" spans="1:13" x14ac:dyDescent="0.25">
      <c r="A58">
        <v>1700</v>
      </c>
      <c r="E58">
        <v>3600</v>
      </c>
      <c r="I58">
        <v>9000</v>
      </c>
      <c r="M58">
        <v>12000</v>
      </c>
    </row>
    <row r="59" spans="1:13" x14ac:dyDescent="0.25">
      <c r="A59">
        <v>2400</v>
      </c>
      <c r="E59">
        <v>5400</v>
      </c>
      <c r="I59">
        <v>10800</v>
      </c>
      <c r="M59">
        <v>17500</v>
      </c>
    </row>
    <row r="60" spans="1:13" x14ac:dyDescent="0.25">
      <c r="A60">
        <v>800</v>
      </c>
      <c r="E60">
        <v>1000</v>
      </c>
      <c r="I60">
        <v>3300</v>
      </c>
      <c r="M60">
        <v>5000</v>
      </c>
    </row>
    <row r="61" spans="1:13" x14ac:dyDescent="0.25">
      <c r="A61">
        <v>1600</v>
      </c>
      <c r="E61">
        <v>4400</v>
      </c>
      <c r="I61">
        <v>8700</v>
      </c>
      <c r="M61">
        <v>12500</v>
      </c>
    </row>
    <row r="62" spans="1:13" x14ac:dyDescent="0.25">
      <c r="A62">
        <v>2100</v>
      </c>
      <c r="E62">
        <v>4200</v>
      </c>
      <c r="I62">
        <v>11700</v>
      </c>
      <c r="M62">
        <v>15500</v>
      </c>
    </row>
    <row r="63" spans="1:13" x14ac:dyDescent="0.25">
      <c r="A63">
        <v>2000</v>
      </c>
      <c r="E63">
        <v>5000</v>
      </c>
      <c r="I63">
        <v>11100</v>
      </c>
      <c r="M63">
        <v>16000</v>
      </c>
    </row>
    <row r="64" spans="1:13" x14ac:dyDescent="0.25">
      <c r="A64">
        <v>1800</v>
      </c>
      <c r="E64">
        <v>4600</v>
      </c>
      <c r="I64">
        <v>11100</v>
      </c>
      <c r="M64">
        <v>16000</v>
      </c>
    </row>
    <row r="65" spans="1:13" x14ac:dyDescent="0.25">
      <c r="A65">
        <v>700</v>
      </c>
      <c r="E65">
        <v>1200</v>
      </c>
      <c r="I65">
        <v>2700</v>
      </c>
      <c r="M65">
        <v>4500</v>
      </c>
    </row>
    <row r="66" spans="1:13" x14ac:dyDescent="0.25">
      <c r="A66">
        <v>500</v>
      </c>
      <c r="E66">
        <v>1200</v>
      </c>
      <c r="I66">
        <v>3000</v>
      </c>
      <c r="M66">
        <v>4000</v>
      </c>
    </row>
    <row r="67" spans="1:13" x14ac:dyDescent="0.25">
      <c r="A67">
        <v>1200</v>
      </c>
      <c r="E67">
        <v>3400</v>
      </c>
      <c r="I67">
        <v>8700</v>
      </c>
      <c r="M67">
        <v>13000</v>
      </c>
    </row>
    <row r="68" spans="1:13" x14ac:dyDescent="0.25">
      <c r="A68">
        <v>500</v>
      </c>
      <c r="E68">
        <v>1400</v>
      </c>
      <c r="I68">
        <v>3300</v>
      </c>
      <c r="M68">
        <v>5000</v>
      </c>
    </row>
    <row r="69" spans="1:13" x14ac:dyDescent="0.25">
      <c r="A69">
        <v>600</v>
      </c>
      <c r="E69">
        <v>1200</v>
      </c>
      <c r="I69">
        <v>3000</v>
      </c>
      <c r="M69">
        <v>4500</v>
      </c>
    </row>
    <row r="70" spans="1:13" x14ac:dyDescent="0.25">
      <c r="A70">
        <v>700</v>
      </c>
      <c r="E70">
        <v>1200</v>
      </c>
      <c r="I70">
        <v>3000</v>
      </c>
      <c r="M70">
        <v>5000</v>
      </c>
    </row>
    <row r="71" spans="1:13" x14ac:dyDescent="0.25">
      <c r="A71">
        <v>500</v>
      </c>
      <c r="E71">
        <v>1800</v>
      </c>
      <c r="I71">
        <v>2700</v>
      </c>
      <c r="M71">
        <v>4000</v>
      </c>
    </row>
    <row r="72" spans="1:13" x14ac:dyDescent="0.25">
      <c r="A72">
        <v>1900</v>
      </c>
      <c r="E72">
        <v>3800</v>
      </c>
      <c r="I72">
        <v>9300</v>
      </c>
      <c r="M72">
        <v>13500</v>
      </c>
    </row>
    <row r="73" spans="1:13" x14ac:dyDescent="0.25">
      <c r="A73">
        <v>1300</v>
      </c>
      <c r="E73">
        <v>3800</v>
      </c>
      <c r="I73">
        <v>8100</v>
      </c>
      <c r="M73">
        <v>14500</v>
      </c>
    </row>
    <row r="74" spans="1:13" x14ac:dyDescent="0.25">
      <c r="A74">
        <v>2300</v>
      </c>
      <c r="E74">
        <v>5000</v>
      </c>
      <c r="I74">
        <v>9300</v>
      </c>
      <c r="M74">
        <v>17000</v>
      </c>
    </row>
    <row r="75" spans="1:13" x14ac:dyDescent="0.25">
      <c r="A75">
        <v>600</v>
      </c>
      <c r="E75">
        <v>1600</v>
      </c>
      <c r="I75">
        <v>3600</v>
      </c>
      <c r="M75">
        <v>5500</v>
      </c>
    </row>
    <row r="76" spans="1:13" x14ac:dyDescent="0.25">
      <c r="A76">
        <v>1600</v>
      </c>
      <c r="E76">
        <v>3600</v>
      </c>
      <c r="I76">
        <v>7200</v>
      </c>
      <c r="M76">
        <v>14500</v>
      </c>
    </row>
    <row r="77" spans="1:13" x14ac:dyDescent="0.25">
      <c r="A77">
        <v>1600</v>
      </c>
      <c r="E77">
        <v>5800</v>
      </c>
      <c r="I77">
        <v>11400</v>
      </c>
      <c r="M77">
        <v>18500</v>
      </c>
    </row>
    <row r="78" spans="1:13" x14ac:dyDescent="0.25">
      <c r="A78">
        <v>1900</v>
      </c>
      <c r="E78">
        <v>4600</v>
      </c>
      <c r="I78">
        <v>7500</v>
      </c>
      <c r="M78">
        <v>14000</v>
      </c>
    </row>
    <row r="79" spans="1:13" x14ac:dyDescent="0.25">
      <c r="A79">
        <v>800</v>
      </c>
      <c r="E79">
        <v>1400</v>
      </c>
      <c r="I79">
        <v>2400</v>
      </c>
      <c r="M79">
        <v>4000</v>
      </c>
    </row>
    <row r="80" spans="1:13" x14ac:dyDescent="0.25">
      <c r="A80">
        <v>500</v>
      </c>
      <c r="E80">
        <v>1000</v>
      </c>
      <c r="I80">
        <v>3000</v>
      </c>
      <c r="M80">
        <v>4500</v>
      </c>
    </row>
    <row r="81" spans="1:13" x14ac:dyDescent="0.25">
      <c r="A81">
        <v>1000</v>
      </c>
      <c r="E81">
        <v>3800</v>
      </c>
      <c r="I81">
        <v>8100</v>
      </c>
      <c r="M81">
        <v>14500</v>
      </c>
    </row>
    <row r="82" spans="1:13" x14ac:dyDescent="0.25">
      <c r="A82">
        <v>1200</v>
      </c>
      <c r="E82">
        <v>5000</v>
      </c>
      <c r="I82">
        <v>9300</v>
      </c>
      <c r="M82">
        <v>14000</v>
      </c>
    </row>
    <row r="83" spans="1:13" x14ac:dyDescent="0.25">
      <c r="A83">
        <v>2100</v>
      </c>
      <c r="E83">
        <v>4400</v>
      </c>
      <c r="I83">
        <v>9900</v>
      </c>
      <c r="M83">
        <v>18000</v>
      </c>
    </row>
    <row r="84" spans="1:13" x14ac:dyDescent="0.25">
      <c r="A84">
        <v>500</v>
      </c>
      <c r="E84">
        <v>1200</v>
      </c>
      <c r="I84">
        <v>2400</v>
      </c>
      <c r="M84">
        <v>4500</v>
      </c>
    </row>
    <row r="85" spans="1:13" x14ac:dyDescent="0.25">
      <c r="A85">
        <v>1400</v>
      </c>
      <c r="E85">
        <v>4600</v>
      </c>
      <c r="I85">
        <v>8400</v>
      </c>
      <c r="M85">
        <v>12500</v>
      </c>
    </row>
    <row r="86" spans="1:13" x14ac:dyDescent="0.25">
      <c r="A86">
        <v>2400</v>
      </c>
      <c r="E86">
        <v>5200</v>
      </c>
      <c r="I86">
        <v>10500</v>
      </c>
      <c r="M86">
        <v>17500</v>
      </c>
    </row>
    <row r="87" spans="1:13" x14ac:dyDescent="0.25">
      <c r="A87">
        <v>1600</v>
      </c>
      <c r="E87">
        <v>4600</v>
      </c>
      <c r="I87">
        <v>10500</v>
      </c>
      <c r="M87">
        <v>18000</v>
      </c>
    </row>
    <row r="88" spans="1:13" x14ac:dyDescent="0.25">
      <c r="A88">
        <v>1800</v>
      </c>
      <c r="E88">
        <v>5400</v>
      </c>
      <c r="I88">
        <v>10800</v>
      </c>
      <c r="M88">
        <v>17500</v>
      </c>
    </row>
    <row r="89" spans="1:13" x14ac:dyDescent="0.25">
      <c r="A89">
        <v>1800</v>
      </c>
      <c r="E89">
        <v>4200</v>
      </c>
      <c r="I89">
        <v>10500</v>
      </c>
      <c r="M89">
        <v>15500</v>
      </c>
    </row>
    <row r="90" spans="1:13" x14ac:dyDescent="0.25">
      <c r="A90">
        <v>1600</v>
      </c>
      <c r="E90">
        <v>5400</v>
      </c>
      <c r="I90">
        <v>12000</v>
      </c>
      <c r="M90">
        <v>18000</v>
      </c>
    </row>
    <row r="91" spans="1:13" x14ac:dyDescent="0.25">
      <c r="A91">
        <v>1800</v>
      </c>
      <c r="E91">
        <v>3600</v>
      </c>
      <c r="I91">
        <v>9300</v>
      </c>
      <c r="M91">
        <v>12000</v>
      </c>
    </row>
    <row r="92" spans="1:13" x14ac:dyDescent="0.25">
      <c r="A92">
        <v>500</v>
      </c>
      <c r="E92">
        <v>1400</v>
      </c>
      <c r="I92">
        <v>3000</v>
      </c>
      <c r="M92">
        <v>4500</v>
      </c>
    </row>
    <row r="93" spans="1:13" x14ac:dyDescent="0.25">
      <c r="A93">
        <v>1700</v>
      </c>
      <c r="E93">
        <v>4600</v>
      </c>
      <c r="I93">
        <v>9900</v>
      </c>
      <c r="M93">
        <v>15500</v>
      </c>
    </row>
    <row r="94" spans="1:13" x14ac:dyDescent="0.25">
      <c r="A94">
        <v>1800</v>
      </c>
      <c r="E94">
        <v>3800</v>
      </c>
      <c r="I94">
        <v>9000</v>
      </c>
      <c r="M94">
        <v>15000</v>
      </c>
    </row>
    <row r="95" spans="1:13" x14ac:dyDescent="0.25">
      <c r="A95">
        <v>1500</v>
      </c>
      <c r="E95">
        <v>4000</v>
      </c>
      <c r="I95">
        <v>7800</v>
      </c>
      <c r="M95">
        <v>14500</v>
      </c>
    </row>
    <row r="96" spans="1:13" x14ac:dyDescent="0.25">
      <c r="A96">
        <v>1700</v>
      </c>
      <c r="E96">
        <v>5600</v>
      </c>
      <c r="I96">
        <v>11700</v>
      </c>
      <c r="M96">
        <v>18500</v>
      </c>
    </row>
    <row r="97" spans="1:13" x14ac:dyDescent="0.25">
      <c r="A97">
        <v>600</v>
      </c>
      <c r="E97">
        <v>1600</v>
      </c>
      <c r="I97">
        <v>3000</v>
      </c>
      <c r="M97">
        <v>4500</v>
      </c>
    </row>
    <row r="98" spans="1:13" x14ac:dyDescent="0.25">
      <c r="A98">
        <v>1400</v>
      </c>
      <c r="E98">
        <v>4600</v>
      </c>
      <c r="I98">
        <v>7200</v>
      </c>
      <c r="M98">
        <v>12000</v>
      </c>
    </row>
    <row r="99" spans="1:13" x14ac:dyDescent="0.25">
      <c r="A99">
        <v>500</v>
      </c>
      <c r="E99">
        <v>1600</v>
      </c>
      <c r="I99">
        <v>3300</v>
      </c>
      <c r="M99">
        <v>4500</v>
      </c>
    </row>
    <row r="100" spans="1:13" x14ac:dyDescent="0.25">
      <c r="A100">
        <v>800</v>
      </c>
      <c r="E100">
        <v>1200</v>
      </c>
      <c r="I100">
        <v>2700</v>
      </c>
      <c r="M100">
        <v>4500</v>
      </c>
    </row>
    <row r="101" spans="1:13" x14ac:dyDescent="0.25">
      <c r="A101">
        <v>700</v>
      </c>
      <c r="E101">
        <v>1600</v>
      </c>
      <c r="I101">
        <v>2700</v>
      </c>
      <c r="M101">
        <v>4500</v>
      </c>
    </row>
    <row r="102" spans="1:13" x14ac:dyDescent="0.25">
      <c r="A102">
        <v>600</v>
      </c>
      <c r="E102">
        <v>1000</v>
      </c>
      <c r="I102">
        <v>3000</v>
      </c>
      <c r="M102">
        <v>6000</v>
      </c>
    </row>
    <row r="103" spans="1:13" x14ac:dyDescent="0.25">
      <c r="A103">
        <v>500</v>
      </c>
      <c r="E103">
        <v>1800</v>
      </c>
      <c r="I103">
        <v>3300</v>
      </c>
      <c r="M103">
        <v>4500</v>
      </c>
    </row>
    <row r="104" spans="1:13" x14ac:dyDescent="0.25">
      <c r="A104">
        <v>1400</v>
      </c>
      <c r="E104">
        <v>3400</v>
      </c>
      <c r="I104">
        <v>9000</v>
      </c>
      <c r="M104">
        <v>14500</v>
      </c>
    </row>
    <row r="105" spans="1:13" x14ac:dyDescent="0.25">
      <c r="A105">
        <v>2300</v>
      </c>
      <c r="E105">
        <v>5000</v>
      </c>
      <c r="I105">
        <v>11400</v>
      </c>
      <c r="M105">
        <v>19000</v>
      </c>
    </row>
    <row r="106" spans="1:13" x14ac:dyDescent="0.25">
      <c r="A106">
        <v>1800</v>
      </c>
      <c r="E106">
        <v>5000</v>
      </c>
      <c r="I106">
        <v>11400</v>
      </c>
      <c r="M106">
        <v>18000</v>
      </c>
    </row>
    <row r="107" spans="1:13" x14ac:dyDescent="0.25">
      <c r="A107">
        <v>600</v>
      </c>
      <c r="E107">
        <v>1200</v>
      </c>
      <c r="I107">
        <v>2700</v>
      </c>
      <c r="M107">
        <v>5000</v>
      </c>
    </row>
    <row r="108" spans="1:13" x14ac:dyDescent="0.25">
      <c r="A108">
        <v>700</v>
      </c>
      <c r="E108">
        <v>1800</v>
      </c>
      <c r="I108">
        <v>3000</v>
      </c>
      <c r="M108">
        <v>5000</v>
      </c>
    </row>
    <row r="109" spans="1:13" x14ac:dyDescent="0.25">
      <c r="A109">
        <v>700</v>
      </c>
      <c r="E109">
        <v>1400</v>
      </c>
      <c r="I109">
        <v>2700</v>
      </c>
      <c r="M109">
        <v>4000</v>
      </c>
    </row>
    <row r="110" spans="1:13" x14ac:dyDescent="0.25">
      <c r="A110">
        <v>2300</v>
      </c>
      <c r="E110">
        <v>5400</v>
      </c>
      <c r="I110">
        <v>10500</v>
      </c>
      <c r="M110">
        <v>18000</v>
      </c>
    </row>
    <row r="111" spans="1:13" x14ac:dyDescent="0.25">
      <c r="A111">
        <v>1100</v>
      </c>
      <c r="E111">
        <v>4200</v>
      </c>
      <c r="I111">
        <v>9000</v>
      </c>
      <c r="M111">
        <v>15000</v>
      </c>
    </row>
    <row r="112" spans="1:13" x14ac:dyDescent="0.25">
      <c r="A112">
        <v>1200</v>
      </c>
      <c r="E112">
        <v>3400</v>
      </c>
      <c r="I112">
        <v>8400</v>
      </c>
      <c r="M112">
        <v>15000</v>
      </c>
    </row>
    <row r="113" spans="1:13" x14ac:dyDescent="0.25">
      <c r="A113">
        <v>1100</v>
      </c>
      <c r="E113">
        <v>4800</v>
      </c>
      <c r="I113">
        <v>9900</v>
      </c>
      <c r="M113">
        <v>13500</v>
      </c>
    </row>
    <row r="114" spans="1:13" x14ac:dyDescent="0.25">
      <c r="A114">
        <v>600</v>
      </c>
      <c r="E114">
        <v>1400</v>
      </c>
      <c r="I114">
        <v>3000</v>
      </c>
      <c r="M114">
        <v>5000</v>
      </c>
    </row>
    <row r="115" spans="1:13" x14ac:dyDescent="0.25">
      <c r="A115">
        <v>1100</v>
      </c>
      <c r="E115">
        <v>4200</v>
      </c>
      <c r="I115">
        <v>7800</v>
      </c>
      <c r="M115">
        <v>14000</v>
      </c>
    </row>
    <row r="116" spans="1:13" x14ac:dyDescent="0.25">
      <c r="A116">
        <v>800</v>
      </c>
      <c r="E116">
        <v>1400</v>
      </c>
      <c r="I116">
        <v>3000</v>
      </c>
      <c r="M116">
        <v>4500</v>
      </c>
    </row>
    <row r="117" spans="1:13" x14ac:dyDescent="0.25">
      <c r="A117">
        <v>700</v>
      </c>
      <c r="E117">
        <v>1000</v>
      </c>
      <c r="I117">
        <v>2700</v>
      </c>
      <c r="M117">
        <v>6000</v>
      </c>
    </row>
    <row r="118" spans="1:13" x14ac:dyDescent="0.25">
      <c r="A118">
        <v>600</v>
      </c>
      <c r="E118">
        <v>1000</v>
      </c>
      <c r="I118">
        <v>3300</v>
      </c>
      <c r="M118">
        <v>5000</v>
      </c>
    </row>
    <row r="119" spans="1:13" x14ac:dyDescent="0.25">
      <c r="A119">
        <v>1800</v>
      </c>
      <c r="E119">
        <v>5600</v>
      </c>
      <c r="I119">
        <v>11400</v>
      </c>
      <c r="M119">
        <v>17500</v>
      </c>
    </row>
    <row r="120" spans="1:13" x14ac:dyDescent="0.25">
      <c r="A120">
        <v>1400</v>
      </c>
      <c r="E120">
        <v>3400</v>
      </c>
      <c r="I120">
        <v>7800</v>
      </c>
      <c r="M120">
        <v>12500</v>
      </c>
    </row>
    <row r="121" spans="1:13" x14ac:dyDescent="0.25">
      <c r="A121">
        <v>1200</v>
      </c>
      <c r="E121">
        <v>5000</v>
      </c>
      <c r="I121">
        <v>7200</v>
      </c>
      <c r="M121">
        <v>13500</v>
      </c>
    </row>
    <row r="122" spans="1:13" x14ac:dyDescent="0.25">
      <c r="A122">
        <v>600</v>
      </c>
      <c r="E122">
        <v>1600</v>
      </c>
      <c r="I122">
        <v>3300</v>
      </c>
      <c r="M122">
        <v>5000</v>
      </c>
    </row>
    <row r="123" spans="1:13" x14ac:dyDescent="0.25">
      <c r="A123">
        <v>2300</v>
      </c>
      <c r="E123">
        <v>5600</v>
      </c>
      <c r="I123">
        <v>10200</v>
      </c>
      <c r="M123">
        <v>18000</v>
      </c>
    </row>
    <row r="124" spans="1:13" x14ac:dyDescent="0.25">
      <c r="A124">
        <v>1100</v>
      </c>
      <c r="E124">
        <v>4000</v>
      </c>
      <c r="I124">
        <v>7800</v>
      </c>
      <c r="M124">
        <v>13500</v>
      </c>
    </row>
    <row r="125" spans="1:13" x14ac:dyDescent="0.25">
      <c r="A125">
        <v>1200</v>
      </c>
      <c r="E125">
        <v>3000</v>
      </c>
      <c r="I125">
        <v>7800</v>
      </c>
      <c r="M125">
        <v>14500</v>
      </c>
    </row>
    <row r="126" spans="1:13" x14ac:dyDescent="0.25">
      <c r="A126">
        <v>1500</v>
      </c>
      <c r="E126">
        <v>3600</v>
      </c>
      <c r="I126">
        <v>8700</v>
      </c>
      <c r="M126">
        <v>12500</v>
      </c>
    </row>
    <row r="127" spans="1:13" x14ac:dyDescent="0.25">
      <c r="A127">
        <v>1200</v>
      </c>
      <c r="E127">
        <v>3400</v>
      </c>
      <c r="I127">
        <v>8400</v>
      </c>
      <c r="M127">
        <v>12000</v>
      </c>
    </row>
    <row r="128" spans="1:13" x14ac:dyDescent="0.25">
      <c r="A128">
        <v>1600</v>
      </c>
      <c r="E128">
        <v>4800</v>
      </c>
      <c r="I128">
        <v>7500</v>
      </c>
      <c r="M128">
        <v>14000</v>
      </c>
    </row>
    <row r="129" spans="1:13" x14ac:dyDescent="0.25">
      <c r="A129">
        <v>1300</v>
      </c>
      <c r="E129">
        <v>3400</v>
      </c>
      <c r="I129">
        <v>8100</v>
      </c>
      <c r="M129">
        <v>13000</v>
      </c>
    </row>
    <row r="130" spans="1:13" x14ac:dyDescent="0.25">
      <c r="A130">
        <v>1100</v>
      </c>
      <c r="E130">
        <v>3400</v>
      </c>
      <c r="I130">
        <v>9000</v>
      </c>
      <c r="M130">
        <v>15000</v>
      </c>
    </row>
    <row r="131" spans="1:13" x14ac:dyDescent="0.25">
      <c r="A131">
        <v>1100</v>
      </c>
      <c r="E131">
        <v>4000</v>
      </c>
      <c r="I131">
        <v>8100</v>
      </c>
      <c r="M131">
        <v>15000</v>
      </c>
    </row>
    <row r="132" spans="1:13" x14ac:dyDescent="0.25">
      <c r="A132">
        <v>1000</v>
      </c>
      <c r="E132">
        <v>3600</v>
      </c>
      <c r="I132">
        <v>9300</v>
      </c>
      <c r="M132">
        <v>12500</v>
      </c>
    </row>
    <row r="133" spans="1:13" x14ac:dyDescent="0.25">
      <c r="A133">
        <v>2300</v>
      </c>
      <c r="E133">
        <v>5000</v>
      </c>
      <c r="I133">
        <v>10500</v>
      </c>
      <c r="M133">
        <v>17000</v>
      </c>
    </row>
    <row r="134" spans="1:13" x14ac:dyDescent="0.25">
      <c r="A134">
        <v>400</v>
      </c>
      <c r="E134">
        <v>1600</v>
      </c>
      <c r="I134">
        <v>3300</v>
      </c>
      <c r="M134">
        <v>5500</v>
      </c>
    </row>
    <row r="135" spans="1:13" x14ac:dyDescent="0.25">
      <c r="A135">
        <v>1700</v>
      </c>
      <c r="E135">
        <v>5000</v>
      </c>
      <c r="I135">
        <v>9000</v>
      </c>
      <c r="M135">
        <v>12500</v>
      </c>
    </row>
    <row r="136" spans="1:13" x14ac:dyDescent="0.25">
      <c r="A136">
        <v>1000</v>
      </c>
      <c r="E136">
        <v>4000</v>
      </c>
      <c r="I136">
        <v>7200</v>
      </c>
      <c r="M136">
        <v>12500</v>
      </c>
    </row>
    <row r="137" spans="1:13" x14ac:dyDescent="0.25">
      <c r="A137">
        <v>600</v>
      </c>
      <c r="E137">
        <v>1400</v>
      </c>
      <c r="I137">
        <v>3300</v>
      </c>
      <c r="M137">
        <v>5000</v>
      </c>
    </row>
    <row r="138" spans="1:13" x14ac:dyDescent="0.25">
      <c r="A138">
        <v>700</v>
      </c>
      <c r="E138">
        <v>1000</v>
      </c>
      <c r="I138">
        <v>2700</v>
      </c>
      <c r="M138">
        <v>5500</v>
      </c>
    </row>
    <row r="139" spans="1:13" x14ac:dyDescent="0.25">
      <c r="A139">
        <v>2000</v>
      </c>
      <c r="E139">
        <v>4400</v>
      </c>
      <c r="I139">
        <v>7200</v>
      </c>
      <c r="M139">
        <v>12500</v>
      </c>
    </row>
    <row r="140" spans="1:13" x14ac:dyDescent="0.25">
      <c r="A140">
        <v>1200</v>
      </c>
      <c r="E140">
        <v>4200</v>
      </c>
      <c r="I140">
        <v>8400</v>
      </c>
      <c r="M140">
        <v>14000</v>
      </c>
    </row>
    <row r="141" spans="1:13" x14ac:dyDescent="0.25">
      <c r="A141">
        <v>600</v>
      </c>
      <c r="E141">
        <v>1400</v>
      </c>
      <c r="I141">
        <v>3300</v>
      </c>
      <c r="M141">
        <v>5000</v>
      </c>
    </row>
    <row r="142" spans="1:13" x14ac:dyDescent="0.25">
      <c r="A142">
        <v>2200</v>
      </c>
      <c r="E142">
        <v>4800</v>
      </c>
      <c r="I142">
        <v>11400</v>
      </c>
      <c r="M142">
        <v>16000</v>
      </c>
    </row>
    <row r="143" spans="1:13" x14ac:dyDescent="0.25">
      <c r="A143">
        <v>700</v>
      </c>
      <c r="E143">
        <v>1600</v>
      </c>
      <c r="I143">
        <v>3300</v>
      </c>
      <c r="M143">
        <v>5500</v>
      </c>
    </row>
    <row r="144" spans="1:13" x14ac:dyDescent="0.25">
      <c r="A144">
        <v>600</v>
      </c>
      <c r="E144">
        <v>1400</v>
      </c>
      <c r="I144">
        <v>2400</v>
      </c>
      <c r="M144">
        <v>4000</v>
      </c>
    </row>
    <row r="145" spans="1:13" x14ac:dyDescent="0.25">
      <c r="A145">
        <v>1700</v>
      </c>
      <c r="E145">
        <v>4400</v>
      </c>
      <c r="I145">
        <v>9300</v>
      </c>
      <c r="M145">
        <v>13500</v>
      </c>
    </row>
    <row r="146" spans="1:13" x14ac:dyDescent="0.25">
      <c r="A146">
        <v>1000</v>
      </c>
      <c r="E146">
        <v>3400</v>
      </c>
      <c r="I146">
        <v>7200</v>
      </c>
      <c r="M146">
        <v>15000</v>
      </c>
    </row>
    <row r="147" spans="1:13" x14ac:dyDescent="0.25">
      <c r="A147">
        <v>2000</v>
      </c>
      <c r="E147">
        <v>4800</v>
      </c>
      <c r="I147">
        <v>9600</v>
      </c>
      <c r="M147">
        <v>13000</v>
      </c>
    </row>
    <row r="148" spans="1:13" x14ac:dyDescent="0.25">
      <c r="A148">
        <v>1600</v>
      </c>
      <c r="E148">
        <v>4800</v>
      </c>
      <c r="I148">
        <v>8400</v>
      </c>
      <c r="M148">
        <v>12500</v>
      </c>
    </row>
    <row r="149" spans="1:13" x14ac:dyDescent="0.25">
      <c r="A149">
        <v>1100</v>
      </c>
      <c r="E149">
        <v>4600</v>
      </c>
      <c r="I149">
        <v>8400</v>
      </c>
      <c r="M149">
        <v>15000</v>
      </c>
    </row>
    <row r="150" spans="1:13" x14ac:dyDescent="0.25">
      <c r="A150">
        <v>600</v>
      </c>
      <c r="E150">
        <v>1000</v>
      </c>
      <c r="I150">
        <v>2700</v>
      </c>
      <c r="M150">
        <v>4500</v>
      </c>
    </row>
    <row r="151" spans="1:13" x14ac:dyDescent="0.25">
      <c r="A151">
        <v>1600</v>
      </c>
      <c r="E151">
        <v>4200</v>
      </c>
      <c r="I151">
        <v>11400</v>
      </c>
      <c r="M151">
        <v>15500</v>
      </c>
    </row>
    <row r="152" spans="1:13" x14ac:dyDescent="0.25">
      <c r="A152">
        <v>1900</v>
      </c>
      <c r="E152">
        <v>3600</v>
      </c>
      <c r="I152">
        <v>8100</v>
      </c>
      <c r="M152">
        <v>14500</v>
      </c>
    </row>
    <row r="153" spans="1:13" x14ac:dyDescent="0.25">
      <c r="A153">
        <v>500</v>
      </c>
      <c r="E153">
        <v>1200</v>
      </c>
      <c r="I153">
        <v>3000</v>
      </c>
      <c r="M153">
        <v>5500</v>
      </c>
    </row>
    <row r="154" spans="1:13" x14ac:dyDescent="0.25">
      <c r="A154">
        <v>1700</v>
      </c>
      <c r="E154">
        <v>5000</v>
      </c>
      <c r="I154">
        <v>11100</v>
      </c>
      <c r="M154">
        <v>15500</v>
      </c>
    </row>
    <row r="155" spans="1:13" x14ac:dyDescent="0.25">
      <c r="A155">
        <v>1300</v>
      </c>
      <c r="E155">
        <v>4000</v>
      </c>
      <c r="I155">
        <v>9300</v>
      </c>
      <c r="M155">
        <v>14500</v>
      </c>
    </row>
    <row r="156" spans="1:13" x14ac:dyDescent="0.25">
      <c r="A156">
        <v>1900</v>
      </c>
      <c r="E156">
        <v>4800</v>
      </c>
      <c r="I156">
        <v>7800</v>
      </c>
      <c r="M156">
        <v>13500</v>
      </c>
    </row>
    <row r="157" spans="1:13" x14ac:dyDescent="0.25">
      <c r="A157">
        <v>2400</v>
      </c>
      <c r="E157">
        <v>5400</v>
      </c>
      <c r="I157">
        <v>10200</v>
      </c>
      <c r="M157">
        <v>20000</v>
      </c>
    </row>
    <row r="158" spans="1:13" x14ac:dyDescent="0.25">
      <c r="A158">
        <v>700</v>
      </c>
      <c r="E158">
        <v>1600</v>
      </c>
      <c r="I158">
        <v>2700</v>
      </c>
      <c r="M158">
        <v>4500</v>
      </c>
    </row>
    <row r="159" spans="1:13" x14ac:dyDescent="0.25">
      <c r="A159">
        <v>1800</v>
      </c>
      <c r="E159">
        <v>3600</v>
      </c>
      <c r="I159">
        <v>8700</v>
      </c>
      <c r="M159">
        <v>12000</v>
      </c>
    </row>
    <row r="160" spans="1:13" x14ac:dyDescent="0.25">
      <c r="A160">
        <v>2000</v>
      </c>
      <c r="E160">
        <v>4200</v>
      </c>
      <c r="I160">
        <v>11100</v>
      </c>
      <c r="M160">
        <v>18500</v>
      </c>
    </row>
    <row r="161" spans="1:13" x14ac:dyDescent="0.25">
      <c r="A161">
        <v>2000</v>
      </c>
      <c r="E161">
        <v>3200</v>
      </c>
      <c r="I161">
        <v>9600</v>
      </c>
      <c r="M161">
        <v>12500</v>
      </c>
    </row>
    <row r="162" spans="1:13" x14ac:dyDescent="0.25">
      <c r="A162">
        <v>1700</v>
      </c>
      <c r="E162">
        <v>4200</v>
      </c>
      <c r="I162">
        <v>7200</v>
      </c>
      <c r="M162">
        <v>12500</v>
      </c>
    </row>
    <row r="163" spans="1:13" x14ac:dyDescent="0.25">
      <c r="A163">
        <v>800</v>
      </c>
      <c r="E163">
        <v>1400</v>
      </c>
      <c r="I163">
        <v>2700</v>
      </c>
      <c r="M163">
        <v>4000</v>
      </c>
    </row>
    <row r="164" spans="1:13" x14ac:dyDescent="0.25">
      <c r="A164">
        <v>1600</v>
      </c>
      <c r="E164">
        <v>4200</v>
      </c>
      <c r="I164">
        <v>9300</v>
      </c>
      <c r="M164">
        <v>13000</v>
      </c>
    </row>
    <row r="165" spans="1:13" x14ac:dyDescent="0.25">
      <c r="A165">
        <v>700</v>
      </c>
      <c r="E165">
        <v>1600</v>
      </c>
      <c r="I165">
        <v>2700</v>
      </c>
      <c r="M165">
        <v>4500</v>
      </c>
    </row>
    <row r="166" spans="1:13" x14ac:dyDescent="0.25">
      <c r="A166">
        <v>1000</v>
      </c>
      <c r="E166">
        <v>3600</v>
      </c>
      <c r="I166">
        <v>8100</v>
      </c>
      <c r="M166">
        <v>14000</v>
      </c>
    </row>
    <row r="167" spans="1:13" x14ac:dyDescent="0.25">
      <c r="A167">
        <v>1700</v>
      </c>
      <c r="E167">
        <v>4400</v>
      </c>
      <c r="I167">
        <v>7500</v>
      </c>
      <c r="M167">
        <v>12000</v>
      </c>
    </row>
    <row r="168" spans="1:13" x14ac:dyDescent="0.25">
      <c r="A168">
        <v>1500</v>
      </c>
      <c r="E168">
        <v>3800</v>
      </c>
      <c r="I168">
        <v>8400</v>
      </c>
      <c r="M168">
        <v>13500</v>
      </c>
    </row>
    <row r="169" spans="1:13" x14ac:dyDescent="0.25">
      <c r="A169">
        <v>400</v>
      </c>
      <c r="E169">
        <v>1600</v>
      </c>
      <c r="I169">
        <v>3000</v>
      </c>
      <c r="M169">
        <v>4000</v>
      </c>
    </row>
    <row r="170" spans="1:13" x14ac:dyDescent="0.25">
      <c r="A170">
        <v>1600</v>
      </c>
      <c r="E170">
        <v>5200</v>
      </c>
      <c r="I170">
        <v>11400</v>
      </c>
      <c r="M170">
        <v>17000</v>
      </c>
    </row>
    <row r="171" spans="1:13" x14ac:dyDescent="0.25">
      <c r="A171">
        <v>1400</v>
      </c>
      <c r="E171">
        <v>4800</v>
      </c>
      <c r="I171">
        <v>9000</v>
      </c>
      <c r="M171">
        <v>12500</v>
      </c>
    </row>
    <row r="172" spans="1:13" x14ac:dyDescent="0.25">
      <c r="A172">
        <v>1700</v>
      </c>
      <c r="E172">
        <v>3000</v>
      </c>
      <c r="I172">
        <v>8700</v>
      </c>
      <c r="M172">
        <v>14000</v>
      </c>
    </row>
    <row r="173" spans="1:13" x14ac:dyDescent="0.25">
      <c r="A173">
        <v>1600</v>
      </c>
      <c r="E173">
        <v>4600</v>
      </c>
      <c r="I173">
        <v>11100</v>
      </c>
      <c r="M173">
        <v>18500</v>
      </c>
    </row>
    <row r="174" spans="1:13" x14ac:dyDescent="0.25">
      <c r="A174">
        <v>1700</v>
      </c>
      <c r="E174">
        <v>4200</v>
      </c>
      <c r="I174">
        <v>9300</v>
      </c>
      <c r="M174">
        <v>19500</v>
      </c>
    </row>
    <row r="175" spans="1:13" x14ac:dyDescent="0.25">
      <c r="A175">
        <v>800</v>
      </c>
      <c r="E175">
        <v>1400</v>
      </c>
      <c r="I175">
        <v>3300</v>
      </c>
      <c r="M175">
        <v>5000</v>
      </c>
    </row>
    <row r="176" spans="1:13" x14ac:dyDescent="0.25">
      <c r="A176">
        <v>500</v>
      </c>
      <c r="E176">
        <v>1200</v>
      </c>
      <c r="I176">
        <v>3300</v>
      </c>
      <c r="M176">
        <v>5000</v>
      </c>
    </row>
    <row r="177" spans="1:13" x14ac:dyDescent="0.25">
      <c r="A177">
        <v>600</v>
      </c>
      <c r="E177">
        <v>1600</v>
      </c>
      <c r="I177">
        <v>3300</v>
      </c>
      <c r="M177">
        <v>6000</v>
      </c>
    </row>
    <row r="178" spans="1:13" x14ac:dyDescent="0.25">
      <c r="A178">
        <v>500</v>
      </c>
      <c r="E178">
        <v>1600</v>
      </c>
      <c r="I178">
        <v>2700</v>
      </c>
      <c r="M178">
        <v>5500</v>
      </c>
    </row>
    <row r="179" spans="1:13" x14ac:dyDescent="0.25">
      <c r="A179">
        <v>1300</v>
      </c>
      <c r="E179">
        <v>3600</v>
      </c>
      <c r="I179">
        <v>7800</v>
      </c>
      <c r="M179">
        <v>13000</v>
      </c>
    </row>
    <row r="180" spans="1:13" x14ac:dyDescent="0.25">
      <c r="A180">
        <v>1600</v>
      </c>
      <c r="E180">
        <v>3200</v>
      </c>
      <c r="I180">
        <v>9300</v>
      </c>
      <c r="M180">
        <v>12000</v>
      </c>
    </row>
    <row r="181" spans="1:13" x14ac:dyDescent="0.25">
      <c r="A181">
        <v>700</v>
      </c>
      <c r="E181">
        <v>1600</v>
      </c>
      <c r="I181">
        <v>3300</v>
      </c>
      <c r="M181">
        <v>5000</v>
      </c>
    </row>
    <row r="182" spans="1:13" x14ac:dyDescent="0.25">
      <c r="A182">
        <v>500</v>
      </c>
      <c r="E182">
        <v>1800</v>
      </c>
      <c r="I182">
        <v>3000</v>
      </c>
      <c r="M182">
        <v>4000</v>
      </c>
    </row>
    <row r="183" spans="1:13" x14ac:dyDescent="0.25">
      <c r="A183">
        <v>1400</v>
      </c>
      <c r="E183">
        <v>4000</v>
      </c>
      <c r="I183">
        <v>9600</v>
      </c>
      <c r="M183">
        <v>12000</v>
      </c>
    </row>
    <row r="184" spans="1:13" x14ac:dyDescent="0.25">
      <c r="A184">
        <v>1900</v>
      </c>
      <c r="E184">
        <v>4200</v>
      </c>
      <c r="I184">
        <v>7500</v>
      </c>
      <c r="M184">
        <v>13500</v>
      </c>
    </row>
    <row r="185" spans="1:13" x14ac:dyDescent="0.25">
      <c r="A185">
        <v>1000</v>
      </c>
      <c r="E185">
        <v>3800</v>
      </c>
      <c r="I185">
        <v>8700</v>
      </c>
      <c r="M185">
        <v>12500</v>
      </c>
    </row>
    <row r="186" spans="1:13" x14ac:dyDescent="0.25">
      <c r="A186">
        <v>600</v>
      </c>
      <c r="E186">
        <v>1600</v>
      </c>
      <c r="I186">
        <v>3000</v>
      </c>
      <c r="M186">
        <v>4000</v>
      </c>
    </row>
    <row r="187" spans="1:13" x14ac:dyDescent="0.25">
      <c r="A187">
        <v>1100</v>
      </c>
      <c r="E187">
        <v>3600</v>
      </c>
      <c r="I187">
        <v>9000</v>
      </c>
      <c r="M187">
        <v>13500</v>
      </c>
    </row>
    <row r="188" spans="1:13" x14ac:dyDescent="0.25">
      <c r="A188">
        <v>1400</v>
      </c>
      <c r="E188">
        <v>4000</v>
      </c>
      <c r="I188">
        <v>9900</v>
      </c>
      <c r="M188">
        <v>13000</v>
      </c>
    </row>
    <row r="189" spans="1:13" x14ac:dyDescent="0.25">
      <c r="A189">
        <v>500</v>
      </c>
      <c r="E189">
        <v>1600</v>
      </c>
      <c r="I189">
        <v>3300</v>
      </c>
      <c r="M189">
        <v>5500</v>
      </c>
    </row>
    <row r="190" spans="1:13" x14ac:dyDescent="0.25">
      <c r="A190">
        <v>1300</v>
      </c>
      <c r="E190">
        <v>4200</v>
      </c>
      <c r="I190">
        <v>8700</v>
      </c>
      <c r="M190">
        <v>15000</v>
      </c>
    </row>
    <row r="191" spans="1:13" x14ac:dyDescent="0.25">
      <c r="A191">
        <v>1300</v>
      </c>
      <c r="E191">
        <v>3000</v>
      </c>
      <c r="I191">
        <v>9600</v>
      </c>
      <c r="M191">
        <v>15000</v>
      </c>
    </row>
    <row r="192" spans="1:13" x14ac:dyDescent="0.25">
      <c r="A192">
        <v>1100</v>
      </c>
      <c r="E192">
        <v>3600</v>
      </c>
      <c r="I192">
        <v>9600</v>
      </c>
      <c r="M192">
        <v>14500</v>
      </c>
    </row>
    <row r="193" spans="1:13" x14ac:dyDescent="0.25">
      <c r="A193">
        <v>700</v>
      </c>
      <c r="E193">
        <v>1200</v>
      </c>
      <c r="I193">
        <v>3300</v>
      </c>
      <c r="M193">
        <v>4500</v>
      </c>
    </row>
    <row r="194" spans="1:13" x14ac:dyDescent="0.25">
      <c r="A194">
        <v>2300</v>
      </c>
      <c r="E194">
        <v>5800</v>
      </c>
      <c r="I194">
        <v>10800</v>
      </c>
      <c r="M194">
        <v>18000</v>
      </c>
    </row>
    <row r="195" spans="1:13" x14ac:dyDescent="0.25">
      <c r="A195">
        <v>800</v>
      </c>
      <c r="E195">
        <v>1400</v>
      </c>
      <c r="I195">
        <v>3000</v>
      </c>
      <c r="M195">
        <v>4500</v>
      </c>
    </row>
    <row r="196" spans="1:13" x14ac:dyDescent="0.25">
      <c r="A196">
        <v>1100</v>
      </c>
      <c r="E196">
        <v>4600</v>
      </c>
      <c r="I196">
        <v>8100</v>
      </c>
      <c r="M196">
        <v>13000</v>
      </c>
    </row>
    <row r="197" spans="1:13" x14ac:dyDescent="0.25">
      <c r="A197">
        <v>1200</v>
      </c>
      <c r="E197">
        <v>3400</v>
      </c>
      <c r="I197">
        <v>8100</v>
      </c>
      <c r="M197">
        <v>13000</v>
      </c>
    </row>
    <row r="198" spans="1:13" x14ac:dyDescent="0.25">
      <c r="A198">
        <v>2300</v>
      </c>
      <c r="E198">
        <v>5600</v>
      </c>
      <c r="I198">
        <v>9600</v>
      </c>
      <c r="M198">
        <v>18000</v>
      </c>
    </row>
    <row r="199" spans="1:13" x14ac:dyDescent="0.25">
      <c r="A199">
        <v>1600</v>
      </c>
      <c r="E199">
        <v>4400</v>
      </c>
      <c r="I199">
        <v>8400</v>
      </c>
      <c r="M199">
        <v>14000</v>
      </c>
    </row>
    <row r="200" spans="1:13" x14ac:dyDescent="0.25">
      <c r="A200">
        <v>1400</v>
      </c>
      <c r="E200">
        <v>4600</v>
      </c>
      <c r="I200">
        <v>8400</v>
      </c>
      <c r="M200">
        <v>13500</v>
      </c>
    </row>
    <row r="201" spans="1:13" x14ac:dyDescent="0.25">
      <c r="A201">
        <v>1400</v>
      </c>
      <c r="E201">
        <v>3200</v>
      </c>
      <c r="I201">
        <v>8400</v>
      </c>
      <c r="M201">
        <v>14000</v>
      </c>
    </row>
    <row r="202" spans="1:13" x14ac:dyDescent="0.25">
      <c r="A202">
        <v>1200</v>
      </c>
      <c r="E202">
        <v>5000</v>
      </c>
      <c r="I202">
        <v>8400</v>
      </c>
      <c r="M202">
        <v>14000</v>
      </c>
    </row>
    <row r="203" spans="1:13" x14ac:dyDescent="0.25">
      <c r="A203">
        <v>1400</v>
      </c>
      <c r="E203">
        <v>3400</v>
      </c>
      <c r="I203">
        <v>9000</v>
      </c>
      <c r="M203">
        <v>12000</v>
      </c>
    </row>
    <row r="204" spans="1:13" x14ac:dyDescent="0.25">
      <c r="A204">
        <v>1200</v>
      </c>
      <c r="E204">
        <v>3600</v>
      </c>
      <c r="I204">
        <v>7800</v>
      </c>
      <c r="M204">
        <v>12500</v>
      </c>
    </row>
    <row r="205" spans="1:13" x14ac:dyDescent="0.25">
      <c r="A205">
        <v>700</v>
      </c>
      <c r="E205">
        <v>1400</v>
      </c>
      <c r="I205">
        <v>2700</v>
      </c>
      <c r="M205">
        <v>4500</v>
      </c>
    </row>
    <row r="206" spans="1:13" x14ac:dyDescent="0.25">
      <c r="A206">
        <v>1300</v>
      </c>
      <c r="E206">
        <v>3600</v>
      </c>
      <c r="I206">
        <v>7200</v>
      </c>
      <c r="M206">
        <v>13000</v>
      </c>
    </row>
    <row r="207" spans="1:13" x14ac:dyDescent="0.25">
      <c r="A207">
        <v>600</v>
      </c>
      <c r="E207">
        <v>1600</v>
      </c>
      <c r="I207">
        <v>2700</v>
      </c>
      <c r="M207">
        <v>6000</v>
      </c>
    </row>
    <row r="208" spans="1:13" x14ac:dyDescent="0.25">
      <c r="A208">
        <v>2000</v>
      </c>
      <c r="E208">
        <v>3800</v>
      </c>
      <c r="I208">
        <v>8100</v>
      </c>
      <c r="M208">
        <v>13500</v>
      </c>
    </row>
    <row r="209" spans="1:13" x14ac:dyDescent="0.25">
      <c r="A209">
        <v>1200</v>
      </c>
      <c r="E209">
        <v>3800</v>
      </c>
      <c r="I209">
        <v>9600</v>
      </c>
      <c r="M209">
        <v>14000</v>
      </c>
    </row>
    <row r="210" spans="1:13" x14ac:dyDescent="0.25">
      <c r="A210">
        <v>400</v>
      </c>
      <c r="E210">
        <v>1400</v>
      </c>
      <c r="I210">
        <v>3000</v>
      </c>
      <c r="M210">
        <v>4500</v>
      </c>
    </row>
    <row r="211" spans="1:13" x14ac:dyDescent="0.25">
      <c r="A211">
        <v>500</v>
      </c>
      <c r="E211">
        <v>1400</v>
      </c>
      <c r="I211">
        <v>2700</v>
      </c>
      <c r="M211">
        <v>4500</v>
      </c>
    </row>
    <row r="212" spans="1:13" x14ac:dyDescent="0.25">
      <c r="A212">
        <v>1600</v>
      </c>
      <c r="E212">
        <v>4200</v>
      </c>
      <c r="I212">
        <v>8100</v>
      </c>
      <c r="M212">
        <v>12500</v>
      </c>
    </row>
    <row r="213" spans="1:13" x14ac:dyDescent="0.25">
      <c r="A213">
        <v>1700</v>
      </c>
      <c r="E213">
        <v>4000</v>
      </c>
      <c r="I213">
        <v>7200</v>
      </c>
      <c r="M213">
        <v>12000</v>
      </c>
    </row>
    <row r="214" spans="1:13" x14ac:dyDescent="0.25">
      <c r="A214">
        <v>400</v>
      </c>
      <c r="E214">
        <v>1600</v>
      </c>
      <c r="I214">
        <v>2700</v>
      </c>
      <c r="M214">
        <v>6000</v>
      </c>
    </row>
    <row r="215" spans="1:13" x14ac:dyDescent="0.25">
      <c r="A215">
        <v>1700</v>
      </c>
      <c r="E215">
        <v>3200</v>
      </c>
      <c r="I215">
        <v>7500</v>
      </c>
      <c r="M215">
        <v>14000</v>
      </c>
    </row>
    <row r="216" spans="1:13" x14ac:dyDescent="0.25">
      <c r="A216">
        <v>1600</v>
      </c>
      <c r="E216">
        <v>5200</v>
      </c>
      <c r="I216">
        <v>11700</v>
      </c>
      <c r="M216">
        <v>19500</v>
      </c>
    </row>
    <row r="217" spans="1:13" x14ac:dyDescent="0.25">
      <c r="A217">
        <v>1600</v>
      </c>
      <c r="E217">
        <v>3800</v>
      </c>
      <c r="I217">
        <v>7800</v>
      </c>
      <c r="M217">
        <v>12500</v>
      </c>
    </row>
    <row r="218" spans="1:13" x14ac:dyDescent="0.25">
      <c r="A218">
        <v>1800</v>
      </c>
      <c r="E218">
        <v>4000</v>
      </c>
      <c r="I218">
        <v>8400</v>
      </c>
      <c r="M218">
        <v>14000</v>
      </c>
    </row>
    <row r="219" spans="1:13" x14ac:dyDescent="0.25">
      <c r="A219">
        <v>500</v>
      </c>
      <c r="E219">
        <v>1200</v>
      </c>
      <c r="I219">
        <v>3300</v>
      </c>
      <c r="M219">
        <v>4000</v>
      </c>
    </row>
    <row r="220" spans="1:13" x14ac:dyDescent="0.25">
      <c r="A220">
        <v>400</v>
      </c>
      <c r="E220">
        <v>1200</v>
      </c>
      <c r="I220">
        <v>3000</v>
      </c>
      <c r="M220">
        <v>6000</v>
      </c>
    </row>
    <row r="221" spans="1:13" x14ac:dyDescent="0.25">
      <c r="A221">
        <v>2400</v>
      </c>
      <c r="E221">
        <v>4200</v>
      </c>
      <c r="I221">
        <v>11100</v>
      </c>
      <c r="M221">
        <v>20000</v>
      </c>
    </row>
    <row r="222" spans="1:13" x14ac:dyDescent="0.25">
      <c r="A222">
        <v>1300</v>
      </c>
      <c r="E222">
        <v>4600</v>
      </c>
      <c r="I222">
        <v>9600</v>
      </c>
      <c r="M222">
        <v>12000</v>
      </c>
    </row>
    <row r="223" spans="1:13" x14ac:dyDescent="0.25">
      <c r="A223">
        <v>1800</v>
      </c>
      <c r="E223">
        <v>5600</v>
      </c>
      <c r="I223">
        <v>9600</v>
      </c>
      <c r="M223">
        <v>15500</v>
      </c>
    </row>
    <row r="224" spans="1:13" x14ac:dyDescent="0.25">
      <c r="A224">
        <v>1100</v>
      </c>
      <c r="E224">
        <v>4800</v>
      </c>
      <c r="I224">
        <v>8400</v>
      </c>
      <c r="M224">
        <v>13000</v>
      </c>
    </row>
  </sheetData>
  <sortState xmlns:xlrd2="http://schemas.microsoft.com/office/spreadsheetml/2017/richdata2" ref="AA2:AA1047802">
    <sortCondition ref="AA1:AA104780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49D9-9C5E-49DE-9759-C01E0064C804}">
  <dimension ref="A1:M494"/>
  <sheetViews>
    <sheetView zoomScale="56" workbookViewId="0">
      <selection activeCell="F1" sqref="F1:M1048576"/>
    </sheetView>
  </sheetViews>
  <sheetFormatPr defaultRowHeight="15" x14ac:dyDescent="0.25"/>
  <cols>
    <col min="1" max="1" width="11.42578125" bestFit="1" customWidth="1"/>
    <col min="4" max="4" width="10.7109375" bestFit="1" customWidth="1"/>
    <col min="6" max="6" width="13.42578125" bestFit="1" customWidth="1"/>
    <col min="10" max="10" width="11.42578125" bestFit="1" customWidth="1"/>
    <col min="12" max="12" width="10.28515625" style="34" bestFit="1" customWidth="1"/>
    <col min="13" max="13" width="10.7109375" style="34" bestFit="1" customWidth="1"/>
  </cols>
  <sheetData>
    <row r="1" spans="1:13" x14ac:dyDescent="0.25">
      <c r="A1" s="1" t="s">
        <v>85</v>
      </c>
      <c r="B1" s="1" t="s">
        <v>84</v>
      </c>
      <c r="C1" s="1" t="s">
        <v>82</v>
      </c>
      <c r="D1" s="1" t="s">
        <v>83</v>
      </c>
      <c r="F1" s="33" t="s">
        <v>93</v>
      </c>
      <c r="G1">
        <f>MIN(A:D)</f>
        <v>300</v>
      </c>
      <c r="I1" t="s">
        <v>97</v>
      </c>
      <c r="J1" s="1" t="s">
        <v>85</v>
      </c>
      <c r="K1" s="1" t="s">
        <v>84</v>
      </c>
      <c r="L1" s="35" t="s">
        <v>82</v>
      </c>
      <c r="M1" s="35" t="s">
        <v>83</v>
      </c>
    </row>
    <row r="2" spans="1:13" x14ac:dyDescent="0.25">
      <c r="A2">
        <v>1500</v>
      </c>
      <c r="B2">
        <v>3800</v>
      </c>
      <c r="C2">
        <v>8700</v>
      </c>
      <c r="D2">
        <v>16500</v>
      </c>
      <c r="F2" t="s">
        <v>94</v>
      </c>
      <c r="G2">
        <f>MAX(A:D)</f>
        <v>24500</v>
      </c>
      <c r="I2">
        <v>300</v>
      </c>
      <c r="J2" s="34">
        <f>COUNTIF(A:A,"&gt;="&amp;$I2)/$G$7</f>
        <v>1</v>
      </c>
      <c r="K2" s="34">
        <f>COUNTIF(B:B,"&gt;="&amp;$I2)/$G$7</f>
        <v>1</v>
      </c>
      <c r="L2" s="34">
        <f>COUNTIF(C:C,"&lt;="&amp;$I2)/$G$7</f>
        <v>0</v>
      </c>
      <c r="M2" s="34">
        <f>COUNTIF(D:D,"&lt;="&amp;$I2)/$G$7</f>
        <v>0</v>
      </c>
    </row>
    <row r="3" spans="1:13" x14ac:dyDescent="0.25">
      <c r="A3">
        <v>1800</v>
      </c>
      <c r="B3">
        <v>3800</v>
      </c>
      <c r="C3">
        <v>8400</v>
      </c>
      <c r="D3">
        <v>14500</v>
      </c>
      <c r="F3" t="s">
        <v>95</v>
      </c>
      <c r="G3">
        <f>AVERAGE(A:D)</f>
        <v>6343.7626774847868</v>
      </c>
      <c r="I3">
        <v>400</v>
      </c>
      <c r="J3" s="34">
        <f t="shared" ref="J3:J66" si="0">COUNTIF(A:A,"&gt;="&amp;$I3)/$G$7</f>
        <v>0.99188640973630826</v>
      </c>
      <c r="K3" s="34">
        <f t="shared" ref="K3:K66" si="1">COUNTIF(B:B,"&gt;="&amp;$I3)/$G$7</f>
        <v>1</v>
      </c>
      <c r="L3" s="34">
        <f t="shared" ref="L3:L66" si="2">COUNTIF(C:C,"&lt;="&amp;$I3)/$G$7</f>
        <v>0</v>
      </c>
      <c r="M3" s="34">
        <f t="shared" ref="M3:M66" si="3">COUNTIF(D:D,"&lt;="&amp;$I3)/$G$7</f>
        <v>0</v>
      </c>
    </row>
    <row r="4" spans="1:13" x14ac:dyDescent="0.25">
      <c r="A4">
        <v>2000</v>
      </c>
      <c r="B4">
        <v>3600</v>
      </c>
      <c r="C4">
        <v>8400</v>
      </c>
      <c r="D4">
        <v>13000</v>
      </c>
      <c r="F4" t="s">
        <v>96</v>
      </c>
      <c r="G4">
        <f>MEDIAN(A:D)</f>
        <v>4800</v>
      </c>
      <c r="I4">
        <v>500</v>
      </c>
      <c r="J4" s="34">
        <f t="shared" si="0"/>
        <v>0.95740365111561865</v>
      </c>
      <c r="K4" s="34">
        <f t="shared" si="1"/>
        <v>1</v>
      </c>
      <c r="L4" s="34">
        <f t="shared" si="2"/>
        <v>0</v>
      </c>
      <c r="M4" s="34">
        <f t="shared" si="3"/>
        <v>0</v>
      </c>
    </row>
    <row r="5" spans="1:13" x14ac:dyDescent="0.25">
      <c r="A5">
        <v>2000</v>
      </c>
      <c r="B5">
        <v>6000</v>
      </c>
      <c r="C5">
        <v>14100</v>
      </c>
      <c r="D5">
        <v>24500</v>
      </c>
      <c r="I5">
        <v>600</v>
      </c>
      <c r="J5" s="34">
        <f t="shared" si="0"/>
        <v>0.92900608519269778</v>
      </c>
      <c r="K5" s="34">
        <f t="shared" si="1"/>
        <v>1</v>
      </c>
      <c r="L5" s="34">
        <f t="shared" si="2"/>
        <v>0</v>
      </c>
      <c r="M5" s="34">
        <f t="shared" si="3"/>
        <v>0</v>
      </c>
    </row>
    <row r="6" spans="1:13" x14ac:dyDescent="0.25">
      <c r="A6">
        <v>1300</v>
      </c>
      <c r="B6">
        <v>5000</v>
      </c>
      <c r="C6">
        <v>9900</v>
      </c>
      <c r="D6">
        <v>14500</v>
      </c>
      <c r="I6">
        <v>700</v>
      </c>
      <c r="J6" s="34">
        <f t="shared" si="0"/>
        <v>0.86004056795131845</v>
      </c>
      <c r="K6" s="34">
        <f t="shared" si="1"/>
        <v>1</v>
      </c>
      <c r="L6" s="34">
        <f t="shared" si="2"/>
        <v>0</v>
      </c>
      <c r="M6" s="34">
        <f t="shared" si="3"/>
        <v>0</v>
      </c>
    </row>
    <row r="7" spans="1:13" x14ac:dyDescent="0.25">
      <c r="A7">
        <v>900</v>
      </c>
      <c r="B7">
        <v>1800</v>
      </c>
      <c r="C7">
        <v>4800</v>
      </c>
      <c r="D7">
        <v>8000</v>
      </c>
      <c r="F7" t="s">
        <v>98</v>
      </c>
      <c r="G7">
        <f>COUNT(A:A)</f>
        <v>493</v>
      </c>
      <c r="I7">
        <v>800</v>
      </c>
      <c r="J7" s="34">
        <f t="shared" si="0"/>
        <v>0.81135902636916835</v>
      </c>
      <c r="K7" s="34">
        <f t="shared" si="1"/>
        <v>1</v>
      </c>
      <c r="L7" s="34">
        <f t="shared" si="2"/>
        <v>0</v>
      </c>
      <c r="M7" s="34">
        <f t="shared" si="3"/>
        <v>0</v>
      </c>
    </row>
    <row r="8" spans="1:13" x14ac:dyDescent="0.25">
      <c r="A8">
        <v>1400</v>
      </c>
      <c r="B8">
        <v>3800</v>
      </c>
      <c r="C8">
        <v>6900</v>
      </c>
      <c r="D8">
        <v>11500</v>
      </c>
      <c r="I8">
        <v>900</v>
      </c>
      <c r="J8" s="34">
        <f t="shared" si="0"/>
        <v>0.76673427991886411</v>
      </c>
      <c r="K8" s="34">
        <f t="shared" si="1"/>
        <v>1</v>
      </c>
      <c r="L8" s="34">
        <f t="shared" si="2"/>
        <v>0</v>
      </c>
      <c r="M8" s="34">
        <f t="shared" si="3"/>
        <v>0</v>
      </c>
    </row>
    <row r="9" spans="1:13" x14ac:dyDescent="0.25">
      <c r="A9">
        <v>700</v>
      </c>
      <c r="B9">
        <v>2400</v>
      </c>
      <c r="C9">
        <v>4800</v>
      </c>
      <c r="D9">
        <v>9500</v>
      </c>
      <c r="I9">
        <v>1000</v>
      </c>
      <c r="J9" s="34">
        <f t="shared" si="0"/>
        <v>0.67545638945233266</v>
      </c>
      <c r="K9" s="34">
        <f t="shared" si="1"/>
        <v>1</v>
      </c>
      <c r="L9" s="34">
        <f t="shared" si="2"/>
        <v>0</v>
      </c>
      <c r="M9" s="34">
        <f t="shared" si="3"/>
        <v>0</v>
      </c>
    </row>
    <row r="10" spans="1:13" x14ac:dyDescent="0.25">
      <c r="A10">
        <v>1500</v>
      </c>
      <c r="B10">
        <v>3400</v>
      </c>
      <c r="C10">
        <v>9600</v>
      </c>
      <c r="D10">
        <v>13000</v>
      </c>
      <c r="I10">
        <v>1100</v>
      </c>
      <c r="J10" s="34">
        <f t="shared" si="0"/>
        <v>0.59026369168356996</v>
      </c>
      <c r="K10" s="34">
        <f t="shared" si="1"/>
        <v>0.99188640973630826</v>
      </c>
      <c r="L10" s="34">
        <f t="shared" si="2"/>
        <v>0</v>
      </c>
      <c r="M10" s="34">
        <f t="shared" si="3"/>
        <v>0</v>
      </c>
    </row>
    <row r="11" spans="1:13" x14ac:dyDescent="0.25">
      <c r="A11">
        <v>700</v>
      </c>
      <c r="B11">
        <v>2200</v>
      </c>
      <c r="C11">
        <v>4800</v>
      </c>
      <c r="D11">
        <v>8000</v>
      </c>
      <c r="I11">
        <v>1200</v>
      </c>
      <c r="J11" s="34">
        <f t="shared" si="0"/>
        <v>0.53752535496957399</v>
      </c>
      <c r="K11" s="34">
        <f t="shared" si="1"/>
        <v>0.99188640973630826</v>
      </c>
      <c r="L11" s="34">
        <f t="shared" si="2"/>
        <v>0</v>
      </c>
      <c r="M11" s="34">
        <f t="shared" si="3"/>
        <v>0</v>
      </c>
    </row>
    <row r="12" spans="1:13" x14ac:dyDescent="0.25">
      <c r="A12">
        <v>1400</v>
      </c>
      <c r="B12">
        <v>3800</v>
      </c>
      <c r="C12">
        <v>6900</v>
      </c>
      <c r="D12">
        <v>13000</v>
      </c>
      <c r="I12">
        <v>1300</v>
      </c>
      <c r="J12" s="34">
        <f t="shared" si="0"/>
        <v>0.47667342799188639</v>
      </c>
      <c r="K12" s="34">
        <f t="shared" si="1"/>
        <v>0.97160243407707914</v>
      </c>
      <c r="L12" s="34">
        <f t="shared" si="2"/>
        <v>0</v>
      </c>
      <c r="M12" s="34">
        <f t="shared" si="3"/>
        <v>0</v>
      </c>
    </row>
    <row r="13" spans="1:13" x14ac:dyDescent="0.25">
      <c r="A13">
        <v>1200</v>
      </c>
      <c r="B13">
        <v>5000</v>
      </c>
      <c r="C13">
        <v>8100</v>
      </c>
      <c r="D13">
        <v>13500</v>
      </c>
      <c r="I13">
        <v>1400</v>
      </c>
      <c r="J13" s="34">
        <f t="shared" si="0"/>
        <v>0.40567951318458417</v>
      </c>
      <c r="K13" s="34">
        <f t="shared" si="1"/>
        <v>0.97160243407707914</v>
      </c>
      <c r="L13" s="34">
        <f t="shared" si="2"/>
        <v>0</v>
      </c>
      <c r="M13" s="34">
        <f t="shared" si="3"/>
        <v>0</v>
      </c>
    </row>
    <row r="14" spans="1:13" x14ac:dyDescent="0.25">
      <c r="A14">
        <v>1400</v>
      </c>
      <c r="B14">
        <v>3600</v>
      </c>
      <c r="C14">
        <v>7200</v>
      </c>
      <c r="D14">
        <v>12500</v>
      </c>
      <c r="I14">
        <v>1500</v>
      </c>
      <c r="J14" s="34">
        <f t="shared" si="0"/>
        <v>0.3225152129817444</v>
      </c>
      <c r="K14" s="34">
        <f t="shared" si="1"/>
        <v>0.9513184584178499</v>
      </c>
      <c r="L14" s="34">
        <f t="shared" si="2"/>
        <v>0</v>
      </c>
      <c r="M14" s="34">
        <f t="shared" si="3"/>
        <v>0</v>
      </c>
    </row>
    <row r="15" spans="1:13" x14ac:dyDescent="0.25">
      <c r="A15">
        <v>1100</v>
      </c>
      <c r="B15">
        <v>3800</v>
      </c>
      <c r="C15">
        <v>8700</v>
      </c>
      <c r="D15">
        <v>15000</v>
      </c>
      <c r="I15">
        <v>1600</v>
      </c>
      <c r="J15" s="34">
        <f t="shared" si="0"/>
        <v>0.24949290060851928</v>
      </c>
      <c r="K15" s="34">
        <f t="shared" si="1"/>
        <v>0.9513184584178499</v>
      </c>
      <c r="L15" s="34">
        <f t="shared" si="2"/>
        <v>0</v>
      </c>
      <c r="M15" s="34">
        <f t="shared" si="3"/>
        <v>0</v>
      </c>
    </row>
    <row r="16" spans="1:13" x14ac:dyDescent="0.25">
      <c r="A16">
        <v>2500</v>
      </c>
      <c r="B16">
        <v>6600</v>
      </c>
      <c r="C16">
        <v>13200</v>
      </c>
      <c r="D16">
        <v>22000</v>
      </c>
      <c r="I16">
        <v>1700</v>
      </c>
      <c r="J16" s="34">
        <f t="shared" si="0"/>
        <v>0.20283975659229209</v>
      </c>
      <c r="K16" s="34">
        <f t="shared" si="1"/>
        <v>0.88640973630831643</v>
      </c>
      <c r="L16" s="34">
        <f t="shared" si="2"/>
        <v>0</v>
      </c>
      <c r="M16" s="34">
        <f t="shared" si="3"/>
        <v>0</v>
      </c>
    </row>
    <row r="17" spans="1:13" x14ac:dyDescent="0.25">
      <c r="A17">
        <v>1400</v>
      </c>
      <c r="B17">
        <v>4400</v>
      </c>
      <c r="C17">
        <v>10500</v>
      </c>
      <c r="D17">
        <v>18000</v>
      </c>
      <c r="I17">
        <v>1800</v>
      </c>
      <c r="J17" s="34">
        <f t="shared" si="0"/>
        <v>0.1643002028397566</v>
      </c>
      <c r="K17" s="34">
        <f t="shared" si="1"/>
        <v>0.88640973630831643</v>
      </c>
      <c r="L17" s="34">
        <f t="shared" si="2"/>
        <v>0</v>
      </c>
      <c r="M17" s="34">
        <f t="shared" si="3"/>
        <v>0</v>
      </c>
    </row>
    <row r="18" spans="1:13" x14ac:dyDescent="0.25">
      <c r="A18">
        <v>1000</v>
      </c>
      <c r="B18">
        <v>2000</v>
      </c>
      <c r="C18">
        <v>5400</v>
      </c>
      <c r="D18">
        <v>8000</v>
      </c>
      <c r="I18">
        <v>1900</v>
      </c>
      <c r="J18" s="34">
        <f t="shared" si="0"/>
        <v>0.13184584178498987</v>
      </c>
      <c r="K18" s="34">
        <f t="shared" si="1"/>
        <v>0.83164300202839758</v>
      </c>
      <c r="L18" s="34">
        <f t="shared" si="2"/>
        <v>0</v>
      </c>
      <c r="M18" s="34">
        <f t="shared" si="3"/>
        <v>0</v>
      </c>
    </row>
    <row r="19" spans="1:13" x14ac:dyDescent="0.25">
      <c r="A19">
        <v>800</v>
      </c>
      <c r="B19">
        <v>3000</v>
      </c>
      <c r="C19">
        <v>8400</v>
      </c>
      <c r="D19">
        <v>12500</v>
      </c>
      <c r="I19">
        <v>2000</v>
      </c>
      <c r="J19" s="34">
        <f t="shared" si="0"/>
        <v>8.9249492900608518E-2</v>
      </c>
      <c r="K19" s="34">
        <f t="shared" si="1"/>
        <v>0.83164300202839758</v>
      </c>
      <c r="L19" s="34">
        <f t="shared" si="2"/>
        <v>0</v>
      </c>
      <c r="M19" s="34">
        <f t="shared" si="3"/>
        <v>0</v>
      </c>
    </row>
    <row r="20" spans="1:13" x14ac:dyDescent="0.25">
      <c r="A20">
        <v>900</v>
      </c>
      <c r="B20">
        <v>3400</v>
      </c>
      <c r="C20">
        <v>8400</v>
      </c>
      <c r="D20">
        <v>10500</v>
      </c>
      <c r="I20">
        <v>2100</v>
      </c>
      <c r="J20" s="34">
        <f t="shared" si="0"/>
        <v>6.6937119675456389E-2</v>
      </c>
      <c r="K20" s="34">
        <f t="shared" si="1"/>
        <v>0.78093306288032449</v>
      </c>
      <c r="L20" s="34">
        <f t="shared" si="2"/>
        <v>0</v>
      </c>
      <c r="M20" s="34">
        <f t="shared" si="3"/>
        <v>0</v>
      </c>
    </row>
    <row r="21" spans="1:13" x14ac:dyDescent="0.25">
      <c r="A21">
        <v>1300</v>
      </c>
      <c r="B21">
        <v>4400</v>
      </c>
      <c r="C21">
        <v>10800</v>
      </c>
      <c r="D21">
        <v>15000</v>
      </c>
      <c r="I21">
        <v>2200</v>
      </c>
      <c r="J21" s="34">
        <f t="shared" si="0"/>
        <v>6.0851926977687626E-2</v>
      </c>
      <c r="K21" s="34">
        <f t="shared" si="1"/>
        <v>0.78093306288032449</v>
      </c>
      <c r="L21" s="34">
        <f t="shared" si="2"/>
        <v>0</v>
      </c>
      <c r="M21" s="34">
        <f t="shared" si="3"/>
        <v>0</v>
      </c>
    </row>
    <row r="22" spans="1:13" x14ac:dyDescent="0.25">
      <c r="A22">
        <v>700</v>
      </c>
      <c r="B22">
        <v>2400</v>
      </c>
      <c r="C22">
        <v>5100</v>
      </c>
      <c r="D22">
        <v>8500</v>
      </c>
      <c r="I22">
        <v>2300</v>
      </c>
      <c r="J22" s="34">
        <f t="shared" si="0"/>
        <v>5.2738336713995942E-2</v>
      </c>
      <c r="K22" s="34">
        <f t="shared" si="1"/>
        <v>0.7565922920892495</v>
      </c>
      <c r="L22" s="34">
        <f t="shared" si="2"/>
        <v>0</v>
      </c>
      <c r="M22" s="34">
        <f t="shared" si="3"/>
        <v>0</v>
      </c>
    </row>
    <row r="23" spans="1:13" x14ac:dyDescent="0.25">
      <c r="A23">
        <v>400</v>
      </c>
      <c r="B23">
        <v>2000</v>
      </c>
      <c r="C23">
        <v>3000</v>
      </c>
      <c r="D23">
        <v>5500</v>
      </c>
      <c r="I23">
        <v>2400</v>
      </c>
      <c r="J23" s="34">
        <f t="shared" si="0"/>
        <v>4.2596348884381338E-2</v>
      </c>
      <c r="K23" s="34">
        <f t="shared" si="1"/>
        <v>0.7565922920892495</v>
      </c>
      <c r="L23" s="34">
        <f t="shared" si="2"/>
        <v>0</v>
      </c>
      <c r="M23" s="34">
        <f t="shared" si="3"/>
        <v>0</v>
      </c>
    </row>
    <row r="24" spans="1:13" x14ac:dyDescent="0.25">
      <c r="A24">
        <v>800</v>
      </c>
      <c r="B24">
        <v>2200</v>
      </c>
      <c r="C24">
        <v>6000</v>
      </c>
      <c r="D24">
        <v>8500</v>
      </c>
      <c r="I24">
        <v>2500</v>
      </c>
      <c r="J24" s="34">
        <f t="shared" si="0"/>
        <v>3.0425963488843813E-2</v>
      </c>
      <c r="K24" s="34">
        <f t="shared" si="1"/>
        <v>0.70588235294117652</v>
      </c>
      <c r="L24" s="34">
        <f t="shared" si="2"/>
        <v>0</v>
      </c>
      <c r="M24" s="34">
        <f t="shared" si="3"/>
        <v>0</v>
      </c>
    </row>
    <row r="25" spans="1:13" x14ac:dyDescent="0.25">
      <c r="A25">
        <v>2900</v>
      </c>
      <c r="B25">
        <v>5600</v>
      </c>
      <c r="C25">
        <v>13500</v>
      </c>
      <c r="D25">
        <v>24000</v>
      </c>
      <c r="I25">
        <v>2600</v>
      </c>
      <c r="J25" s="34">
        <f t="shared" si="0"/>
        <v>2.231237322515213E-2</v>
      </c>
      <c r="K25" s="34">
        <f t="shared" si="1"/>
        <v>0.70588235294117652</v>
      </c>
      <c r="L25" s="34">
        <f t="shared" si="2"/>
        <v>0</v>
      </c>
      <c r="M25" s="34">
        <f t="shared" si="3"/>
        <v>0</v>
      </c>
    </row>
    <row r="26" spans="1:13" x14ac:dyDescent="0.25">
      <c r="A26">
        <v>1900</v>
      </c>
      <c r="B26">
        <v>5200</v>
      </c>
      <c r="C26">
        <v>8400</v>
      </c>
      <c r="D26">
        <v>14000</v>
      </c>
      <c r="I26">
        <v>2700</v>
      </c>
      <c r="J26" s="34">
        <f t="shared" si="0"/>
        <v>1.4198782961460446E-2</v>
      </c>
      <c r="K26" s="34">
        <f t="shared" si="1"/>
        <v>0.67951318458417853</v>
      </c>
      <c r="L26" s="34">
        <f t="shared" si="2"/>
        <v>0</v>
      </c>
      <c r="M26" s="34">
        <f t="shared" si="3"/>
        <v>0</v>
      </c>
    </row>
    <row r="27" spans="1:13" x14ac:dyDescent="0.25">
      <c r="A27">
        <v>1500</v>
      </c>
      <c r="B27">
        <v>3600</v>
      </c>
      <c r="C27">
        <v>10500</v>
      </c>
      <c r="D27">
        <v>13500</v>
      </c>
      <c r="I27">
        <v>2800</v>
      </c>
      <c r="J27" s="34">
        <f t="shared" si="0"/>
        <v>1.2170385395537525E-2</v>
      </c>
      <c r="K27" s="34">
        <f t="shared" si="1"/>
        <v>0.67951318458417853</v>
      </c>
      <c r="L27" s="34">
        <f t="shared" si="2"/>
        <v>0</v>
      </c>
      <c r="M27" s="34">
        <f t="shared" si="3"/>
        <v>0</v>
      </c>
    </row>
    <row r="28" spans="1:13" x14ac:dyDescent="0.25">
      <c r="A28">
        <v>1000</v>
      </c>
      <c r="B28">
        <v>4800</v>
      </c>
      <c r="C28">
        <v>8700</v>
      </c>
      <c r="D28">
        <v>15000</v>
      </c>
      <c r="I28">
        <v>2900</v>
      </c>
      <c r="J28" s="34">
        <f t="shared" si="0"/>
        <v>6.0851926977687626E-3</v>
      </c>
      <c r="K28" s="34">
        <f t="shared" si="1"/>
        <v>0.65111561866125756</v>
      </c>
      <c r="L28" s="34">
        <f t="shared" si="2"/>
        <v>0</v>
      </c>
      <c r="M28" s="34">
        <f t="shared" si="3"/>
        <v>0</v>
      </c>
    </row>
    <row r="29" spans="1:13" x14ac:dyDescent="0.25">
      <c r="A29">
        <v>1600</v>
      </c>
      <c r="B29">
        <v>4400</v>
      </c>
      <c r="C29">
        <v>8100</v>
      </c>
      <c r="D29">
        <v>14000</v>
      </c>
      <c r="I29">
        <v>3000</v>
      </c>
      <c r="J29" s="34">
        <f t="shared" si="0"/>
        <v>2.0283975659229209E-3</v>
      </c>
      <c r="K29" s="34">
        <f t="shared" si="1"/>
        <v>0.65111561866125756</v>
      </c>
      <c r="L29" s="34">
        <f t="shared" si="2"/>
        <v>1.6227180527383367E-2</v>
      </c>
      <c r="M29" s="34">
        <f t="shared" si="3"/>
        <v>0</v>
      </c>
    </row>
    <row r="30" spans="1:13" x14ac:dyDescent="0.25">
      <c r="A30">
        <v>900</v>
      </c>
      <c r="B30">
        <v>2000</v>
      </c>
      <c r="C30">
        <v>4200</v>
      </c>
      <c r="D30">
        <v>8000</v>
      </c>
      <c r="I30">
        <v>3100</v>
      </c>
      <c r="J30" s="34">
        <f t="shared" si="0"/>
        <v>0</v>
      </c>
      <c r="K30" s="34">
        <f t="shared" si="1"/>
        <v>0.62068965517241381</v>
      </c>
      <c r="L30" s="34">
        <f t="shared" si="2"/>
        <v>1.6227180527383367E-2</v>
      </c>
      <c r="M30" s="34">
        <f t="shared" si="3"/>
        <v>0</v>
      </c>
    </row>
    <row r="31" spans="1:13" x14ac:dyDescent="0.25">
      <c r="A31">
        <v>800</v>
      </c>
      <c r="B31">
        <v>2400</v>
      </c>
      <c r="C31">
        <v>6000</v>
      </c>
      <c r="D31">
        <v>7500</v>
      </c>
      <c r="I31">
        <v>3200</v>
      </c>
      <c r="J31" s="34">
        <f t="shared" si="0"/>
        <v>0</v>
      </c>
      <c r="K31" s="34">
        <f t="shared" si="1"/>
        <v>0.62068965517241381</v>
      </c>
      <c r="L31" s="34">
        <f t="shared" si="2"/>
        <v>1.6227180527383367E-2</v>
      </c>
      <c r="M31" s="34">
        <f t="shared" si="3"/>
        <v>0</v>
      </c>
    </row>
    <row r="32" spans="1:13" x14ac:dyDescent="0.25">
      <c r="A32">
        <v>1800</v>
      </c>
      <c r="B32">
        <v>4600</v>
      </c>
      <c r="C32">
        <v>10200</v>
      </c>
      <c r="D32">
        <v>14500</v>
      </c>
      <c r="I32">
        <v>3300</v>
      </c>
      <c r="J32" s="34">
        <f t="shared" si="0"/>
        <v>0</v>
      </c>
      <c r="K32" s="34">
        <f t="shared" si="1"/>
        <v>0.57809330628803246</v>
      </c>
      <c r="L32" s="34">
        <f t="shared" si="2"/>
        <v>4.4624746450304259E-2</v>
      </c>
      <c r="M32" s="34">
        <f t="shared" si="3"/>
        <v>0</v>
      </c>
    </row>
    <row r="33" spans="1:13" x14ac:dyDescent="0.25">
      <c r="A33">
        <v>1000</v>
      </c>
      <c r="B33">
        <v>1600</v>
      </c>
      <c r="C33">
        <v>4200</v>
      </c>
      <c r="D33">
        <v>8000</v>
      </c>
      <c r="I33">
        <v>3400</v>
      </c>
      <c r="J33" s="34">
        <f t="shared" si="0"/>
        <v>0</v>
      </c>
      <c r="K33" s="34">
        <f t="shared" si="1"/>
        <v>0.57809330628803246</v>
      </c>
      <c r="L33" s="34">
        <f t="shared" si="2"/>
        <v>4.4624746450304259E-2</v>
      </c>
      <c r="M33" s="34">
        <f t="shared" si="3"/>
        <v>0</v>
      </c>
    </row>
    <row r="34" spans="1:13" x14ac:dyDescent="0.25">
      <c r="A34">
        <v>1900</v>
      </c>
      <c r="B34">
        <v>4600</v>
      </c>
      <c r="C34">
        <v>8400</v>
      </c>
      <c r="D34">
        <v>13500</v>
      </c>
      <c r="I34">
        <v>3500</v>
      </c>
      <c r="J34" s="34">
        <f t="shared" si="0"/>
        <v>0</v>
      </c>
      <c r="K34" s="34">
        <f t="shared" si="1"/>
        <v>0.53144016227180524</v>
      </c>
      <c r="L34" s="34">
        <f t="shared" si="2"/>
        <v>4.4624746450304259E-2</v>
      </c>
      <c r="M34" s="34">
        <f t="shared" si="3"/>
        <v>0</v>
      </c>
    </row>
    <row r="35" spans="1:13" x14ac:dyDescent="0.25">
      <c r="A35">
        <v>1400</v>
      </c>
      <c r="B35">
        <v>4200</v>
      </c>
      <c r="C35">
        <v>9900</v>
      </c>
      <c r="D35">
        <v>17000</v>
      </c>
      <c r="I35">
        <v>3600</v>
      </c>
      <c r="J35" s="34">
        <f t="shared" si="0"/>
        <v>0</v>
      </c>
      <c r="K35" s="34">
        <f t="shared" si="1"/>
        <v>0.53144016227180524</v>
      </c>
      <c r="L35" s="34">
        <f t="shared" si="2"/>
        <v>5.2738336713995942E-2</v>
      </c>
      <c r="M35" s="34">
        <f t="shared" si="3"/>
        <v>0</v>
      </c>
    </row>
    <row r="36" spans="1:13" x14ac:dyDescent="0.25">
      <c r="A36">
        <v>2400</v>
      </c>
      <c r="B36">
        <v>5400</v>
      </c>
      <c r="C36">
        <v>15000</v>
      </c>
      <c r="D36">
        <v>21000</v>
      </c>
      <c r="I36">
        <v>3700</v>
      </c>
      <c r="J36" s="34">
        <f t="shared" si="0"/>
        <v>0</v>
      </c>
      <c r="K36" s="34">
        <f t="shared" si="1"/>
        <v>0.48073022312373226</v>
      </c>
      <c r="L36" s="34">
        <f t="shared" si="2"/>
        <v>5.2738336713995942E-2</v>
      </c>
      <c r="M36" s="34">
        <f t="shared" si="3"/>
        <v>0</v>
      </c>
    </row>
    <row r="37" spans="1:13" x14ac:dyDescent="0.25">
      <c r="A37">
        <v>1600</v>
      </c>
      <c r="B37">
        <v>4000</v>
      </c>
      <c r="C37">
        <v>9300</v>
      </c>
      <c r="D37">
        <v>17000</v>
      </c>
      <c r="I37">
        <v>3800</v>
      </c>
      <c r="J37" s="34">
        <f t="shared" si="0"/>
        <v>0</v>
      </c>
      <c r="K37" s="34">
        <f t="shared" si="1"/>
        <v>0.48073022312373226</v>
      </c>
      <c r="L37" s="34">
        <f t="shared" si="2"/>
        <v>5.2738336713995942E-2</v>
      </c>
      <c r="M37" s="34">
        <f t="shared" si="3"/>
        <v>0</v>
      </c>
    </row>
    <row r="38" spans="1:13" x14ac:dyDescent="0.25">
      <c r="A38">
        <v>1300</v>
      </c>
      <c r="B38">
        <v>5000</v>
      </c>
      <c r="C38">
        <v>9300</v>
      </c>
      <c r="D38">
        <v>17500</v>
      </c>
      <c r="I38">
        <v>3900</v>
      </c>
      <c r="J38" s="34">
        <f t="shared" si="0"/>
        <v>0</v>
      </c>
      <c r="K38" s="34">
        <f t="shared" si="1"/>
        <v>0.39756592292089249</v>
      </c>
      <c r="L38" s="34">
        <f t="shared" si="2"/>
        <v>6.8965517241379309E-2</v>
      </c>
      <c r="M38" s="34">
        <f t="shared" si="3"/>
        <v>0</v>
      </c>
    </row>
    <row r="39" spans="1:13" x14ac:dyDescent="0.25">
      <c r="A39">
        <v>800</v>
      </c>
      <c r="B39">
        <v>2400</v>
      </c>
      <c r="C39">
        <v>4800</v>
      </c>
      <c r="D39">
        <v>8500</v>
      </c>
      <c r="I39">
        <v>4000</v>
      </c>
      <c r="J39" s="34">
        <f t="shared" si="0"/>
        <v>0</v>
      </c>
      <c r="K39" s="34">
        <f t="shared" si="1"/>
        <v>0.39756592292089249</v>
      </c>
      <c r="L39" s="34">
        <f t="shared" si="2"/>
        <v>6.8965517241379309E-2</v>
      </c>
      <c r="M39" s="34">
        <f t="shared" si="3"/>
        <v>0</v>
      </c>
    </row>
    <row r="40" spans="1:13" x14ac:dyDescent="0.25">
      <c r="A40">
        <v>600</v>
      </c>
      <c r="B40">
        <v>2400</v>
      </c>
      <c r="C40">
        <v>4800</v>
      </c>
      <c r="D40">
        <v>9000</v>
      </c>
      <c r="I40">
        <v>4100</v>
      </c>
      <c r="J40" s="34">
        <f t="shared" si="0"/>
        <v>0</v>
      </c>
      <c r="K40" s="34">
        <f t="shared" si="1"/>
        <v>0.33874239350912777</v>
      </c>
      <c r="L40" s="34">
        <f t="shared" si="2"/>
        <v>6.8965517241379309E-2</v>
      </c>
      <c r="M40" s="34">
        <f t="shared" si="3"/>
        <v>0</v>
      </c>
    </row>
    <row r="41" spans="1:13" x14ac:dyDescent="0.25">
      <c r="A41">
        <v>600</v>
      </c>
      <c r="B41">
        <v>2000</v>
      </c>
      <c r="C41">
        <v>5700</v>
      </c>
      <c r="D41">
        <v>9000</v>
      </c>
      <c r="I41">
        <v>4200</v>
      </c>
      <c r="J41" s="34">
        <f t="shared" si="0"/>
        <v>0</v>
      </c>
      <c r="K41" s="34">
        <f t="shared" si="1"/>
        <v>0.33874239350912777</v>
      </c>
      <c r="L41" s="34">
        <f t="shared" si="2"/>
        <v>0.10953346855983773</v>
      </c>
      <c r="M41" s="34">
        <f t="shared" si="3"/>
        <v>0</v>
      </c>
    </row>
    <row r="42" spans="1:13" x14ac:dyDescent="0.25">
      <c r="A42">
        <v>600</v>
      </c>
      <c r="B42">
        <v>1000</v>
      </c>
      <c r="C42">
        <v>3300</v>
      </c>
      <c r="D42">
        <v>6000</v>
      </c>
      <c r="I42">
        <v>4300</v>
      </c>
      <c r="J42" s="34">
        <f t="shared" si="0"/>
        <v>0</v>
      </c>
      <c r="K42" s="34">
        <f t="shared" si="1"/>
        <v>0.29817444219066935</v>
      </c>
      <c r="L42" s="34">
        <f t="shared" si="2"/>
        <v>0.10953346855983773</v>
      </c>
      <c r="M42" s="34">
        <f t="shared" si="3"/>
        <v>0</v>
      </c>
    </row>
    <row r="43" spans="1:13" x14ac:dyDescent="0.25">
      <c r="A43">
        <v>1500</v>
      </c>
      <c r="B43">
        <v>5200</v>
      </c>
      <c r="C43">
        <v>9000</v>
      </c>
      <c r="D43">
        <v>14000</v>
      </c>
      <c r="I43">
        <v>4400</v>
      </c>
      <c r="J43" s="34">
        <f t="shared" si="0"/>
        <v>0</v>
      </c>
      <c r="K43" s="34">
        <f t="shared" si="1"/>
        <v>0.29817444219066935</v>
      </c>
      <c r="L43" s="34">
        <f t="shared" si="2"/>
        <v>0.10953346855983773</v>
      </c>
      <c r="M43" s="34">
        <f t="shared" si="3"/>
        <v>0</v>
      </c>
    </row>
    <row r="44" spans="1:13" x14ac:dyDescent="0.25">
      <c r="A44">
        <v>1000</v>
      </c>
      <c r="B44">
        <v>3800</v>
      </c>
      <c r="C44">
        <v>7200</v>
      </c>
      <c r="D44">
        <v>10000</v>
      </c>
      <c r="I44">
        <v>4500</v>
      </c>
      <c r="J44" s="34">
        <f t="shared" si="0"/>
        <v>0</v>
      </c>
      <c r="K44" s="34">
        <f t="shared" si="1"/>
        <v>0.25152129817444219</v>
      </c>
      <c r="L44" s="34">
        <f t="shared" si="2"/>
        <v>0.14198782961460446</v>
      </c>
      <c r="M44" s="34">
        <f t="shared" si="3"/>
        <v>0</v>
      </c>
    </row>
    <row r="45" spans="1:13" x14ac:dyDescent="0.25">
      <c r="A45">
        <v>1400</v>
      </c>
      <c r="B45">
        <v>3400</v>
      </c>
      <c r="C45">
        <v>7800</v>
      </c>
      <c r="D45">
        <v>10500</v>
      </c>
      <c r="I45">
        <v>4600</v>
      </c>
      <c r="J45" s="34">
        <f t="shared" si="0"/>
        <v>0</v>
      </c>
      <c r="K45" s="34">
        <f t="shared" si="1"/>
        <v>0.25152129817444219</v>
      </c>
      <c r="L45" s="34">
        <f t="shared" si="2"/>
        <v>0.14198782961460446</v>
      </c>
      <c r="M45" s="34">
        <f t="shared" si="3"/>
        <v>0</v>
      </c>
    </row>
    <row r="46" spans="1:13" x14ac:dyDescent="0.25">
      <c r="A46">
        <v>1400</v>
      </c>
      <c r="B46">
        <v>3600</v>
      </c>
      <c r="C46">
        <v>7200</v>
      </c>
      <c r="D46">
        <v>10500</v>
      </c>
      <c r="I46">
        <v>4700</v>
      </c>
      <c r="J46" s="34">
        <f t="shared" si="0"/>
        <v>0</v>
      </c>
      <c r="K46" s="34">
        <f t="shared" si="1"/>
        <v>0.21906693711967545</v>
      </c>
      <c r="L46" s="34">
        <f t="shared" si="2"/>
        <v>0.14198782961460446</v>
      </c>
      <c r="M46" s="34">
        <f t="shared" si="3"/>
        <v>0</v>
      </c>
    </row>
    <row r="47" spans="1:13" x14ac:dyDescent="0.25">
      <c r="A47">
        <v>500</v>
      </c>
      <c r="B47">
        <v>1600</v>
      </c>
      <c r="C47">
        <v>4200</v>
      </c>
      <c r="D47">
        <v>6000</v>
      </c>
      <c r="I47">
        <v>4800</v>
      </c>
      <c r="J47" s="34">
        <f t="shared" si="0"/>
        <v>0</v>
      </c>
      <c r="K47" s="34">
        <f t="shared" si="1"/>
        <v>0.21906693711967545</v>
      </c>
      <c r="L47" s="34">
        <f t="shared" si="2"/>
        <v>0.17444219066937119</v>
      </c>
      <c r="M47" s="34">
        <f t="shared" si="3"/>
        <v>0</v>
      </c>
    </row>
    <row r="48" spans="1:13" x14ac:dyDescent="0.25">
      <c r="A48">
        <v>900</v>
      </c>
      <c r="B48">
        <v>2400</v>
      </c>
      <c r="C48">
        <v>4500</v>
      </c>
      <c r="D48">
        <v>8500</v>
      </c>
      <c r="I48">
        <v>4900</v>
      </c>
      <c r="J48" s="34">
        <f t="shared" si="0"/>
        <v>0</v>
      </c>
      <c r="K48" s="34">
        <f t="shared" si="1"/>
        <v>0.17038539553752535</v>
      </c>
      <c r="L48" s="34">
        <f t="shared" si="2"/>
        <v>0.17444219066937119</v>
      </c>
      <c r="M48" s="34">
        <f t="shared" si="3"/>
        <v>0</v>
      </c>
    </row>
    <row r="49" spans="1:13" x14ac:dyDescent="0.25">
      <c r="A49">
        <v>900</v>
      </c>
      <c r="B49">
        <v>3800</v>
      </c>
      <c r="C49">
        <v>9000</v>
      </c>
      <c r="D49">
        <v>13000</v>
      </c>
      <c r="I49">
        <v>5000</v>
      </c>
      <c r="J49" s="34">
        <f t="shared" si="0"/>
        <v>0</v>
      </c>
      <c r="K49" s="34">
        <f t="shared" si="1"/>
        <v>0.17038539553752535</v>
      </c>
      <c r="L49" s="34">
        <f t="shared" si="2"/>
        <v>0.17444219066937119</v>
      </c>
      <c r="M49" s="34">
        <f t="shared" si="3"/>
        <v>1.2170385395537525E-2</v>
      </c>
    </row>
    <row r="50" spans="1:13" x14ac:dyDescent="0.25">
      <c r="A50">
        <v>1100</v>
      </c>
      <c r="B50">
        <v>5400</v>
      </c>
      <c r="C50">
        <v>10500</v>
      </c>
      <c r="D50">
        <v>16000</v>
      </c>
      <c r="I50">
        <v>5100</v>
      </c>
      <c r="J50" s="34">
        <f t="shared" si="0"/>
        <v>0</v>
      </c>
      <c r="K50" s="34">
        <f t="shared" si="1"/>
        <v>0.13387423935091278</v>
      </c>
      <c r="L50" s="34">
        <f t="shared" si="2"/>
        <v>0.21095334685598377</v>
      </c>
      <c r="M50" s="34">
        <f t="shared" si="3"/>
        <v>1.2170385395537525E-2</v>
      </c>
    </row>
    <row r="51" spans="1:13" x14ac:dyDescent="0.25">
      <c r="A51">
        <v>1100</v>
      </c>
      <c r="B51">
        <v>3800</v>
      </c>
      <c r="C51">
        <v>8400</v>
      </c>
      <c r="D51">
        <v>12500</v>
      </c>
      <c r="I51">
        <v>5200</v>
      </c>
      <c r="J51" s="34">
        <f t="shared" si="0"/>
        <v>0</v>
      </c>
      <c r="K51" s="34">
        <f t="shared" si="1"/>
        <v>0.13387423935091278</v>
      </c>
      <c r="L51" s="34">
        <f t="shared" si="2"/>
        <v>0.21095334685598377</v>
      </c>
      <c r="M51" s="34">
        <f t="shared" si="3"/>
        <v>1.2170385395537525E-2</v>
      </c>
    </row>
    <row r="52" spans="1:13" x14ac:dyDescent="0.25">
      <c r="A52">
        <v>1700</v>
      </c>
      <c r="B52">
        <v>3000</v>
      </c>
      <c r="C52">
        <v>7200</v>
      </c>
      <c r="D52">
        <v>13000</v>
      </c>
      <c r="I52">
        <v>5300</v>
      </c>
      <c r="J52" s="34">
        <f t="shared" si="0"/>
        <v>0</v>
      </c>
      <c r="K52" s="34">
        <f t="shared" si="1"/>
        <v>0.10344827586206896</v>
      </c>
      <c r="L52" s="34">
        <f t="shared" si="2"/>
        <v>0.21095334685598377</v>
      </c>
      <c r="M52" s="34">
        <f t="shared" si="3"/>
        <v>1.2170385395537525E-2</v>
      </c>
    </row>
    <row r="53" spans="1:13" x14ac:dyDescent="0.25">
      <c r="A53">
        <v>700</v>
      </c>
      <c r="B53">
        <v>2200</v>
      </c>
      <c r="C53">
        <v>5100</v>
      </c>
      <c r="D53">
        <v>9500</v>
      </c>
      <c r="I53">
        <v>5400</v>
      </c>
      <c r="J53" s="34">
        <f t="shared" si="0"/>
        <v>0</v>
      </c>
      <c r="K53" s="34">
        <f t="shared" si="1"/>
        <v>0.10344827586206896</v>
      </c>
      <c r="L53" s="34">
        <f t="shared" si="2"/>
        <v>0.2434077079107505</v>
      </c>
      <c r="M53" s="34">
        <f t="shared" si="3"/>
        <v>1.2170385395537525E-2</v>
      </c>
    </row>
    <row r="54" spans="1:13" x14ac:dyDescent="0.25">
      <c r="A54">
        <v>1300</v>
      </c>
      <c r="B54">
        <v>4800</v>
      </c>
      <c r="C54">
        <v>9000</v>
      </c>
      <c r="D54">
        <v>16500</v>
      </c>
      <c r="I54">
        <v>5500</v>
      </c>
      <c r="J54" s="34">
        <f t="shared" si="0"/>
        <v>0</v>
      </c>
      <c r="K54" s="34">
        <f t="shared" si="1"/>
        <v>6.6937119675456389E-2</v>
      </c>
      <c r="L54" s="34">
        <f t="shared" si="2"/>
        <v>0.2434077079107505</v>
      </c>
      <c r="M54" s="34">
        <f t="shared" si="3"/>
        <v>3.2454361054766734E-2</v>
      </c>
    </row>
    <row r="55" spans="1:13" x14ac:dyDescent="0.25">
      <c r="A55">
        <v>1400</v>
      </c>
      <c r="B55">
        <v>3800</v>
      </c>
      <c r="C55">
        <v>9000</v>
      </c>
      <c r="D55">
        <v>13000</v>
      </c>
      <c r="I55">
        <v>5600</v>
      </c>
      <c r="J55" s="34">
        <f t="shared" si="0"/>
        <v>0</v>
      </c>
      <c r="K55" s="34">
        <f t="shared" si="1"/>
        <v>6.6937119675456389E-2</v>
      </c>
      <c r="L55" s="34">
        <f t="shared" si="2"/>
        <v>0.2434077079107505</v>
      </c>
      <c r="M55" s="34">
        <f t="shared" si="3"/>
        <v>3.2454361054766734E-2</v>
      </c>
    </row>
    <row r="56" spans="1:13" x14ac:dyDescent="0.25">
      <c r="A56">
        <v>600</v>
      </c>
      <c r="B56">
        <v>1400</v>
      </c>
      <c r="C56">
        <v>4200</v>
      </c>
      <c r="D56">
        <v>6500</v>
      </c>
      <c r="I56">
        <v>5700</v>
      </c>
      <c r="J56" s="34">
        <f t="shared" si="0"/>
        <v>0</v>
      </c>
      <c r="K56" s="34">
        <f t="shared" si="1"/>
        <v>5.6795131845841784E-2</v>
      </c>
      <c r="L56" s="34">
        <f t="shared" si="2"/>
        <v>0.2738336713995943</v>
      </c>
      <c r="M56" s="34">
        <f t="shared" si="3"/>
        <v>3.2454361054766734E-2</v>
      </c>
    </row>
    <row r="57" spans="1:13" x14ac:dyDescent="0.25">
      <c r="A57">
        <v>1100</v>
      </c>
      <c r="B57">
        <v>4400</v>
      </c>
      <c r="C57">
        <v>9300</v>
      </c>
      <c r="D57">
        <v>14000</v>
      </c>
      <c r="I57">
        <v>5800</v>
      </c>
      <c r="J57" s="34">
        <f t="shared" si="0"/>
        <v>0</v>
      </c>
      <c r="K57" s="34">
        <f t="shared" si="1"/>
        <v>5.6795131845841784E-2</v>
      </c>
      <c r="L57" s="34">
        <f t="shared" si="2"/>
        <v>0.2738336713995943</v>
      </c>
      <c r="M57" s="34">
        <f t="shared" si="3"/>
        <v>3.2454361054766734E-2</v>
      </c>
    </row>
    <row r="58" spans="1:13" x14ac:dyDescent="0.25">
      <c r="A58">
        <v>1000</v>
      </c>
      <c r="B58">
        <v>4400</v>
      </c>
      <c r="C58">
        <v>10500</v>
      </c>
      <c r="D58">
        <v>14500</v>
      </c>
      <c r="I58">
        <v>5900</v>
      </c>
      <c r="J58" s="34">
        <f t="shared" si="0"/>
        <v>0</v>
      </c>
      <c r="K58" s="34">
        <f t="shared" si="1"/>
        <v>5.4766734279918863E-2</v>
      </c>
      <c r="L58" s="34">
        <f t="shared" si="2"/>
        <v>0.2738336713995943</v>
      </c>
      <c r="M58" s="34">
        <f t="shared" si="3"/>
        <v>3.2454361054766734E-2</v>
      </c>
    </row>
    <row r="59" spans="1:13" x14ac:dyDescent="0.25">
      <c r="A59">
        <v>1200</v>
      </c>
      <c r="B59">
        <v>4800</v>
      </c>
      <c r="C59">
        <v>10800</v>
      </c>
      <c r="D59">
        <v>13000</v>
      </c>
      <c r="I59">
        <v>6000</v>
      </c>
      <c r="J59" s="34">
        <f t="shared" si="0"/>
        <v>0</v>
      </c>
      <c r="K59" s="34">
        <f t="shared" si="1"/>
        <v>5.4766734279918863E-2</v>
      </c>
      <c r="L59" s="34">
        <f t="shared" si="2"/>
        <v>0.30020283975659229</v>
      </c>
      <c r="M59" s="34">
        <f t="shared" si="3"/>
        <v>7.099391480730223E-2</v>
      </c>
    </row>
    <row r="60" spans="1:13" x14ac:dyDescent="0.25">
      <c r="A60">
        <v>1700</v>
      </c>
      <c r="B60">
        <v>4200</v>
      </c>
      <c r="C60">
        <v>10800</v>
      </c>
      <c r="D60">
        <v>15500</v>
      </c>
      <c r="I60">
        <v>6100</v>
      </c>
      <c r="J60" s="34">
        <f t="shared" si="0"/>
        <v>0</v>
      </c>
      <c r="K60" s="34">
        <f t="shared" si="1"/>
        <v>4.665314401622718E-2</v>
      </c>
      <c r="L60" s="34">
        <f t="shared" si="2"/>
        <v>0.30020283975659229</v>
      </c>
      <c r="M60" s="34">
        <f t="shared" si="3"/>
        <v>7.099391480730223E-2</v>
      </c>
    </row>
    <row r="61" spans="1:13" x14ac:dyDescent="0.25">
      <c r="A61">
        <v>1600</v>
      </c>
      <c r="B61">
        <v>4400</v>
      </c>
      <c r="C61">
        <v>10500</v>
      </c>
      <c r="D61">
        <v>14000</v>
      </c>
      <c r="I61">
        <v>6200</v>
      </c>
      <c r="J61" s="34">
        <f t="shared" si="0"/>
        <v>0</v>
      </c>
      <c r="K61" s="34">
        <f t="shared" si="1"/>
        <v>4.665314401622718E-2</v>
      </c>
      <c r="L61" s="34">
        <f t="shared" si="2"/>
        <v>0.30020283975659229</v>
      </c>
      <c r="M61" s="34">
        <f t="shared" si="3"/>
        <v>7.099391480730223E-2</v>
      </c>
    </row>
    <row r="62" spans="1:13" x14ac:dyDescent="0.25">
      <c r="A62">
        <v>800</v>
      </c>
      <c r="B62">
        <v>1800</v>
      </c>
      <c r="C62">
        <v>5700</v>
      </c>
      <c r="D62">
        <v>7500</v>
      </c>
      <c r="I62">
        <v>6300</v>
      </c>
      <c r="J62" s="34">
        <f t="shared" si="0"/>
        <v>0</v>
      </c>
      <c r="K62" s="34">
        <f t="shared" si="1"/>
        <v>4.4624746450304259E-2</v>
      </c>
      <c r="L62" s="34">
        <f t="shared" si="2"/>
        <v>0.3225152129817444</v>
      </c>
      <c r="M62" s="34">
        <f t="shared" si="3"/>
        <v>7.099391480730223E-2</v>
      </c>
    </row>
    <row r="63" spans="1:13" x14ac:dyDescent="0.25">
      <c r="A63">
        <v>1500</v>
      </c>
      <c r="B63">
        <v>2600</v>
      </c>
      <c r="C63">
        <v>8700</v>
      </c>
      <c r="D63">
        <v>11500</v>
      </c>
      <c r="I63">
        <v>6400</v>
      </c>
      <c r="J63" s="34">
        <f t="shared" si="0"/>
        <v>0</v>
      </c>
      <c r="K63" s="34">
        <f t="shared" si="1"/>
        <v>4.4624746450304259E-2</v>
      </c>
      <c r="L63" s="34">
        <f t="shared" si="2"/>
        <v>0.3225152129817444</v>
      </c>
      <c r="M63" s="34">
        <f t="shared" si="3"/>
        <v>7.099391480730223E-2</v>
      </c>
    </row>
    <row r="64" spans="1:13" x14ac:dyDescent="0.25">
      <c r="A64">
        <v>1700</v>
      </c>
      <c r="B64">
        <v>5400</v>
      </c>
      <c r="C64">
        <v>10500</v>
      </c>
      <c r="D64">
        <v>16500</v>
      </c>
      <c r="I64">
        <v>6500</v>
      </c>
      <c r="J64" s="34">
        <f t="shared" si="0"/>
        <v>0</v>
      </c>
      <c r="K64" s="34">
        <f t="shared" si="1"/>
        <v>4.2596348884381338E-2</v>
      </c>
      <c r="L64" s="34">
        <f t="shared" si="2"/>
        <v>0.3225152129817444</v>
      </c>
      <c r="M64" s="34">
        <f t="shared" si="3"/>
        <v>8.3164300202839755E-2</v>
      </c>
    </row>
    <row r="65" spans="1:13" x14ac:dyDescent="0.25">
      <c r="A65">
        <v>1200</v>
      </c>
      <c r="B65">
        <v>3600</v>
      </c>
      <c r="C65">
        <v>10800</v>
      </c>
      <c r="D65">
        <v>14500</v>
      </c>
      <c r="I65">
        <v>6600</v>
      </c>
      <c r="J65" s="34">
        <f t="shared" si="0"/>
        <v>0</v>
      </c>
      <c r="K65" s="34">
        <f t="shared" si="1"/>
        <v>4.2596348884381338E-2</v>
      </c>
      <c r="L65" s="34">
        <f t="shared" si="2"/>
        <v>0.34482758620689657</v>
      </c>
      <c r="M65" s="34">
        <f t="shared" si="3"/>
        <v>8.3164300202839755E-2</v>
      </c>
    </row>
    <row r="66" spans="1:13" x14ac:dyDescent="0.25">
      <c r="A66">
        <v>1200</v>
      </c>
      <c r="B66">
        <v>4000</v>
      </c>
      <c r="C66">
        <v>7800</v>
      </c>
      <c r="D66">
        <v>10000</v>
      </c>
      <c r="I66">
        <v>6700</v>
      </c>
      <c r="J66" s="34">
        <f t="shared" si="0"/>
        <v>0</v>
      </c>
      <c r="K66" s="34">
        <f t="shared" si="1"/>
        <v>3.6511156186612576E-2</v>
      </c>
      <c r="L66" s="34">
        <f t="shared" si="2"/>
        <v>0.34482758620689657</v>
      </c>
      <c r="M66" s="34">
        <f t="shared" si="3"/>
        <v>8.3164300202839755E-2</v>
      </c>
    </row>
    <row r="67" spans="1:13" x14ac:dyDescent="0.25">
      <c r="A67">
        <v>1300</v>
      </c>
      <c r="B67">
        <v>2800</v>
      </c>
      <c r="C67">
        <v>6900</v>
      </c>
      <c r="D67">
        <v>10500</v>
      </c>
      <c r="I67">
        <v>6800</v>
      </c>
      <c r="J67" s="34">
        <f t="shared" ref="J67:J99" si="4">COUNTIF(A:A,"&gt;="&amp;$I67)/$G$7</f>
        <v>0</v>
      </c>
      <c r="K67" s="34">
        <f t="shared" ref="K67:K99" si="5">COUNTIF(B:B,"&gt;="&amp;$I67)/$G$7</f>
        <v>3.6511156186612576E-2</v>
      </c>
      <c r="L67" s="34">
        <f t="shared" ref="L67:L99" si="6">COUNTIF(C:C,"&lt;="&amp;$I67)/$G$7</f>
        <v>0.34482758620689657</v>
      </c>
      <c r="M67" s="34">
        <f t="shared" ref="M67:M99" si="7">COUNTIF(D:D,"&lt;="&amp;$I67)/$G$7</f>
        <v>8.3164300202839755E-2</v>
      </c>
    </row>
    <row r="68" spans="1:13" x14ac:dyDescent="0.25">
      <c r="A68">
        <v>900</v>
      </c>
      <c r="B68">
        <v>1800</v>
      </c>
      <c r="C68">
        <v>4500</v>
      </c>
      <c r="D68">
        <v>9500</v>
      </c>
      <c r="I68">
        <v>6900</v>
      </c>
      <c r="J68" s="34">
        <f t="shared" si="4"/>
        <v>0</v>
      </c>
      <c r="K68" s="34">
        <f t="shared" si="5"/>
        <v>2.6369168356997971E-2</v>
      </c>
      <c r="L68" s="34">
        <f t="shared" si="6"/>
        <v>0.3711967545638945</v>
      </c>
      <c r="M68" s="34">
        <f t="shared" si="7"/>
        <v>8.3164300202839755E-2</v>
      </c>
    </row>
    <row r="69" spans="1:13" x14ac:dyDescent="0.25">
      <c r="A69">
        <v>2000</v>
      </c>
      <c r="B69">
        <v>4000</v>
      </c>
      <c r="C69">
        <v>8400</v>
      </c>
      <c r="D69">
        <v>15000</v>
      </c>
      <c r="I69">
        <v>7000</v>
      </c>
      <c r="J69" s="34">
        <f t="shared" si="4"/>
        <v>0</v>
      </c>
      <c r="K69" s="34">
        <f t="shared" si="5"/>
        <v>2.6369168356997971E-2</v>
      </c>
      <c r="L69" s="34">
        <f t="shared" si="6"/>
        <v>0.3711967545638945</v>
      </c>
      <c r="M69" s="34">
        <f t="shared" si="7"/>
        <v>0.11561866125760649</v>
      </c>
    </row>
    <row r="70" spans="1:13" x14ac:dyDescent="0.25">
      <c r="A70">
        <v>1000</v>
      </c>
      <c r="B70">
        <v>2000</v>
      </c>
      <c r="C70">
        <v>5400</v>
      </c>
      <c r="D70">
        <v>10000</v>
      </c>
      <c r="I70">
        <v>7100</v>
      </c>
      <c r="J70" s="34">
        <f t="shared" si="4"/>
        <v>0</v>
      </c>
      <c r="K70" s="34">
        <f t="shared" si="5"/>
        <v>2.0283975659229209E-2</v>
      </c>
      <c r="L70" s="34">
        <f t="shared" si="6"/>
        <v>0.3711967545638945</v>
      </c>
      <c r="M70" s="34">
        <f t="shared" si="7"/>
        <v>0.11561866125760649</v>
      </c>
    </row>
    <row r="71" spans="1:13" x14ac:dyDescent="0.25">
      <c r="A71">
        <v>1400</v>
      </c>
      <c r="B71">
        <v>2800</v>
      </c>
      <c r="C71">
        <v>6300</v>
      </c>
      <c r="D71">
        <v>13000</v>
      </c>
      <c r="I71">
        <v>7200</v>
      </c>
      <c r="J71" s="34">
        <f t="shared" si="4"/>
        <v>0</v>
      </c>
      <c r="K71" s="34">
        <f t="shared" si="5"/>
        <v>2.0283975659229209E-2</v>
      </c>
      <c r="L71" s="34">
        <f t="shared" si="6"/>
        <v>0.40567951318458417</v>
      </c>
      <c r="M71" s="34">
        <f t="shared" si="7"/>
        <v>0.11561866125760649</v>
      </c>
    </row>
    <row r="72" spans="1:13" x14ac:dyDescent="0.25">
      <c r="A72">
        <v>2100</v>
      </c>
      <c r="B72">
        <v>5200</v>
      </c>
      <c r="C72">
        <v>12600</v>
      </c>
      <c r="D72">
        <v>24000</v>
      </c>
      <c r="I72">
        <v>7300</v>
      </c>
      <c r="J72" s="34">
        <f t="shared" si="4"/>
        <v>0</v>
      </c>
      <c r="K72" s="34">
        <f t="shared" si="5"/>
        <v>1.8255578093306288E-2</v>
      </c>
      <c r="L72" s="34">
        <f t="shared" si="6"/>
        <v>0.40567951318458417</v>
      </c>
      <c r="M72" s="34">
        <f t="shared" si="7"/>
        <v>0.11561866125760649</v>
      </c>
    </row>
    <row r="73" spans="1:13" x14ac:dyDescent="0.25">
      <c r="A73">
        <v>2600</v>
      </c>
      <c r="B73">
        <v>6400</v>
      </c>
      <c r="C73">
        <v>13800</v>
      </c>
      <c r="D73">
        <v>23000</v>
      </c>
      <c r="I73">
        <v>7400</v>
      </c>
      <c r="J73" s="34">
        <f t="shared" si="4"/>
        <v>0</v>
      </c>
      <c r="K73" s="34">
        <f t="shared" si="5"/>
        <v>1.8255578093306288E-2</v>
      </c>
      <c r="L73" s="34">
        <f t="shared" si="6"/>
        <v>0.40567951318458417</v>
      </c>
      <c r="M73" s="34">
        <f t="shared" si="7"/>
        <v>0.11561866125760649</v>
      </c>
    </row>
    <row r="74" spans="1:13" x14ac:dyDescent="0.25">
      <c r="A74">
        <v>600</v>
      </c>
      <c r="B74">
        <v>1600</v>
      </c>
      <c r="C74">
        <v>6000</v>
      </c>
      <c r="D74">
        <v>8000</v>
      </c>
      <c r="I74">
        <v>7500</v>
      </c>
      <c r="J74" s="34">
        <f t="shared" si="4"/>
        <v>0</v>
      </c>
      <c r="K74" s="34">
        <f t="shared" si="5"/>
        <v>8.1135902636916835E-3</v>
      </c>
      <c r="L74" s="34">
        <f t="shared" si="6"/>
        <v>0.43407707910750509</v>
      </c>
      <c r="M74" s="34">
        <f t="shared" si="7"/>
        <v>0.15010141987829614</v>
      </c>
    </row>
    <row r="75" spans="1:13" x14ac:dyDescent="0.25">
      <c r="A75">
        <v>900</v>
      </c>
      <c r="B75">
        <v>3400</v>
      </c>
      <c r="C75">
        <v>7800</v>
      </c>
      <c r="D75">
        <v>12000</v>
      </c>
      <c r="I75">
        <v>7600</v>
      </c>
      <c r="J75" s="34">
        <f t="shared" si="4"/>
        <v>0</v>
      </c>
      <c r="K75" s="34">
        <f t="shared" si="5"/>
        <v>8.1135902636916835E-3</v>
      </c>
      <c r="L75" s="34">
        <f t="shared" si="6"/>
        <v>0.43407707910750509</v>
      </c>
      <c r="M75" s="34">
        <f t="shared" si="7"/>
        <v>0.15010141987829614</v>
      </c>
    </row>
    <row r="76" spans="1:13" x14ac:dyDescent="0.25">
      <c r="A76">
        <v>800</v>
      </c>
      <c r="B76">
        <v>1800</v>
      </c>
      <c r="C76">
        <v>4800</v>
      </c>
      <c r="D76">
        <v>8500</v>
      </c>
      <c r="I76">
        <v>7700</v>
      </c>
      <c r="J76" s="34">
        <f t="shared" si="4"/>
        <v>0</v>
      </c>
      <c r="K76" s="34">
        <f t="shared" si="5"/>
        <v>2.0283975659229209E-3</v>
      </c>
      <c r="L76" s="34">
        <f t="shared" si="6"/>
        <v>0.43407707910750509</v>
      </c>
      <c r="M76" s="34">
        <f t="shared" si="7"/>
        <v>0.15010141987829614</v>
      </c>
    </row>
    <row r="77" spans="1:13" x14ac:dyDescent="0.25">
      <c r="A77">
        <v>600</v>
      </c>
      <c r="B77">
        <v>1800</v>
      </c>
      <c r="C77">
        <v>4800</v>
      </c>
      <c r="D77">
        <v>7000</v>
      </c>
      <c r="I77">
        <v>7800</v>
      </c>
      <c r="J77" s="34">
        <f t="shared" si="4"/>
        <v>0</v>
      </c>
      <c r="K77" s="34">
        <f t="shared" si="5"/>
        <v>2.0283975659229209E-3</v>
      </c>
      <c r="L77" s="34">
        <f t="shared" si="6"/>
        <v>0.47058823529411764</v>
      </c>
      <c r="M77" s="34">
        <f t="shared" si="7"/>
        <v>0.15010141987829614</v>
      </c>
    </row>
    <row r="78" spans="1:13" x14ac:dyDescent="0.25">
      <c r="A78">
        <v>1300</v>
      </c>
      <c r="B78">
        <v>3400</v>
      </c>
      <c r="C78">
        <v>7800</v>
      </c>
      <c r="D78">
        <v>12000</v>
      </c>
      <c r="I78">
        <v>7900</v>
      </c>
      <c r="J78" s="34">
        <f t="shared" si="4"/>
        <v>0</v>
      </c>
      <c r="K78" s="34">
        <f t="shared" si="5"/>
        <v>2.0283975659229209E-3</v>
      </c>
      <c r="L78" s="34">
        <f t="shared" si="6"/>
        <v>0.47058823529411764</v>
      </c>
      <c r="M78" s="34">
        <f t="shared" si="7"/>
        <v>0.15010141987829614</v>
      </c>
    </row>
    <row r="79" spans="1:13" x14ac:dyDescent="0.25">
      <c r="A79">
        <v>500</v>
      </c>
      <c r="B79">
        <v>2000</v>
      </c>
      <c r="C79">
        <v>6000</v>
      </c>
      <c r="D79">
        <v>10000</v>
      </c>
      <c r="I79">
        <v>8000</v>
      </c>
      <c r="J79" s="34">
        <f t="shared" si="4"/>
        <v>0</v>
      </c>
      <c r="K79" s="34">
        <f t="shared" si="5"/>
        <v>2.0283975659229209E-3</v>
      </c>
      <c r="L79" s="34">
        <f t="shared" si="6"/>
        <v>0.47058823529411764</v>
      </c>
      <c r="M79" s="34">
        <f t="shared" si="7"/>
        <v>0.18255578093306288</v>
      </c>
    </row>
    <row r="80" spans="1:13" x14ac:dyDescent="0.25">
      <c r="A80">
        <v>1700</v>
      </c>
      <c r="B80">
        <v>4800</v>
      </c>
      <c r="C80">
        <v>9900</v>
      </c>
      <c r="D80">
        <v>13500</v>
      </c>
      <c r="I80">
        <v>8100</v>
      </c>
      <c r="J80" s="34">
        <f t="shared" si="4"/>
        <v>0</v>
      </c>
      <c r="K80" s="34">
        <f t="shared" si="5"/>
        <v>0</v>
      </c>
      <c r="L80" s="34">
        <f t="shared" si="6"/>
        <v>0.51724137931034486</v>
      </c>
      <c r="M80" s="34">
        <f t="shared" si="7"/>
        <v>0.18255578093306288</v>
      </c>
    </row>
    <row r="81" spans="1:13" x14ac:dyDescent="0.25">
      <c r="A81">
        <v>1200</v>
      </c>
      <c r="B81">
        <v>3200</v>
      </c>
      <c r="C81">
        <v>7800</v>
      </c>
      <c r="D81">
        <v>14500</v>
      </c>
      <c r="I81">
        <v>8200</v>
      </c>
      <c r="J81" s="34">
        <f t="shared" si="4"/>
        <v>0</v>
      </c>
      <c r="K81" s="34">
        <f t="shared" si="5"/>
        <v>0</v>
      </c>
      <c r="L81" s="34">
        <f t="shared" si="6"/>
        <v>0.51724137931034486</v>
      </c>
      <c r="M81" s="34">
        <f t="shared" si="7"/>
        <v>0.18255578093306288</v>
      </c>
    </row>
    <row r="82" spans="1:13" x14ac:dyDescent="0.25">
      <c r="A82">
        <v>900</v>
      </c>
      <c r="B82">
        <v>3000</v>
      </c>
      <c r="C82">
        <v>7500</v>
      </c>
      <c r="D82">
        <v>11500</v>
      </c>
      <c r="I82">
        <v>8300</v>
      </c>
      <c r="J82" s="34">
        <f t="shared" si="4"/>
        <v>0</v>
      </c>
      <c r="K82" s="34">
        <f t="shared" si="5"/>
        <v>0</v>
      </c>
      <c r="L82" s="34">
        <f t="shared" si="6"/>
        <v>0.51724137931034486</v>
      </c>
      <c r="M82" s="34">
        <f t="shared" si="7"/>
        <v>0.18255578093306288</v>
      </c>
    </row>
    <row r="83" spans="1:13" x14ac:dyDescent="0.25">
      <c r="A83">
        <v>2200</v>
      </c>
      <c r="B83">
        <v>7200</v>
      </c>
      <c r="C83">
        <v>15000</v>
      </c>
      <c r="D83">
        <v>21500</v>
      </c>
      <c r="I83">
        <v>8400</v>
      </c>
      <c r="J83" s="34">
        <f t="shared" si="4"/>
        <v>0</v>
      </c>
      <c r="K83" s="34">
        <f t="shared" si="5"/>
        <v>0</v>
      </c>
      <c r="L83" s="34">
        <f t="shared" si="6"/>
        <v>0.59229208924949295</v>
      </c>
      <c r="M83" s="34">
        <f t="shared" si="7"/>
        <v>0.18255578093306288</v>
      </c>
    </row>
    <row r="84" spans="1:13" x14ac:dyDescent="0.25">
      <c r="A84">
        <v>400</v>
      </c>
      <c r="B84">
        <v>1400</v>
      </c>
      <c r="C84">
        <v>4500</v>
      </c>
      <c r="D84">
        <v>6000</v>
      </c>
      <c r="I84">
        <v>8500</v>
      </c>
      <c r="J84" s="34">
        <f t="shared" si="4"/>
        <v>0</v>
      </c>
      <c r="K84" s="34">
        <f t="shared" si="5"/>
        <v>0</v>
      </c>
      <c r="L84" s="34">
        <f t="shared" si="6"/>
        <v>0.59229208924949295</v>
      </c>
      <c r="M84" s="34">
        <f t="shared" si="7"/>
        <v>0.21501014198782961</v>
      </c>
    </row>
    <row r="85" spans="1:13" x14ac:dyDescent="0.25">
      <c r="A85">
        <v>1400</v>
      </c>
      <c r="B85">
        <v>3800</v>
      </c>
      <c r="C85">
        <v>9000</v>
      </c>
      <c r="D85">
        <v>14500</v>
      </c>
      <c r="I85">
        <v>8600</v>
      </c>
      <c r="J85" s="34">
        <f t="shared" si="4"/>
        <v>0</v>
      </c>
      <c r="K85" s="34">
        <f t="shared" si="5"/>
        <v>0</v>
      </c>
      <c r="L85" s="34">
        <f t="shared" si="6"/>
        <v>0.59229208924949295</v>
      </c>
      <c r="M85" s="34">
        <f t="shared" si="7"/>
        <v>0.21501014198782961</v>
      </c>
    </row>
    <row r="86" spans="1:13" x14ac:dyDescent="0.25">
      <c r="A86">
        <v>400</v>
      </c>
      <c r="B86">
        <v>1200</v>
      </c>
      <c r="C86">
        <v>3300</v>
      </c>
      <c r="D86">
        <v>5000</v>
      </c>
      <c r="I86">
        <v>8700</v>
      </c>
      <c r="J86" s="34">
        <f t="shared" si="4"/>
        <v>0</v>
      </c>
      <c r="K86" s="34">
        <f t="shared" si="5"/>
        <v>0</v>
      </c>
      <c r="L86" s="34">
        <f t="shared" si="6"/>
        <v>0.65517241379310343</v>
      </c>
      <c r="M86" s="34">
        <f t="shared" si="7"/>
        <v>0.21501014198782961</v>
      </c>
    </row>
    <row r="87" spans="1:13" x14ac:dyDescent="0.25">
      <c r="A87">
        <v>400</v>
      </c>
      <c r="B87">
        <v>1600</v>
      </c>
      <c r="C87">
        <v>3000</v>
      </c>
      <c r="D87">
        <v>6000</v>
      </c>
      <c r="I87">
        <v>8800</v>
      </c>
      <c r="J87" s="34">
        <f t="shared" si="4"/>
        <v>0</v>
      </c>
      <c r="K87" s="34">
        <f t="shared" si="5"/>
        <v>0</v>
      </c>
      <c r="L87" s="34">
        <f t="shared" si="6"/>
        <v>0.65517241379310343</v>
      </c>
      <c r="M87" s="34">
        <f t="shared" si="7"/>
        <v>0.21501014198782961</v>
      </c>
    </row>
    <row r="88" spans="1:13" x14ac:dyDescent="0.25">
      <c r="A88">
        <v>1500</v>
      </c>
      <c r="B88">
        <v>4000</v>
      </c>
      <c r="C88">
        <v>9300</v>
      </c>
      <c r="D88">
        <v>15000</v>
      </c>
      <c r="I88">
        <v>8900</v>
      </c>
      <c r="J88" s="34">
        <f t="shared" si="4"/>
        <v>0</v>
      </c>
      <c r="K88" s="34">
        <f t="shared" si="5"/>
        <v>0</v>
      </c>
      <c r="L88" s="34">
        <f t="shared" si="6"/>
        <v>0.65517241379310343</v>
      </c>
      <c r="M88" s="34">
        <f t="shared" si="7"/>
        <v>0.21501014198782961</v>
      </c>
    </row>
    <row r="89" spans="1:13" x14ac:dyDescent="0.25">
      <c r="A89">
        <v>600</v>
      </c>
      <c r="B89">
        <v>1600</v>
      </c>
      <c r="C89">
        <v>5400</v>
      </c>
      <c r="D89">
        <v>7500</v>
      </c>
      <c r="I89">
        <v>9000</v>
      </c>
      <c r="J89" s="34">
        <f t="shared" si="4"/>
        <v>0</v>
      </c>
      <c r="K89" s="34">
        <f t="shared" si="5"/>
        <v>0</v>
      </c>
      <c r="L89" s="34">
        <f t="shared" si="6"/>
        <v>0.70993914807302227</v>
      </c>
      <c r="M89" s="34">
        <f t="shared" si="7"/>
        <v>0.2434077079107505</v>
      </c>
    </row>
    <row r="90" spans="1:13" x14ac:dyDescent="0.25">
      <c r="A90">
        <v>500</v>
      </c>
      <c r="B90">
        <v>1400</v>
      </c>
      <c r="C90">
        <v>4200</v>
      </c>
      <c r="D90">
        <v>6500</v>
      </c>
      <c r="I90">
        <v>9100</v>
      </c>
      <c r="J90" s="34">
        <f t="shared" si="4"/>
        <v>0</v>
      </c>
      <c r="K90" s="34">
        <f t="shared" si="5"/>
        <v>0</v>
      </c>
      <c r="L90" s="34">
        <f t="shared" si="6"/>
        <v>0.70993914807302227</v>
      </c>
      <c r="M90" s="34">
        <f t="shared" si="7"/>
        <v>0.2434077079107505</v>
      </c>
    </row>
    <row r="91" spans="1:13" x14ac:dyDescent="0.25">
      <c r="A91">
        <v>1000</v>
      </c>
      <c r="B91">
        <v>2800</v>
      </c>
      <c r="C91">
        <v>6300</v>
      </c>
      <c r="D91">
        <v>10000</v>
      </c>
      <c r="I91">
        <v>9200</v>
      </c>
      <c r="J91" s="34">
        <f t="shared" si="4"/>
        <v>0</v>
      </c>
      <c r="K91" s="34">
        <f t="shared" si="5"/>
        <v>0</v>
      </c>
      <c r="L91" s="34">
        <f t="shared" si="6"/>
        <v>0.70993914807302227</v>
      </c>
      <c r="M91" s="34">
        <f t="shared" si="7"/>
        <v>0.2434077079107505</v>
      </c>
    </row>
    <row r="92" spans="1:13" x14ac:dyDescent="0.25">
      <c r="A92">
        <v>600</v>
      </c>
      <c r="B92">
        <v>2000</v>
      </c>
      <c r="C92">
        <v>4200</v>
      </c>
      <c r="D92">
        <v>6500</v>
      </c>
      <c r="I92">
        <v>9300</v>
      </c>
      <c r="J92" s="34">
        <f t="shared" si="4"/>
        <v>0</v>
      </c>
      <c r="K92" s="34">
        <f t="shared" si="5"/>
        <v>0</v>
      </c>
      <c r="L92" s="34">
        <f t="shared" si="6"/>
        <v>0.73833671399594325</v>
      </c>
      <c r="M92" s="34">
        <f t="shared" si="7"/>
        <v>0.2434077079107505</v>
      </c>
    </row>
    <row r="93" spans="1:13" x14ac:dyDescent="0.25">
      <c r="A93">
        <v>1500</v>
      </c>
      <c r="B93">
        <v>4800</v>
      </c>
      <c r="C93">
        <v>8100</v>
      </c>
      <c r="D93">
        <v>15500</v>
      </c>
      <c r="I93">
        <v>9400</v>
      </c>
      <c r="J93" s="34">
        <f t="shared" si="4"/>
        <v>0</v>
      </c>
      <c r="K93" s="34">
        <f t="shared" si="5"/>
        <v>0</v>
      </c>
      <c r="L93" s="34">
        <f t="shared" si="6"/>
        <v>0.73833671399594325</v>
      </c>
      <c r="M93" s="34">
        <f t="shared" si="7"/>
        <v>0.2434077079107505</v>
      </c>
    </row>
    <row r="94" spans="1:13" x14ac:dyDescent="0.25">
      <c r="A94">
        <v>700</v>
      </c>
      <c r="B94">
        <v>2200</v>
      </c>
      <c r="C94">
        <v>4200</v>
      </c>
      <c r="D94">
        <v>7500</v>
      </c>
      <c r="I94">
        <v>9500</v>
      </c>
      <c r="J94" s="34">
        <f t="shared" si="4"/>
        <v>0</v>
      </c>
      <c r="K94" s="34">
        <f t="shared" si="5"/>
        <v>0</v>
      </c>
      <c r="L94" s="34">
        <f t="shared" si="6"/>
        <v>0.73833671399594325</v>
      </c>
      <c r="M94" s="34">
        <f t="shared" si="7"/>
        <v>0.28194726166328599</v>
      </c>
    </row>
    <row r="95" spans="1:13" x14ac:dyDescent="0.25">
      <c r="A95">
        <v>1600</v>
      </c>
      <c r="B95">
        <v>5200</v>
      </c>
      <c r="C95">
        <v>9600</v>
      </c>
      <c r="D95">
        <v>17000</v>
      </c>
      <c r="I95">
        <v>9600</v>
      </c>
      <c r="J95" s="34">
        <f t="shared" si="4"/>
        <v>0</v>
      </c>
      <c r="K95" s="34">
        <f t="shared" si="5"/>
        <v>0</v>
      </c>
      <c r="L95" s="34">
        <f t="shared" si="6"/>
        <v>0.78296146044624748</v>
      </c>
      <c r="M95" s="34">
        <f t="shared" si="7"/>
        <v>0.28194726166328599</v>
      </c>
    </row>
    <row r="96" spans="1:13" x14ac:dyDescent="0.25">
      <c r="A96">
        <v>1300</v>
      </c>
      <c r="B96">
        <v>5200</v>
      </c>
      <c r="C96">
        <v>10500</v>
      </c>
      <c r="D96">
        <v>14500</v>
      </c>
      <c r="I96">
        <v>9700</v>
      </c>
      <c r="J96" s="34">
        <f t="shared" si="4"/>
        <v>0</v>
      </c>
      <c r="K96" s="34">
        <f t="shared" si="5"/>
        <v>0</v>
      </c>
      <c r="L96" s="34">
        <f t="shared" si="6"/>
        <v>0.78296146044624748</v>
      </c>
      <c r="M96" s="34">
        <f t="shared" si="7"/>
        <v>0.28194726166328599</v>
      </c>
    </row>
    <row r="97" spans="1:13" x14ac:dyDescent="0.25">
      <c r="A97">
        <v>600</v>
      </c>
      <c r="B97">
        <v>1600</v>
      </c>
      <c r="C97">
        <v>3900</v>
      </c>
      <c r="D97">
        <v>9500</v>
      </c>
      <c r="I97">
        <v>9800</v>
      </c>
      <c r="J97" s="34">
        <f t="shared" si="4"/>
        <v>0</v>
      </c>
      <c r="K97" s="34">
        <f t="shared" si="5"/>
        <v>0</v>
      </c>
      <c r="L97" s="34">
        <f t="shared" si="6"/>
        <v>0.78296146044624748</v>
      </c>
      <c r="M97" s="34">
        <f t="shared" si="7"/>
        <v>0.28194726166328599</v>
      </c>
    </row>
    <row r="98" spans="1:13" x14ac:dyDescent="0.25">
      <c r="A98">
        <v>600</v>
      </c>
      <c r="B98">
        <v>1200</v>
      </c>
      <c r="C98">
        <v>4200</v>
      </c>
      <c r="D98">
        <v>6000</v>
      </c>
      <c r="I98">
        <v>9900</v>
      </c>
      <c r="J98" s="34">
        <f t="shared" si="4"/>
        <v>0</v>
      </c>
      <c r="K98" s="34">
        <f t="shared" si="5"/>
        <v>0</v>
      </c>
      <c r="L98" s="34">
        <f t="shared" si="6"/>
        <v>0.82961460446247459</v>
      </c>
      <c r="M98" s="34">
        <f t="shared" si="7"/>
        <v>0.28194726166328599</v>
      </c>
    </row>
    <row r="99" spans="1:13" x14ac:dyDescent="0.25">
      <c r="A99">
        <v>1600</v>
      </c>
      <c r="B99">
        <v>3600</v>
      </c>
      <c r="C99">
        <v>9900</v>
      </c>
      <c r="D99">
        <v>14500</v>
      </c>
      <c r="I99">
        <v>10000</v>
      </c>
      <c r="J99" s="34">
        <f t="shared" si="4"/>
        <v>0</v>
      </c>
      <c r="K99" s="34">
        <f t="shared" si="5"/>
        <v>0</v>
      </c>
      <c r="L99" s="34">
        <f t="shared" si="6"/>
        <v>0.82961460446247459</v>
      </c>
      <c r="M99" s="34">
        <f t="shared" si="7"/>
        <v>0.30831643002028397</v>
      </c>
    </row>
    <row r="100" spans="1:13" x14ac:dyDescent="0.25">
      <c r="A100">
        <v>1800</v>
      </c>
      <c r="B100">
        <v>4800</v>
      </c>
      <c r="C100">
        <v>9000</v>
      </c>
      <c r="D100">
        <v>13500</v>
      </c>
    </row>
    <row r="101" spans="1:13" x14ac:dyDescent="0.25">
      <c r="A101">
        <v>1000</v>
      </c>
      <c r="B101">
        <v>5400</v>
      </c>
      <c r="C101">
        <v>10500</v>
      </c>
      <c r="D101">
        <v>14000</v>
      </c>
    </row>
    <row r="102" spans="1:13" x14ac:dyDescent="0.25">
      <c r="A102">
        <v>600</v>
      </c>
      <c r="B102">
        <v>2000</v>
      </c>
      <c r="C102">
        <v>3900</v>
      </c>
      <c r="D102">
        <v>5500</v>
      </c>
    </row>
    <row r="103" spans="1:13" x14ac:dyDescent="0.25">
      <c r="A103">
        <v>700</v>
      </c>
      <c r="B103">
        <v>1600</v>
      </c>
      <c r="C103">
        <v>4800</v>
      </c>
      <c r="D103">
        <v>9500</v>
      </c>
    </row>
    <row r="104" spans="1:13" x14ac:dyDescent="0.25">
      <c r="A104">
        <v>500</v>
      </c>
      <c r="B104">
        <v>2000</v>
      </c>
      <c r="C104">
        <v>5700</v>
      </c>
      <c r="D104">
        <v>7500</v>
      </c>
    </row>
    <row r="105" spans="1:13" x14ac:dyDescent="0.25">
      <c r="A105">
        <v>1200</v>
      </c>
      <c r="B105">
        <v>3600</v>
      </c>
      <c r="C105">
        <v>11100</v>
      </c>
      <c r="D105">
        <v>17000</v>
      </c>
    </row>
    <row r="106" spans="1:13" x14ac:dyDescent="0.25">
      <c r="A106">
        <v>1700</v>
      </c>
      <c r="B106">
        <v>4600</v>
      </c>
      <c r="C106">
        <v>9000</v>
      </c>
      <c r="D106">
        <v>13500</v>
      </c>
    </row>
    <row r="107" spans="1:13" x14ac:dyDescent="0.25">
      <c r="A107">
        <v>400</v>
      </c>
      <c r="B107">
        <v>1200</v>
      </c>
      <c r="C107">
        <v>3600</v>
      </c>
      <c r="D107">
        <v>6000</v>
      </c>
    </row>
    <row r="108" spans="1:13" x14ac:dyDescent="0.25">
      <c r="A108">
        <v>1200</v>
      </c>
      <c r="B108">
        <v>4200</v>
      </c>
      <c r="C108">
        <v>7800</v>
      </c>
      <c r="D108">
        <v>14000</v>
      </c>
    </row>
    <row r="109" spans="1:13" x14ac:dyDescent="0.25">
      <c r="A109">
        <v>1600</v>
      </c>
      <c r="B109">
        <v>3600</v>
      </c>
      <c r="C109">
        <v>10200</v>
      </c>
      <c r="D109">
        <v>13000</v>
      </c>
    </row>
    <row r="110" spans="1:13" x14ac:dyDescent="0.25">
      <c r="A110">
        <v>600</v>
      </c>
      <c r="B110">
        <v>1800</v>
      </c>
      <c r="C110">
        <v>3000</v>
      </c>
      <c r="D110">
        <v>6000</v>
      </c>
    </row>
    <row r="111" spans="1:13" x14ac:dyDescent="0.25">
      <c r="A111">
        <v>700</v>
      </c>
      <c r="B111">
        <v>1800</v>
      </c>
      <c r="C111">
        <v>4500</v>
      </c>
      <c r="D111">
        <v>6000</v>
      </c>
    </row>
    <row r="112" spans="1:13" x14ac:dyDescent="0.25">
      <c r="A112">
        <v>1800</v>
      </c>
      <c r="B112">
        <v>4800</v>
      </c>
      <c r="C112">
        <v>8400</v>
      </c>
      <c r="D112">
        <v>13500</v>
      </c>
    </row>
    <row r="113" spans="1:4" x14ac:dyDescent="0.25">
      <c r="A113">
        <v>900</v>
      </c>
      <c r="B113">
        <v>2200</v>
      </c>
      <c r="C113">
        <v>4500</v>
      </c>
      <c r="D113">
        <v>8000</v>
      </c>
    </row>
    <row r="114" spans="1:4" x14ac:dyDescent="0.25">
      <c r="A114">
        <v>700</v>
      </c>
      <c r="B114">
        <v>2000</v>
      </c>
      <c r="C114">
        <v>3300</v>
      </c>
      <c r="D114">
        <v>5500</v>
      </c>
    </row>
    <row r="115" spans="1:4" x14ac:dyDescent="0.25">
      <c r="A115">
        <v>1900</v>
      </c>
      <c r="B115">
        <v>4000</v>
      </c>
      <c r="C115">
        <v>10500</v>
      </c>
      <c r="D115">
        <v>13500</v>
      </c>
    </row>
    <row r="116" spans="1:4" x14ac:dyDescent="0.25">
      <c r="A116">
        <v>400</v>
      </c>
      <c r="B116">
        <v>1600</v>
      </c>
      <c r="C116">
        <v>4500</v>
      </c>
      <c r="D116">
        <v>5000</v>
      </c>
    </row>
    <row r="117" spans="1:4" x14ac:dyDescent="0.25">
      <c r="A117">
        <v>900</v>
      </c>
      <c r="B117">
        <v>1800</v>
      </c>
      <c r="C117">
        <v>6000</v>
      </c>
      <c r="D117">
        <v>7500</v>
      </c>
    </row>
    <row r="118" spans="1:4" x14ac:dyDescent="0.25">
      <c r="A118">
        <v>2900</v>
      </c>
      <c r="B118">
        <v>5800</v>
      </c>
      <c r="C118">
        <v>14400</v>
      </c>
      <c r="D118">
        <v>23000</v>
      </c>
    </row>
    <row r="119" spans="1:4" x14ac:dyDescent="0.25">
      <c r="A119">
        <v>1000</v>
      </c>
      <c r="B119">
        <v>4400</v>
      </c>
      <c r="C119">
        <v>8400</v>
      </c>
      <c r="D119">
        <v>15000</v>
      </c>
    </row>
    <row r="120" spans="1:4" x14ac:dyDescent="0.25">
      <c r="A120">
        <v>300</v>
      </c>
      <c r="B120">
        <v>1000</v>
      </c>
      <c r="C120">
        <v>3900</v>
      </c>
      <c r="D120">
        <v>5000</v>
      </c>
    </row>
    <row r="121" spans="1:4" x14ac:dyDescent="0.25">
      <c r="A121">
        <v>1300</v>
      </c>
      <c r="B121">
        <v>3000</v>
      </c>
      <c r="C121">
        <v>7200</v>
      </c>
      <c r="D121">
        <v>12000</v>
      </c>
    </row>
    <row r="122" spans="1:4" x14ac:dyDescent="0.25">
      <c r="A122">
        <v>1200</v>
      </c>
      <c r="B122">
        <v>3400</v>
      </c>
      <c r="C122">
        <v>6300</v>
      </c>
      <c r="D122">
        <v>10500</v>
      </c>
    </row>
    <row r="123" spans="1:4" x14ac:dyDescent="0.25">
      <c r="A123">
        <v>1100</v>
      </c>
      <c r="B123">
        <v>4000</v>
      </c>
      <c r="C123">
        <v>7500</v>
      </c>
      <c r="D123">
        <v>15000</v>
      </c>
    </row>
    <row r="124" spans="1:4" x14ac:dyDescent="0.25">
      <c r="A124">
        <v>900</v>
      </c>
      <c r="B124">
        <v>2400</v>
      </c>
      <c r="C124">
        <v>6000</v>
      </c>
      <c r="D124">
        <v>8000</v>
      </c>
    </row>
    <row r="125" spans="1:4" x14ac:dyDescent="0.25">
      <c r="A125">
        <v>400</v>
      </c>
      <c r="B125">
        <v>1200</v>
      </c>
      <c r="C125">
        <v>3000</v>
      </c>
      <c r="D125">
        <v>5500</v>
      </c>
    </row>
    <row r="126" spans="1:4" x14ac:dyDescent="0.25">
      <c r="A126">
        <v>1600</v>
      </c>
      <c r="B126">
        <v>3200</v>
      </c>
      <c r="C126">
        <v>9600</v>
      </c>
      <c r="D126">
        <v>12500</v>
      </c>
    </row>
    <row r="127" spans="1:4" x14ac:dyDescent="0.25">
      <c r="A127">
        <v>1200</v>
      </c>
      <c r="B127">
        <v>5000</v>
      </c>
      <c r="C127">
        <v>9300</v>
      </c>
      <c r="D127">
        <v>16000</v>
      </c>
    </row>
    <row r="128" spans="1:4" x14ac:dyDescent="0.25">
      <c r="A128">
        <v>1700</v>
      </c>
      <c r="B128">
        <v>4800</v>
      </c>
      <c r="C128">
        <v>9000</v>
      </c>
      <c r="D128">
        <v>14000</v>
      </c>
    </row>
    <row r="129" spans="1:4" x14ac:dyDescent="0.25">
      <c r="A129">
        <v>1300</v>
      </c>
      <c r="B129">
        <v>3600</v>
      </c>
      <c r="C129">
        <v>9300</v>
      </c>
      <c r="D129">
        <v>13000</v>
      </c>
    </row>
    <row r="130" spans="1:4" x14ac:dyDescent="0.25">
      <c r="A130">
        <v>1900</v>
      </c>
      <c r="B130">
        <v>5400</v>
      </c>
      <c r="C130">
        <v>9000</v>
      </c>
      <c r="D130">
        <v>17500</v>
      </c>
    </row>
    <row r="131" spans="1:4" x14ac:dyDescent="0.25">
      <c r="A131">
        <v>1000</v>
      </c>
      <c r="B131">
        <v>2600</v>
      </c>
      <c r="C131">
        <v>7200</v>
      </c>
      <c r="D131">
        <v>12000</v>
      </c>
    </row>
    <row r="132" spans="1:4" x14ac:dyDescent="0.25">
      <c r="A132">
        <v>2000</v>
      </c>
      <c r="B132">
        <v>6000</v>
      </c>
      <c r="C132">
        <v>15900</v>
      </c>
      <c r="D132">
        <v>21000</v>
      </c>
    </row>
    <row r="133" spans="1:4" x14ac:dyDescent="0.25">
      <c r="A133">
        <v>2400</v>
      </c>
      <c r="B133">
        <v>7000</v>
      </c>
      <c r="C133">
        <v>13800</v>
      </c>
      <c r="D133">
        <v>24500</v>
      </c>
    </row>
    <row r="134" spans="1:4" x14ac:dyDescent="0.25">
      <c r="A134">
        <v>1300</v>
      </c>
      <c r="B134">
        <v>5200</v>
      </c>
      <c r="C134">
        <v>9900</v>
      </c>
      <c r="D134">
        <v>13500</v>
      </c>
    </row>
    <row r="135" spans="1:4" x14ac:dyDescent="0.25">
      <c r="A135">
        <v>800</v>
      </c>
      <c r="B135">
        <v>2400</v>
      </c>
      <c r="C135">
        <v>5100</v>
      </c>
      <c r="D135">
        <v>9500</v>
      </c>
    </row>
    <row r="136" spans="1:4" x14ac:dyDescent="0.25">
      <c r="A136">
        <v>1100</v>
      </c>
      <c r="B136">
        <v>4200</v>
      </c>
      <c r="C136">
        <v>8400</v>
      </c>
      <c r="D136">
        <v>14000</v>
      </c>
    </row>
    <row r="137" spans="1:4" x14ac:dyDescent="0.25">
      <c r="A137">
        <v>800</v>
      </c>
      <c r="B137">
        <v>2000</v>
      </c>
      <c r="C137">
        <v>4500</v>
      </c>
      <c r="D137">
        <v>9000</v>
      </c>
    </row>
    <row r="138" spans="1:4" x14ac:dyDescent="0.25">
      <c r="A138">
        <v>1400</v>
      </c>
      <c r="B138">
        <v>4200</v>
      </c>
      <c r="C138">
        <v>9600</v>
      </c>
      <c r="D138">
        <v>18000</v>
      </c>
    </row>
    <row r="139" spans="1:4" x14ac:dyDescent="0.25">
      <c r="A139">
        <v>2000</v>
      </c>
      <c r="B139">
        <v>7600</v>
      </c>
      <c r="C139">
        <v>13200</v>
      </c>
      <c r="D139">
        <v>22500</v>
      </c>
    </row>
    <row r="140" spans="1:4" x14ac:dyDescent="0.25">
      <c r="A140">
        <v>1000</v>
      </c>
      <c r="B140">
        <v>4000</v>
      </c>
      <c r="C140">
        <v>7800</v>
      </c>
      <c r="D140">
        <v>11500</v>
      </c>
    </row>
    <row r="141" spans="1:4" x14ac:dyDescent="0.25">
      <c r="A141">
        <v>1500</v>
      </c>
      <c r="B141">
        <v>4600</v>
      </c>
      <c r="C141">
        <v>9000</v>
      </c>
      <c r="D141">
        <v>13500</v>
      </c>
    </row>
    <row r="142" spans="1:4" x14ac:dyDescent="0.25">
      <c r="A142">
        <v>600</v>
      </c>
      <c r="B142">
        <v>1600</v>
      </c>
      <c r="C142">
        <v>6000</v>
      </c>
      <c r="D142">
        <v>9500</v>
      </c>
    </row>
    <row r="143" spans="1:4" x14ac:dyDescent="0.25">
      <c r="A143">
        <v>1800</v>
      </c>
      <c r="B143">
        <v>3800</v>
      </c>
      <c r="C143">
        <v>8700</v>
      </c>
      <c r="D143">
        <v>17500</v>
      </c>
    </row>
    <row r="144" spans="1:4" x14ac:dyDescent="0.25">
      <c r="A144">
        <v>1400</v>
      </c>
      <c r="B144">
        <v>4000</v>
      </c>
      <c r="C144">
        <v>10200</v>
      </c>
      <c r="D144">
        <v>14500</v>
      </c>
    </row>
    <row r="145" spans="1:4" x14ac:dyDescent="0.25">
      <c r="A145">
        <v>1300</v>
      </c>
      <c r="B145">
        <v>5000</v>
      </c>
      <c r="C145">
        <v>10800</v>
      </c>
      <c r="D145">
        <v>18000</v>
      </c>
    </row>
    <row r="146" spans="1:4" x14ac:dyDescent="0.25">
      <c r="A146">
        <v>1200</v>
      </c>
      <c r="B146">
        <v>4600</v>
      </c>
      <c r="C146">
        <v>8700</v>
      </c>
      <c r="D146">
        <v>17500</v>
      </c>
    </row>
    <row r="147" spans="1:4" x14ac:dyDescent="0.25">
      <c r="A147">
        <v>1100</v>
      </c>
      <c r="B147">
        <v>3200</v>
      </c>
      <c r="C147">
        <v>7500</v>
      </c>
      <c r="D147">
        <v>12500</v>
      </c>
    </row>
    <row r="148" spans="1:4" x14ac:dyDescent="0.25">
      <c r="A148">
        <v>1300</v>
      </c>
      <c r="B148">
        <v>3400</v>
      </c>
      <c r="C148">
        <v>7800</v>
      </c>
      <c r="D148">
        <v>13000</v>
      </c>
    </row>
    <row r="149" spans="1:4" x14ac:dyDescent="0.25">
      <c r="A149">
        <v>300</v>
      </c>
      <c r="B149">
        <v>1600</v>
      </c>
      <c r="C149">
        <v>3000</v>
      </c>
      <c r="D149">
        <v>6000</v>
      </c>
    </row>
    <row r="150" spans="1:4" x14ac:dyDescent="0.25">
      <c r="A150">
        <v>1900</v>
      </c>
      <c r="B150">
        <v>3600</v>
      </c>
      <c r="C150">
        <v>9300</v>
      </c>
      <c r="D150">
        <v>16500</v>
      </c>
    </row>
    <row r="151" spans="1:4" x14ac:dyDescent="0.25">
      <c r="A151">
        <v>700</v>
      </c>
      <c r="B151">
        <v>2400</v>
      </c>
      <c r="C151">
        <v>4800</v>
      </c>
      <c r="D151">
        <v>8500</v>
      </c>
    </row>
    <row r="152" spans="1:4" x14ac:dyDescent="0.25">
      <c r="A152">
        <v>1300</v>
      </c>
      <c r="B152">
        <v>3200</v>
      </c>
      <c r="C152">
        <v>6600</v>
      </c>
      <c r="D152">
        <v>11500</v>
      </c>
    </row>
    <row r="153" spans="1:4" x14ac:dyDescent="0.25">
      <c r="A153">
        <v>1000</v>
      </c>
      <c r="B153">
        <v>1800</v>
      </c>
      <c r="C153">
        <v>5100</v>
      </c>
      <c r="D153">
        <v>7500</v>
      </c>
    </row>
    <row r="154" spans="1:4" x14ac:dyDescent="0.25">
      <c r="A154">
        <v>1000</v>
      </c>
      <c r="B154">
        <v>4600</v>
      </c>
      <c r="C154">
        <v>10200</v>
      </c>
      <c r="D154">
        <v>13500</v>
      </c>
    </row>
    <row r="155" spans="1:4" x14ac:dyDescent="0.25">
      <c r="A155">
        <v>1400</v>
      </c>
      <c r="B155">
        <v>3800</v>
      </c>
      <c r="C155">
        <v>9900</v>
      </c>
      <c r="D155">
        <v>13500</v>
      </c>
    </row>
    <row r="156" spans="1:4" x14ac:dyDescent="0.25">
      <c r="A156">
        <v>700</v>
      </c>
      <c r="B156">
        <v>1600</v>
      </c>
      <c r="C156">
        <v>3300</v>
      </c>
      <c r="D156">
        <v>7000</v>
      </c>
    </row>
    <row r="157" spans="1:4" x14ac:dyDescent="0.25">
      <c r="A157">
        <v>2300</v>
      </c>
      <c r="B157">
        <v>8000</v>
      </c>
      <c r="C157">
        <v>12300</v>
      </c>
      <c r="D157">
        <v>21500</v>
      </c>
    </row>
    <row r="158" spans="1:4" x14ac:dyDescent="0.25">
      <c r="A158">
        <v>1400</v>
      </c>
      <c r="B158">
        <v>3800</v>
      </c>
      <c r="C158">
        <v>8400</v>
      </c>
      <c r="D158">
        <v>11000</v>
      </c>
    </row>
    <row r="159" spans="1:4" x14ac:dyDescent="0.25">
      <c r="A159">
        <v>900</v>
      </c>
      <c r="B159">
        <v>2000</v>
      </c>
      <c r="C159">
        <v>4200</v>
      </c>
      <c r="D159">
        <v>9000</v>
      </c>
    </row>
    <row r="160" spans="1:4" x14ac:dyDescent="0.25">
      <c r="A160">
        <v>700</v>
      </c>
      <c r="B160">
        <v>2400</v>
      </c>
      <c r="C160">
        <v>5700</v>
      </c>
      <c r="D160">
        <v>9000</v>
      </c>
    </row>
    <row r="161" spans="1:4" x14ac:dyDescent="0.25">
      <c r="A161">
        <v>1500</v>
      </c>
      <c r="B161">
        <v>3600</v>
      </c>
      <c r="C161">
        <v>8400</v>
      </c>
      <c r="D161">
        <v>12500</v>
      </c>
    </row>
    <row r="162" spans="1:4" x14ac:dyDescent="0.25">
      <c r="A162">
        <v>2600</v>
      </c>
      <c r="B162">
        <v>5600</v>
      </c>
      <c r="C162">
        <v>15900</v>
      </c>
      <c r="D162">
        <v>21500</v>
      </c>
    </row>
    <row r="163" spans="1:4" x14ac:dyDescent="0.25">
      <c r="A163">
        <v>1400</v>
      </c>
      <c r="B163">
        <v>5400</v>
      </c>
      <c r="C163">
        <v>8700</v>
      </c>
      <c r="D163">
        <v>18000</v>
      </c>
    </row>
    <row r="164" spans="1:4" x14ac:dyDescent="0.25">
      <c r="A164">
        <v>1200</v>
      </c>
      <c r="B164">
        <v>2600</v>
      </c>
      <c r="C164">
        <v>8700</v>
      </c>
      <c r="D164">
        <v>12000</v>
      </c>
    </row>
    <row r="165" spans="1:4" x14ac:dyDescent="0.25">
      <c r="A165">
        <v>800</v>
      </c>
      <c r="B165">
        <v>2000</v>
      </c>
      <c r="C165">
        <v>4800</v>
      </c>
      <c r="D165">
        <v>9000</v>
      </c>
    </row>
    <row r="166" spans="1:4" x14ac:dyDescent="0.25">
      <c r="A166">
        <v>400</v>
      </c>
      <c r="B166">
        <v>1600</v>
      </c>
      <c r="C166">
        <v>4200</v>
      </c>
      <c r="D166">
        <v>6500</v>
      </c>
    </row>
    <row r="167" spans="1:4" x14ac:dyDescent="0.25">
      <c r="A167">
        <v>500</v>
      </c>
      <c r="B167">
        <v>1600</v>
      </c>
      <c r="C167">
        <v>5700</v>
      </c>
      <c r="D167">
        <v>7500</v>
      </c>
    </row>
    <row r="168" spans="1:4" x14ac:dyDescent="0.25">
      <c r="A168">
        <v>1100</v>
      </c>
      <c r="B168">
        <v>3800</v>
      </c>
      <c r="C168">
        <v>8400</v>
      </c>
      <c r="D168">
        <v>15000</v>
      </c>
    </row>
    <row r="169" spans="1:4" x14ac:dyDescent="0.25">
      <c r="A169">
        <v>1200</v>
      </c>
      <c r="B169">
        <v>4000</v>
      </c>
      <c r="C169">
        <v>6900</v>
      </c>
      <c r="D169">
        <v>12000</v>
      </c>
    </row>
    <row r="170" spans="1:4" x14ac:dyDescent="0.25">
      <c r="A170">
        <v>1900</v>
      </c>
      <c r="B170">
        <v>4200</v>
      </c>
      <c r="C170">
        <v>8100</v>
      </c>
      <c r="D170">
        <v>12500</v>
      </c>
    </row>
    <row r="171" spans="1:4" x14ac:dyDescent="0.25">
      <c r="A171">
        <v>1800</v>
      </c>
      <c r="B171">
        <v>3800</v>
      </c>
      <c r="C171">
        <v>9000</v>
      </c>
      <c r="D171">
        <v>14500</v>
      </c>
    </row>
    <row r="172" spans="1:4" x14ac:dyDescent="0.25">
      <c r="A172">
        <v>1000</v>
      </c>
      <c r="B172">
        <v>3200</v>
      </c>
      <c r="C172">
        <v>6600</v>
      </c>
      <c r="D172">
        <v>12500</v>
      </c>
    </row>
    <row r="173" spans="1:4" x14ac:dyDescent="0.25">
      <c r="A173">
        <v>1400</v>
      </c>
      <c r="B173">
        <v>3200</v>
      </c>
      <c r="C173">
        <v>8400</v>
      </c>
      <c r="D173">
        <v>10500</v>
      </c>
    </row>
    <row r="174" spans="1:4" x14ac:dyDescent="0.25">
      <c r="A174">
        <v>1400</v>
      </c>
      <c r="B174">
        <v>3400</v>
      </c>
      <c r="C174">
        <v>6900</v>
      </c>
      <c r="D174">
        <v>12000</v>
      </c>
    </row>
    <row r="175" spans="1:4" x14ac:dyDescent="0.25">
      <c r="A175">
        <v>1500</v>
      </c>
      <c r="B175">
        <v>3800</v>
      </c>
      <c r="C175">
        <v>9000</v>
      </c>
      <c r="D175">
        <v>11000</v>
      </c>
    </row>
    <row r="176" spans="1:4" x14ac:dyDescent="0.25">
      <c r="A176">
        <v>700</v>
      </c>
      <c r="B176">
        <v>1600</v>
      </c>
      <c r="C176">
        <v>3600</v>
      </c>
      <c r="D176">
        <v>5500</v>
      </c>
    </row>
    <row r="177" spans="1:4" x14ac:dyDescent="0.25">
      <c r="A177">
        <v>800</v>
      </c>
      <c r="B177">
        <v>2600</v>
      </c>
      <c r="C177">
        <v>8100</v>
      </c>
      <c r="D177">
        <v>11500</v>
      </c>
    </row>
    <row r="178" spans="1:4" x14ac:dyDescent="0.25">
      <c r="A178">
        <v>1600</v>
      </c>
      <c r="B178">
        <v>4000</v>
      </c>
      <c r="C178">
        <v>9900</v>
      </c>
      <c r="D178">
        <v>17000</v>
      </c>
    </row>
    <row r="179" spans="1:4" x14ac:dyDescent="0.25">
      <c r="A179">
        <v>400</v>
      </c>
      <c r="B179">
        <v>1600</v>
      </c>
      <c r="C179">
        <v>3300</v>
      </c>
      <c r="D179">
        <v>5000</v>
      </c>
    </row>
    <row r="180" spans="1:4" x14ac:dyDescent="0.25">
      <c r="A180">
        <v>1500</v>
      </c>
      <c r="B180">
        <v>3200</v>
      </c>
      <c r="C180">
        <v>9600</v>
      </c>
      <c r="D180">
        <v>12500</v>
      </c>
    </row>
    <row r="181" spans="1:4" x14ac:dyDescent="0.25">
      <c r="A181">
        <v>600</v>
      </c>
      <c r="B181">
        <v>1600</v>
      </c>
      <c r="C181">
        <v>3300</v>
      </c>
      <c r="D181">
        <v>7000</v>
      </c>
    </row>
    <row r="182" spans="1:4" x14ac:dyDescent="0.25">
      <c r="A182">
        <v>1600</v>
      </c>
      <c r="B182">
        <v>4800</v>
      </c>
      <c r="C182">
        <v>10800</v>
      </c>
      <c r="D182">
        <v>17500</v>
      </c>
    </row>
    <row r="183" spans="1:4" x14ac:dyDescent="0.25">
      <c r="A183">
        <v>400</v>
      </c>
      <c r="B183">
        <v>1400</v>
      </c>
      <c r="C183">
        <v>4200</v>
      </c>
      <c r="D183">
        <v>5500</v>
      </c>
    </row>
    <row r="184" spans="1:4" x14ac:dyDescent="0.25">
      <c r="A184">
        <v>1400</v>
      </c>
      <c r="B184">
        <v>3400</v>
      </c>
      <c r="C184">
        <v>6300</v>
      </c>
      <c r="D184">
        <v>12500</v>
      </c>
    </row>
    <row r="185" spans="1:4" x14ac:dyDescent="0.25">
      <c r="A185">
        <v>1300</v>
      </c>
      <c r="B185">
        <v>3800</v>
      </c>
      <c r="C185">
        <v>8400</v>
      </c>
      <c r="D185">
        <v>17000</v>
      </c>
    </row>
    <row r="186" spans="1:4" x14ac:dyDescent="0.25">
      <c r="A186">
        <v>2400</v>
      </c>
      <c r="B186">
        <v>6800</v>
      </c>
      <c r="C186">
        <v>13500</v>
      </c>
      <c r="D186">
        <v>22500</v>
      </c>
    </row>
    <row r="187" spans="1:4" x14ac:dyDescent="0.25">
      <c r="A187">
        <v>1800</v>
      </c>
      <c r="B187">
        <v>5200</v>
      </c>
      <c r="C187">
        <v>10200</v>
      </c>
      <c r="D187">
        <v>15500</v>
      </c>
    </row>
    <row r="188" spans="1:4" x14ac:dyDescent="0.25">
      <c r="A188">
        <v>900</v>
      </c>
      <c r="B188">
        <v>1800</v>
      </c>
      <c r="C188">
        <v>4500</v>
      </c>
      <c r="D188">
        <v>8000</v>
      </c>
    </row>
    <row r="189" spans="1:4" x14ac:dyDescent="0.25">
      <c r="A189">
        <v>1300</v>
      </c>
      <c r="B189">
        <v>4200</v>
      </c>
      <c r="C189">
        <v>9900</v>
      </c>
      <c r="D189">
        <v>13000</v>
      </c>
    </row>
    <row r="190" spans="1:4" x14ac:dyDescent="0.25">
      <c r="A190">
        <v>1600</v>
      </c>
      <c r="B190">
        <v>4400</v>
      </c>
      <c r="C190">
        <v>9000</v>
      </c>
      <c r="D190">
        <v>17500</v>
      </c>
    </row>
    <row r="191" spans="1:4" x14ac:dyDescent="0.25">
      <c r="A191">
        <v>600</v>
      </c>
      <c r="B191">
        <v>1600</v>
      </c>
      <c r="C191">
        <v>5100</v>
      </c>
      <c r="D191">
        <v>7000</v>
      </c>
    </row>
    <row r="192" spans="1:4" x14ac:dyDescent="0.25">
      <c r="A192">
        <v>1700</v>
      </c>
      <c r="B192">
        <v>4000</v>
      </c>
      <c r="C192">
        <v>9600</v>
      </c>
      <c r="D192">
        <v>15000</v>
      </c>
    </row>
    <row r="193" spans="1:4" x14ac:dyDescent="0.25">
      <c r="A193">
        <v>1600</v>
      </c>
      <c r="B193">
        <v>4800</v>
      </c>
      <c r="C193">
        <v>10800</v>
      </c>
      <c r="D193">
        <v>17500</v>
      </c>
    </row>
    <row r="194" spans="1:4" x14ac:dyDescent="0.25">
      <c r="A194">
        <v>700</v>
      </c>
      <c r="B194">
        <v>1600</v>
      </c>
      <c r="C194">
        <v>5100</v>
      </c>
      <c r="D194">
        <v>9500</v>
      </c>
    </row>
    <row r="195" spans="1:4" x14ac:dyDescent="0.25">
      <c r="A195">
        <v>1600</v>
      </c>
      <c r="B195">
        <v>4200</v>
      </c>
      <c r="C195">
        <v>8700</v>
      </c>
      <c r="D195">
        <v>16000</v>
      </c>
    </row>
    <row r="196" spans="1:4" x14ac:dyDescent="0.25">
      <c r="A196">
        <v>2300</v>
      </c>
      <c r="B196">
        <v>7400</v>
      </c>
      <c r="C196">
        <v>13200</v>
      </c>
      <c r="D196">
        <v>20500</v>
      </c>
    </row>
    <row r="197" spans="1:4" x14ac:dyDescent="0.25">
      <c r="A197">
        <v>1400</v>
      </c>
      <c r="B197">
        <v>3000</v>
      </c>
      <c r="C197">
        <v>6600</v>
      </c>
      <c r="D197">
        <v>12000</v>
      </c>
    </row>
    <row r="198" spans="1:4" x14ac:dyDescent="0.25">
      <c r="A198">
        <v>900</v>
      </c>
      <c r="B198">
        <v>1800</v>
      </c>
      <c r="C198">
        <v>4500</v>
      </c>
      <c r="D198">
        <v>9000</v>
      </c>
    </row>
    <row r="199" spans="1:4" x14ac:dyDescent="0.25">
      <c r="A199">
        <v>1000</v>
      </c>
      <c r="B199">
        <v>5400</v>
      </c>
      <c r="C199">
        <v>10200</v>
      </c>
      <c r="D199">
        <v>16500</v>
      </c>
    </row>
    <row r="200" spans="1:4" x14ac:dyDescent="0.25">
      <c r="A200">
        <v>1300</v>
      </c>
      <c r="B200">
        <v>5400</v>
      </c>
      <c r="C200">
        <v>10500</v>
      </c>
      <c r="D200">
        <v>16500</v>
      </c>
    </row>
    <row r="201" spans="1:4" x14ac:dyDescent="0.25">
      <c r="A201">
        <v>1100</v>
      </c>
      <c r="B201">
        <v>2600</v>
      </c>
      <c r="C201">
        <v>6600</v>
      </c>
      <c r="D201">
        <v>11000</v>
      </c>
    </row>
    <row r="202" spans="1:4" x14ac:dyDescent="0.25">
      <c r="A202">
        <v>1900</v>
      </c>
      <c r="B202">
        <v>4800</v>
      </c>
      <c r="C202">
        <v>9900</v>
      </c>
      <c r="D202">
        <v>13500</v>
      </c>
    </row>
    <row r="203" spans="1:4" x14ac:dyDescent="0.25">
      <c r="A203">
        <v>1000</v>
      </c>
      <c r="B203">
        <v>3800</v>
      </c>
      <c r="C203">
        <v>6600</v>
      </c>
      <c r="D203">
        <v>12000</v>
      </c>
    </row>
    <row r="204" spans="1:4" x14ac:dyDescent="0.25">
      <c r="A204">
        <v>1000</v>
      </c>
      <c r="B204">
        <v>3800</v>
      </c>
      <c r="C204">
        <v>8400</v>
      </c>
      <c r="D204">
        <v>15500</v>
      </c>
    </row>
    <row r="205" spans="1:4" x14ac:dyDescent="0.25">
      <c r="A205">
        <v>800</v>
      </c>
      <c r="B205">
        <v>2400</v>
      </c>
      <c r="C205">
        <v>5100</v>
      </c>
      <c r="D205">
        <v>9000</v>
      </c>
    </row>
    <row r="206" spans="1:4" x14ac:dyDescent="0.25">
      <c r="A206">
        <v>1500</v>
      </c>
      <c r="B206">
        <v>4400</v>
      </c>
      <c r="C206">
        <v>8100</v>
      </c>
      <c r="D206">
        <v>16000</v>
      </c>
    </row>
    <row r="207" spans="1:4" x14ac:dyDescent="0.25">
      <c r="A207">
        <v>1200</v>
      </c>
      <c r="B207">
        <v>3600</v>
      </c>
      <c r="C207">
        <v>9900</v>
      </c>
      <c r="D207">
        <v>16000</v>
      </c>
    </row>
    <row r="208" spans="1:4" x14ac:dyDescent="0.25">
      <c r="A208">
        <v>600</v>
      </c>
      <c r="B208">
        <v>1600</v>
      </c>
      <c r="C208">
        <v>4500</v>
      </c>
      <c r="D208">
        <v>7500</v>
      </c>
    </row>
    <row r="209" spans="1:4" x14ac:dyDescent="0.25">
      <c r="A209">
        <v>1300</v>
      </c>
      <c r="B209">
        <v>5000</v>
      </c>
      <c r="C209">
        <v>8700</v>
      </c>
      <c r="D209">
        <v>14000</v>
      </c>
    </row>
    <row r="210" spans="1:4" x14ac:dyDescent="0.25">
      <c r="A210">
        <v>1200</v>
      </c>
      <c r="B210">
        <v>3600</v>
      </c>
      <c r="C210">
        <v>9600</v>
      </c>
      <c r="D210">
        <v>17000</v>
      </c>
    </row>
    <row r="211" spans="1:4" x14ac:dyDescent="0.25">
      <c r="A211">
        <v>600</v>
      </c>
      <c r="B211">
        <v>1600</v>
      </c>
      <c r="C211">
        <v>3600</v>
      </c>
      <c r="D211">
        <v>6000</v>
      </c>
    </row>
    <row r="212" spans="1:4" x14ac:dyDescent="0.25">
      <c r="A212">
        <v>1000</v>
      </c>
      <c r="B212">
        <v>2800</v>
      </c>
      <c r="C212">
        <v>8100</v>
      </c>
      <c r="D212">
        <v>11500</v>
      </c>
    </row>
    <row r="213" spans="1:4" x14ac:dyDescent="0.25">
      <c r="A213">
        <v>500</v>
      </c>
      <c r="B213">
        <v>1800</v>
      </c>
      <c r="C213">
        <v>6000</v>
      </c>
      <c r="D213">
        <v>8500</v>
      </c>
    </row>
    <row r="214" spans="1:4" x14ac:dyDescent="0.25">
      <c r="A214">
        <v>500</v>
      </c>
      <c r="B214">
        <v>2000</v>
      </c>
      <c r="C214">
        <v>5100</v>
      </c>
      <c r="D214">
        <v>7500</v>
      </c>
    </row>
    <row r="215" spans="1:4" x14ac:dyDescent="0.25">
      <c r="A215">
        <v>300</v>
      </c>
      <c r="B215">
        <v>1800</v>
      </c>
      <c r="C215">
        <v>3300</v>
      </c>
      <c r="D215">
        <v>6000</v>
      </c>
    </row>
    <row r="216" spans="1:4" x14ac:dyDescent="0.25">
      <c r="A216">
        <v>1000</v>
      </c>
      <c r="B216">
        <v>4000</v>
      </c>
      <c r="C216">
        <v>8700</v>
      </c>
      <c r="D216">
        <v>10500</v>
      </c>
    </row>
    <row r="217" spans="1:4" x14ac:dyDescent="0.25">
      <c r="A217">
        <v>1500</v>
      </c>
      <c r="B217">
        <v>2800</v>
      </c>
      <c r="C217">
        <v>8100</v>
      </c>
      <c r="D217">
        <v>12500</v>
      </c>
    </row>
    <row r="218" spans="1:4" x14ac:dyDescent="0.25">
      <c r="A218">
        <v>1300</v>
      </c>
      <c r="B218">
        <v>4200</v>
      </c>
      <c r="C218">
        <v>9900</v>
      </c>
      <c r="D218">
        <v>16500</v>
      </c>
    </row>
    <row r="219" spans="1:4" x14ac:dyDescent="0.25">
      <c r="A219">
        <v>1500</v>
      </c>
      <c r="B219">
        <v>3200</v>
      </c>
      <c r="C219">
        <v>9000</v>
      </c>
      <c r="D219">
        <v>14500</v>
      </c>
    </row>
    <row r="220" spans="1:4" x14ac:dyDescent="0.25">
      <c r="A220">
        <v>1100</v>
      </c>
      <c r="B220">
        <v>5400</v>
      </c>
      <c r="C220">
        <v>10200</v>
      </c>
      <c r="D220">
        <v>17500</v>
      </c>
    </row>
    <row r="221" spans="1:4" x14ac:dyDescent="0.25">
      <c r="A221">
        <v>2000</v>
      </c>
      <c r="B221">
        <v>7400</v>
      </c>
      <c r="C221">
        <v>13200</v>
      </c>
      <c r="D221">
        <v>22000</v>
      </c>
    </row>
    <row r="222" spans="1:4" x14ac:dyDescent="0.25">
      <c r="A222">
        <v>1100</v>
      </c>
      <c r="B222">
        <v>4400</v>
      </c>
      <c r="C222">
        <v>9300</v>
      </c>
      <c r="D222">
        <v>14000</v>
      </c>
    </row>
    <row r="223" spans="1:4" x14ac:dyDescent="0.25">
      <c r="A223">
        <v>1300</v>
      </c>
      <c r="B223">
        <v>5000</v>
      </c>
      <c r="C223">
        <v>9600</v>
      </c>
      <c r="D223">
        <v>14500</v>
      </c>
    </row>
    <row r="224" spans="1:4" x14ac:dyDescent="0.25">
      <c r="A224">
        <v>2400</v>
      </c>
      <c r="B224">
        <v>7400</v>
      </c>
      <c r="C224">
        <v>14700</v>
      </c>
      <c r="D224">
        <v>24000</v>
      </c>
    </row>
    <row r="225" spans="1:4" x14ac:dyDescent="0.25">
      <c r="A225">
        <v>1000</v>
      </c>
      <c r="B225">
        <v>3800</v>
      </c>
      <c r="C225">
        <v>8700</v>
      </c>
      <c r="D225">
        <v>10500</v>
      </c>
    </row>
    <row r="226" spans="1:4" x14ac:dyDescent="0.25">
      <c r="A226">
        <v>1100</v>
      </c>
      <c r="B226">
        <v>5400</v>
      </c>
      <c r="C226">
        <v>8700</v>
      </c>
      <c r="D226">
        <v>16000</v>
      </c>
    </row>
    <row r="227" spans="1:4" x14ac:dyDescent="0.25">
      <c r="A227">
        <v>1000</v>
      </c>
      <c r="B227">
        <v>4400</v>
      </c>
      <c r="C227">
        <v>8100</v>
      </c>
      <c r="D227">
        <v>13000</v>
      </c>
    </row>
    <row r="228" spans="1:4" x14ac:dyDescent="0.25">
      <c r="A228">
        <v>1300</v>
      </c>
      <c r="B228">
        <v>3400</v>
      </c>
      <c r="C228">
        <v>8700</v>
      </c>
      <c r="D228">
        <v>12500</v>
      </c>
    </row>
    <row r="229" spans="1:4" x14ac:dyDescent="0.25">
      <c r="A229">
        <v>1100</v>
      </c>
      <c r="B229">
        <v>2600</v>
      </c>
      <c r="C229">
        <v>7800</v>
      </c>
      <c r="D229">
        <v>12000</v>
      </c>
    </row>
    <row r="230" spans="1:4" x14ac:dyDescent="0.25">
      <c r="A230">
        <v>400</v>
      </c>
      <c r="B230">
        <v>1400</v>
      </c>
      <c r="C230">
        <v>3300</v>
      </c>
      <c r="D230">
        <v>6000</v>
      </c>
    </row>
    <row r="231" spans="1:4" x14ac:dyDescent="0.25">
      <c r="A231">
        <v>2600</v>
      </c>
      <c r="B231">
        <v>5600</v>
      </c>
      <c r="C231">
        <v>12900</v>
      </c>
      <c r="D231">
        <v>24500</v>
      </c>
    </row>
    <row r="232" spans="1:4" x14ac:dyDescent="0.25">
      <c r="A232">
        <v>600</v>
      </c>
      <c r="B232">
        <v>2400</v>
      </c>
      <c r="C232">
        <v>4800</v>
      </c>
      <c r="D232">
        <v>8500</v>
      </c>
    </row>
    <row r="233" spans="1:4" x14ac:dyDescent="0.25">
      <c r="A233">
        <v>1700</v>
      </c>
      <c r="B233">
        <v>3800</v>
      </c>
      <c r="C233">
        <v>10800</v>
      </c>
      <c r="D233">
        <v>13000</v>
      </c>
    </row>
    <row r="234" spans="1:4" x14ac:dyDescent="0.25">
      <c r="A234">
        <v>2400</v>
      </c>
      <c r="B234">
        <v>7000</v>
      </c>
      <c r="C234">
        <v>12900</v>
      </c>
      <c r="D234">
        <v>24000</v>
      </c>
    </row>
    <row r="235" spans="1:4" x14ac:dyDescent="0.25">
      <c r="A235">
        <v>2300</v>
      </c>
      <c r="B235">
        <v>7600</v>
      </c>
      <c r="C235">
        <v>12900</v>
      </c>
      <c r="D235">
        <v>24000</v>
      </c>
    </row>
    <row r="236" spans="1:4" x14ac:dyDescent="0.25">
      <c r="A236">
        <v>1600</v>
      </c>
      <c r="B236">
        <v>4000</v>
      </c>
      <c r="C236">
        <v>10200</v>
      </c>
      <c r="D236">
        <v>13000</v>
      </c>
    </row>
    <row r="237" spans="1:4" x14ac:dyDescent="0.25">
      <c r="A237">
        <v>2800</v>
      </c>
      <c r="B237">
        <v>5600</v>
      </c>
      <c r="C237">
        <v>13500</v>
      </c>
      <c r="D237">
        <v>22500</v>
      </c>
    </row>
    <row r="238" spans="1:4" x14ac:dyDescent="0.25">
      <c r="A238">
        <v>2400</v>
      </c>
      <c r="B238">
        <v>7600</v>
      </c>
      <c r="C238">
        <v>12300</v>
      </c>
      <c r="D238">
        <v>24000</v>
      </c>
    </row>
    <row r="239" spans="1:4" x14ac:dyDescent="0.25">
      <c r="A239">
        <v>1400</v>
      </c>
      <c r="B239">
        <v>3200</v>
      </c>
      <c r="C239">
        <v>7500</v>
      </c>
      <c r="D239">
        <v>12000</v>
      </c>
    </row>
    <row r="240" spans="1:4" x14ac:dyDescent="0.25">
      <c r="A240">
        <v>1900</v>
      </c>
      <c r="B240">
        <v>4800</v>
      </c>
      <c r="C240">
        <v>9900</v>
      </c>
      <c r="D240">
        <v>16000</v>
      </c>
    </row>
    <row r="241" spans="1:4" x14ac:dyDescent="0.25">
      <c r="A241">
        <v>600</v>
      </c>
      <c r="B241">
        <v>1800</v>
      </c>
      <c r="C241">
        <v>4800</v>
      </c>
      <c r="D241">
        <v>7000</v>
      </c>
    </row>
    <row r="242" spans="1:4" x14ac:dyDescent="0.25">
      <c r="A242">
        <v>1400</v>
      </c>
      <c r="B242">
        <v>4200</v>
      </c>
      <c r="C242">
        <v>9000</v>
      </c>
      <c r="D242">
        <v>16000</v>
      </c>
    </row>
    <row r="243" spans="1:4" x14ac:dyDescent="0.25">
      <c r="A243">
        <v>1500</v>
      </c>
      <c r="B243">
        <v>5000</v>
      </c>
      <c r="C243">
        <v>9900</v>
      </c>
      <c r="D243">
        <v>14500</v>
      </c>
    </row>
    <row r="244" spans="1:4" x14ac:dyDescent="0.25">
      <c r="A244">
        <v>1100</v>
      </c>
      <c r="B244">
        <v>2600</v>
      </c>
      <c r="C244">
        <v>8700</v>
      </c>
      <c r="D244">
        <v>10500</v>
      </c>
    </row>
    <row r="245" spans="1:4" x14ac:dyDescent="0.25">
      <c r="A245">
        <v>600</v>
      </c>
      <c r="B245">
        <v>2200</v>
      </c>
      <c r="C245">
        <v>4500</v>
      </c>
      <c r="D245">
        <v>9500</v>
      </c>
    </row>
    <row r="246" spans="1:4" x14ac:dyDescent="0.25">
      <c r="A246">
        <v>900</v>
      </c>
      <c r="B246">
        <v>3400</v>
      </c>
      <c r="C246">
        <v>8700</v>
      </c>
      <c r="D246">
        <v>12000</v>
      </c>
    </row>
    <row r="247" spans="1:4" x14ac:dyDescent="0.25">
      <c r="A247">
        <v>2500</v>
      </c>
      <c r="B247">
        <v>6000</v>
      </c>
      <c r="C247">
        <v>15000</v>
      </c>
      <c r="D247">
        <v>24500</v>
      </c>
    </row>
    <row r="248" spans="1:4" x14ac:dyDescent="0.25">
      <c r="A248">
        <v>2800</v>
      </c>
      <c r="B248">
        <v>6800</v>
      </c>
      <c r="C248">
        <v>12600</v>
      </c>
      <c r="D248">
        <v>24000</v>
      </c>
    </row>
    <row r="249" spans="1:4" x14ac:dyDescent="0.25">
      <c r="A249">
        <v>900</v>
      </c>
      <c r="B249">
        <v>2200</v>
      </c>
      <c r="C249">
        <v>5100</v>
      </c>
      <c r="D249">
        <v>9500</v>
      </c>
    </row>
    <row r="250" spans="1:4" x14ac:dyDescent="0.25">
      <c r="A250">
        <v>1900</v>
      </c>
      <c r="B250">
        <v>5200</v>
      </c>
      <c r="C250">
        <v>8400</v>
      </c>
      <c r="D250">
        <v>16500</v>
      </c>
    </row>
    <row r="251" spans="1:4" x14ac:dyDescent="0.25">
      <c r="A251">
        <v>1500</v>
      </c>
      <c r="B251">
        <v>4400</v>
      </c>
      <c r="C251">
        <v>9600</v>
      </c>
      <c r="D251">
        <v>15000</v>
      </c>
    </row>
    <row r="252" spans="1:4" x14ac:dyDescent="0.25">
      <c r="A252">
        <v>1900</v>
      </c>
      <c r="B252">
        <v>3600</v>
      </c>
      <c r="C252">
        <v>9000</v>
      </c>
      <c r="D252">
        <v>17000</v>
      </c>
    </row>
    <row r="253" spans="1:4" x14ac:dyDescent="0.25">
      <c r="A253">
        <v>1200</v>
      </c>
      <c r="B253">
        <v>4200</v>
      </c>
      <c r="C253">
        <v>10200</v>
      </c>
      <c r="D253">
        <v>17500</v>
      </c>
    </row>
    <row r="254" spans="1:4" x14ac:dyDescent="0.25">
      <c r="A254">
        <v>1400</v>
      </c>
      <c r="B254">
        <v>3600</v>
      </c>
      <c r="C254">
        <v>10800</v>
      </c>
      <c r="D254">
        <v>16500</v>
      </c>
    </row>
    <row r="255" spans="1:4" x14ac:dyDescent="0.25">
      <c r="A255">
        <v>900</v>
      </c>
      <c r="B255">
        <v>2600</v>
      </c>
      <c r="C255">
        <v>7800</v>
      </c>
      <c r="D255">
        <v>11000</v>
      </c>
    </row>
    <row r="256" spans="1:4" x14ac:dyDescent="0.25">
      <c r="A256">
        <v>1900</v>
      </c>
      <c r="B256">
        <v>4600</v>
      </c>
      <c r="C256">
        <v>9600</v>
      </c>
      <c r="D256">
        <v>14000</v>
      </c>
    </row>
    <row r="257" spans="1:4" x14ac:dyDescent="0.25">
      <c r="A257">
        <v>1400</v>
      </c>
      <c r="B257">
        <v>4000</v>
      </c>
      <c r="C257">
        <v>10800</v>
      </c>
      <c r="D257">
        <v>15500</v>
      </c>
    </row>
    <row r="258" spans="1:4" x14ac:dyDescent="0.25">
      <c r="A258">
        <v>1200</v>
      </c>
      <c r="B258">
        <v>4200</v>
      </c>
      <c r="C258">
        <v>8100</v>
      </c>
      <c r="D258">
        <v>17000</v>
      </c>
    </row>
    <row r="259" spans="1:4" x14ac:dyDescent="0.25">
      <c r="A259">
        <v>2700</v>
      </c>
      <c r="B259">
        <v>6800</v>
      </c>
      <c r="C259">
        <v>15900</v>
      </c>
      <c r="D259">
        <v>21500</v>
      </c>
    </row>
    <row r="260" spans="1:4" x14ac:dyDescent="0.25">
      <c r="A260">
        <v>1000</v>
      </c>
      <c r="B260">
        <v>4000</v>
      </c>
      <c r="C260">
        <v>7200</v>
      </c>
      <c r="D260">
        <v>13000</v>
      </c>
    </row>
    <row r="261" spans="1:4" x14ac:dyDescent="0.25">
      <c r="A261">
        <v>2200</v>
      </c>
      <c r="B261">
        <v>6800</v>
      </c>
      <c r="C261">
        <v>13200</v>
      </c>
      <c r="D261">
        <v>20500</v>
      </c>
    </row>
    <row r="262" spans="1:4" x14ac:dyDescent="0.25">
      <c r="A262">
        <v>1300</v>
      </c>
      <c r="B262">
        <v>4800</v>
      </c>
      <c r="C262">
        <v>10800</v>
      </c>
      <c r="D262">
        <v>14000</v>
      </c>
    </row>
    <row r="263" spans="1:4" x14ac:dyDescent="0.25">
      <c r="A263">
        <v>1700</v>
      </c>
      <c r="B263">
        <v>4800</v>
      </c>
      <c r="C263">
        <v>9600</v>
      </c>
      <c r="D263">
        <v>17000</v>
      </c>
    </row>
    <row r="264" spans="1:4" x14ac:dyDescent="0.25">
      <c r="A264">
        <v>1300</v>
      </c>
      <c r="B264">
        <v>3600</v>
      </c>
      <c r="C264">
        <v>8100</v>
      </c>
      <c r="D264">
        <v>11000</v>
      </c>
    </row>
    <row r="265" spans="1:4" x14ac:dyDescent="0.25">
      <c r="A265">
        <v>1200</v>
      </c>
      <c r="B265">
        <v>3200</v>
      </c>
      <c r="C265">
        <v>6900</v>
      </c>
      <c r="D265">
        <v>13000</v>
      </c>
    </row>
    <row r="266" spans="1:4" x14ac:dyDescent="0.25">
      <c r="A266">
        <v>900</v>
      </c>
      <c r="B266">
        <v>2400</v>
      </c>
      <c r="C266">
        <v>5700</v>
      </c>
      <c r="D266">
        <v>9000</v>
      </c>
    </row>
    <row r="267" spans="1:4" x14ac:dyDescent="0.25">
      <c r="A267">
        <v>1900</v>
      </c>
      <c r="B267">
        <v>4000</v>
      </c>
      <c r="C267">
        <v>9000</v>
      </c>
      <c r="D267">
        <v>13500</v>
      </c>
    </row>
    <row r="268" spans="1:4" x14ac:dyDescent="0.25">
      <c r="A268">
        <v>1600</v>
      </c>
      <c r="B268">
        <v>4600</v>
      </c>
      <c r="C268">
        <v>8100</v>
      </c>
      <c r="D268">
        <v>15000</v>
      </c>
    </row>
    <row r="269" spans="1:4" x14ac:dyDescent="0.25">
      <c r="A269">
        <v>2300</v>
      </c>
      <c r="B269">
        <v>7000</v>
      </c>
      <c r="C269">
        <v>12300</v>
      </c>
      <c r="D269">
        <v>22500</v>
      </c>
    </row>
    <row r="270" spans="1:4" x14ac:dyDescent="0.25">
      <c r="A270">
        <v>2800</v>
      </c>
      <c r="B270">
        <v>5000</v>
      </c>
      <c r="C270">
        <v>15300</v>
      </c>
      <c r="D270">
        <v>24000</v>
      </c>
    </row>
    <row r="271" spans="1:4" x14ac:dyDescent="0.25">
      <c r="A271">
        <v>1500</v>
      </c>
      <c r="B271">
        <v>4400</v>
      </c>
      <c r="C271">
        <v>9600</v>
      </c>
      <c r="D271">
        <v>15000</v>
      </c>
    </row>
    <row r="272" spans="1:4" x14ac:dyDescent="0.25">
      <c r="A272">
        <v>1800</v>
      </c>
      <c r="B272">
        <v>5400</v>
      </c>
      <c r="C272">
        <v>9000</v>
      </c>
      <c r="D272">
        <v>13500</v>
      </c>
    </row>
    <row r="273" spans="1:4" x14ac:dyDescent="0.25">
      <c r="A273">
        <v>800</v>
      </c>
      <c r="B273">
        <v>3200</v>
      </c>
      <c r="C273">
        <v>7200</v>
      </c>
      <c r="D273">
        <v>11000</v>
      </c>
    </row>
    <row r="274" spans="1:4" x14ac:dyDescent="0.25">
      <c r="A274">
        <v>1400</v>
      </c>
      <c r="B274">
        <v>5400</v>
      </c>
      <c r="C274">
        <v>8100</v>
      </c>
      <c r="D274">
        <v>16000</v>
      </c>
    </row>
    <row r="275" spans="1:4" x14ac:dyDescent="0.25">
      <c r="A275">
        <v>400</v>
      </c>
      <c r="B275">
        <v>1200</v>
      </c>
      <c r="C275">
        <v>3000</v>
      </c>
      <c r="D275">
        <v>7000</v>
      </c>
    </row>
    <row r="276" spans="1:4" x14ac:dyDescent="0.25">
      <c r="A276">
        <v>600</v>
      </c>
      <c r="B276">
        <v>1400</v>
      </c>
      <c r="C276">
        <v>4200</v>
      </c>
      <c r="D276">
        <v>7000</v>
      </c>
    </row>
    <row r="277" spans="1:4" x14ac:dyDescent="0.25">
      <c r="A277">
        <v>1800</v>
      </c>
      <c r="B277">
        <v>3800</v>
      </c>
      <c r="C277">
        <v>9000</v>
      </c>
      <c r="D277">
        <v>15500</v>
      </c>
    </row>
    <row r="278" spans="1:4" x14ac:dyDescent="0.25">
      <c r="A278">
        <v>1200</v>
      </c>
      <c r="B278">
        <v>4200</v>
      </c>
      <c r="C278">
        <v>10800</v>
      </c>
      <c r="D278">
        <v>14500</v>
      </c>
    </row>
    <row r="279" spans="1:4" x14ac:dyDescent="0.25">
      <c r="A279">
        <v>1000</v>
      </c>
      <c r="B279">
        <v>3800</v>
      </c>
      <c r="C279">
        <v>8700</v>
      </c>
      <c r="D279">
        <v>12500</v>
      </c>
    </row>
    <row r="280" spans="1:4" x14ac:dyDescent="0.25">
      <c r="A280">
        <v>1800</v>
      </c>
      <c r="B280">
        <v>3400</v>
      </c>
      <c r="C280">
        <v>9600</v>
      </c>
      <c r="D280">
        <v>13500</v>
      </c>
    </row>
    <row r="281" spans="1:4" x14ac:dyDescent="0.25">
      <c r="A281">
        <v>900</v>
      </c>
      <c r="B281">
        <v>3800</v>
      </c>
      <c r="C281">
        <v>8400</v>
      </c>
      <c r="D281">
        <v>11500</v>
      </c>
    </row>
    <row r="282" spans="1:4" x14ac:dyDescent="0.25">
      <c r="A282">
        <v>1800</v>
      </c>
      <c r="B282">
        <v>4400</v>
      </c>
      <c r="C282">
        <v>9900</v>
      </c>
      <c r="D282">
        <v>17500</v>
      </c>
    </row>
    <row r="283" spans="1:4" x14ac:dyDescent="0.25">
      <c r="A283">
        <v>1000</v>
      </c>
      <c r="B283">
        <v>2400</v>
      </c>
      <c r="C283">
        <v>4500</v>
      </c>
      <c r="D283">
        <v>9500</v>
      </c>
    </row>
    <row r="284" spans="1:4" x14ac:dyDescent="0.25">
      <c r="A284">
        <v>1000</v>
      </c>
      <c r="B284">
        <v>3800</v>
      </c>
      <c r="C284">
        <v>8400</v>
      </c>
      <c r="D284">
        <v>11500</v>
      </c>
    </row>
    <row r="285" spans="1:4" x14ac:dyDescent="0.25">
      <c r="A285">
        <v>1700</v>
      </c>
      <c r="B285">
        <v>3600</v>
      </c>
      <c r="C285">
        <v>10500</v>
      </c>
      <c r="D285">
        <v>17500</v>
      </c>
    </row>
    <row r="286" spans="1:4" x14ac:dyDescent="0.25">
      <c r="A286">
        <v>1100</v>
      </c>
      <c r="B286">
        <v>5200</v>
      </c>
      <c r="C286">
        <v>10200</v>
      </c>
      <c r="D286">
        <v>13000</v>
      </c>
    </row>
    <row r="287" spans="1:4" x14ac:dyDescent="0.25">
      <c r="A287">
        <v>1500</v>
      </c>
      <c r="B287">
        <v>4400</v>
      </c>
      <c r="C287">
        <v>10200</v>
      </c>
      <c r="D287">
        <v>16000</v>
      </c>
    </row>
    <row r="288" spans="1:4" x14ac:dyDescent="0.25">
      <c r="A288">
        <v>800</v>
      </c>
      <c r="B288">
        <v>3200</v>
      </c>
      <c r="C288">
        <v>6900</v>
      </c>
      <c r="D288">
        <v>11000</v>
      </c>
    </row>
    <row r="289" spans="1:4" x14ac:dyDescent="0.25">
      <c r="A289">
        <v>900</v>
      </c>
      <c r="B289">
        <v>1600</v>
      </c>
      <c r="C289">
        <v>5400</v>
      </c>
      <c r="D289">
        <v>8500</v>
      </c>
    </row>
    <row r="290" spans="1:4" x14ac:dyDescent="0.25">
      <c r="A290">
        <v>1500</v>
      </c>
      <c r="B290">
        <v>2600</v>
      </c>
      <c r="C290">
        <v>8100</v>
      </c>
      <c r="D290">
        <v>12000</v>
      </c>
    </row>
    <row r="291" spans="1:4" x14ac:dyDescent="0.25">
      <c r="A291">
        <v>2500</v>
      </c>
      <c r="B291">
        <v>5200</v>
      </c>
      <c r="C291">
        <v>12600</v>
      </c>
      <c r="D291">
        <v>24500</v>
      </c>
    </row>
    <row r="292" spans="1:4" x14ac:dyDescent="0.25">
      <c r="A292">
        <v>900</v>
      </c>
      <c r="B292">
        <v>3000</v>
      </c>
      <c r="C292">
        <v>7200</v>
      </c>
      <c r="D292">
        <v>11000</v>
      </c>
    </row>
    <row r="293" spans="1:4" x14ac:dyDescent="0.25">
      <c r="A293">
        <v>700</v>
      </c>
      <c r="B293">
        <v>2000</v>
      </c>
      <c r="C293">
        <v>5400</v>
      </c>
      <c r="D293">
        <v>7500</v>
      </c>
    </row>
    <row r="294" spans="1:4" x14ac:dyDescent="0.25">
      <c r="A294">
        <v>400</v>
      </c>
      <c r="B294">
        <v>1800</v>
      </c>
      <c r="C294">
        <v>3600</v>
      </c>
      <c r="D294">
        <v>6000</v>
      </c>
    </row>
    <row r="295" spans="1:4" x14ac:dyDescent="0.25">
      <c r="A295">
        <v>1700</v>
      </c>
      <c r="B295">
        <v>5000</v>
      </c>
      <c r="C295">
        <v>7500</v>
      </c>
      <c r="D295">
        <v>14500</v>
      </c>
    </row>
    <row r="296" spans="1:4" x14ac:dyDescent="0.25">
      <c r="A296">
        <v>1600</v>
      </c>
      <c r="B296">
        <v>3200</v>
      </c>
      <c r="C296">
        <v>9300</v>
      </c>
      <c r="D296">
        <v>13000</v>
      </c>
    </row>
    <row r="297" spans="1:4" x14ac:dyDescent="0.25">
      <c r="A297">
        <v>600</v>
      </c>
      <c r="B297">
        <v>1200</v>
      </c>
      <c r="C297">
        <v>3300</v>
      </c>
      <c r="D297">
        <v>6500</v>
      </c>
    </row>
    <row r="298" spans="1:4" x14ac:dyDescent="0.25">
      <c r="A298">
        <v>500</v>
      </c>
      <c r="B298">
        <v>1800</v>
      </c>
      <c r="C298">
        <v>4800</v>
      </c>
      <c r="D298">
        <v>9500</v>
      </c>
    </row>
    <row r="299" spans="1:4" x14ac:dyDescent="0.25">
      <c r="A299">
        <v>1800</v>
      </c>
      <c r="B299">
        <v>4800</v>
      </c>
      <c r="C299">
        <v>8400</v>
      </c>
      <c r="D299">
        <v>14500</v>
      </c>
    </row>
    <row r="300" spans="1:4" x14ac:dyDescent="0.25">
      <c r="A300">
        <v>800</v>
      </c>
      <c r="B300">
        <v>3000</v>
      </c>
      <c r="C300">
        <v>8700</v>
      </c>
      <c r="D300">
        <v>11000</v>
      </c>
    </row>
    <row r="301" spans="1:4" x14ac:dyDescent="0.25">
      <c r="A301">
        <v>400</v>
      </c>
      <c r="B301">
        <v>1600</v>
      </c>
      <c r="C301">
        <v>3000</v>
      </c>
      <c r="D301">
        <v>5500</v>
      </c>
    </row>
    <row r="302" spans="1:4" x14ac:dyDescent="0.25">
      <c r="A302">
        <v>1200</v>
      </c>
      <c r="B302">
        <v>4200</v>
      </c>
      <c r="C302">
        <v>8400</v>
      </c>
      <c r="D302">
        <v>13000</v>
      </c>
    </row>
    <row r="303" spans="1:4" x14ac:dyDescent="0.25">
      <c r="A303">
        <v>700</v>
      </c>
      <c r="B303">
        <v>1600</v>
      </c>
      <c r="C303">
        <v>4200</v>
      </c>
      <c r="D303">
        <v>8500</v>
      </c>
    </row>
    <row r="304" spans="1:4" x14ac:dyDescent="0.25">
      <c r="A304">
        <v>1500</v>
      </c>
      <c r="B304">
        <v>3400</v>
      </c>
      <c r="C304">
        <v>9000</v>
      </c>
      <c r="D304">
        <v>13500</v>
      </c>
    </row>
    <row r="305" spans="1:4" x14ac:dyDescent="0.25">
      <c r="A305">
        <v>800</v>
      </c>
      <c r="B305">
        <v>2800</v>
      </c>
      <c r="C305">
        <v>7500</v>
      </c>
      <c r="D305">
        <v>11500</v>
      </c>
    </row>
    <row r="306" spans="1:4" x14ac:dyDescent="0.25">
      <c r="A306">
        <v>1300</v>
      </c>
      <c r="B306">
        <v>3000</v>
      </c>
      <c r="C306">
        <v>7200</v>
      </c>
      <c r="D306">
        <v>12000</v>
      </c>
    </row>
    <row r="307" spans="1:4" x14ac:dyDescent="0.25">
      <c r="A307">
        <v>1700</v>
      </c>
      <c r="B307">
        <v>5400</v>
      </c>
      <c r="C307">
        <v>10200</v>
      </c>
      <c r="D307">
        <v>14500</v>
      </c>
    </row>
    <row r="308" spans="1:4" x14ac:dyDescent="0.25">
      <c r="A308">
        <v>1500</v>
      </c>
      <c r="B308">
        <v>5200</v>
      </c>
      <c r="C308">
        <v>9600</v>
      </c>
      <c r="D308">
        <v>16000</v>
      </c>
    </row>
    <row r="309" spans="1:4" x14ac:dyDescent="0.25">
      <c r="A309">
        <v>500</v>
      </c>
      <c r="B309">
        <v>2000</v>
      </c>
      <c r="C309">
        <v>5100</v>
      </c>
      <c r="D309">
        <v>7000</v>
      </c>
    </row>
    <row r="310" spans="1:4" x14ac:dyDescent="0.25">
      <c r="A310">
        <v>1400</v>
      </c>
      <c r="B310">
        <v>4000</v>
      </c>
      <c r="C310">
        <v>8400</v>
      </c>
      <c r="D310">
        <v>13000</v>
      </c>
    </row>
    <row r="311" spans="1:4" x14ac:dyDescent="0.25">
      <c r="A311">
        <v>1200</v>
      </c>
      <c r="B311">
        <v>3400</v>
      </c>
      <c r="C311">
        <v>7200</v>
      </c>
      <c r="D311">
        <v>12000</v>
      </c>
    </row>
    <row r="312" spans="1:4" x14ac:dyDescent="0.25">
      <c r="A312">
        <v>1000</v>
      </c>
      <c r="B312">
        <v>3400</v>
      </c>
      <c r="C312">
        <v>6300</v>
      </c>
      <c r="D312">
        <v>11000</v>
      </c>
    </row>
    <row r="313" spans="1:4" x14ac:dyDescent="0.25">
      <c r="A313">
        <v>700</v>
      </c>
      <c r="B313">
        <v>2400</v>
      </c>
      <c r="C313">
        <v>5700</v>
      </c>
      <c r="D313">
        <v>9500</v>
      </c>
    </row>
    <row r="314" spans="1:4" x14ac:dyDescent="0.25">
      <c r="A314">
        <v>1900</v>
      </c>
      <c r="B314">
        <v>4200</v>
      </c>
      <c r="C314">
        <v>8400</v>
      </c>
      <c r="D314">
        <v>15000</v>
      </c>
    </row>
    <row r="315" spans="1:4" x14ac:dyDescent="0.25">
      <c r="A315">
        <v>1400</v>
      </c>
      <c r="B315">
        <v>3200</v>
      </c>
      <c r="C315">
        <v>7500</v>
      </c>
      <c r="D315">
        <v>12000</v>
      </c>
    </row>
    <row r="316" spans="1:4" x14ac:dyDescent="0.25">
      <c r="A316">
        <v>900</v>
      </c>
      <c r="B316">
        <v>2600</v>
      </c>
      <c r="C316">
        <v>8400</v>
      </c>
      <c r="D316">
        <v>10000</v>
      </c>
    </row>
    <row r="317" spans="1:4" x14ac:dyDescent="0.25">
      <c r="A317">
        <v>900</v>
      </c>
      <c r="B317">
        <v>2200</v>
      </c>
      <c r="C317">
        <v>5700</v>
      </c>
      <c r="D317">
        <v>8000</v>
      </c>
    </row>
    <row r="318" spans="1:4" x14ac:dyDescent="0.25">
      <c r="A318">
        <v>600</v>
      </c>
      <c r="B318">
        <v>2200</v>
      </c>
      <c r="C318">
        <v>5700</v>
      </c>
      <c r="D318">
        <v>8000</v>
      </c>
    </row>
    <row r="319" spans="1:4" x14ac:dyDescent="0.25">
      <c r="A319">
        <v>1800</v>
      </c>
      <c r="B319">
        <v>4000</v>
      </c>
      <c r="C319">
        <v>8400</v>
      </c>
      <c r="D319">
        <v>13500</v>
      </c>
    </row>
    <row r="320" spans="1:4" x14ac:dyDescent="0.25">
      <c r="A320">
        <v>700</v>
      </c>
      <c r="B320">
        <v>1800</v>
      </c>
      <c r="C320">
        <v>5700</v>
      </c>
      <c r="D320">
        <v>7000</v>
      </c>
    </row>
    <row r="321" spans="1:4" x14ac:dyDescent="0.25">
      <c r="A321">
        <v>1200</v>
      </c>
      <c r="B321">
        <v>4000</v>
      </c>
      <c r="C321">
        <v>9900</v>
      </c>
      <c r="D321">
        <v>15500</v>
      </c>
    </row>
    <row r="322" spans="1:4" x14ac:dyDescent="0.25">
      <c r="A322">
        <v>500</v>
      </c>
      <c r="B322">
        <v>1600</v>
      </c>
      <c r="C322">
        <v>4200</v>
      </c>
      <c r="D322">
        <v>6000</v>
      </c>
    </row>
    <row r="323" spans="1:4" x14ac:dyDescent="0.25">
      <c r="A323">
        <v>1500</v>
      </c>
      <c r="B323">
        <v>3200</v>
      </c>
      <c r="C323">
        <v>7200</v>
      </c>
      <c r="D323">
        <v>12500</v>
      </c>
    </row>
    <row r="324" spans="1:4" x14ac:dyDescent="0.25">
      <c r="A324">
        <v>1400</v>
      </c>
      <c r="B324">
        <v>4000</v>
      </c>
      <c r="C324">
        <v>6600</v>
      </c>
      <c r="D324">
        <v>11500</v>
      </c>
    </row>
    <row r="325" spans="1:4" x14ac:dyDescent="0.25">
      <c r="A325">
        <v>1400</v>
      </c>
      <c r="B325">
        <v>3800</v>
      </c>
      <c r="C325">
        <v>7500</v>
      </c>
      <c r="D325">
        <v>15000</v>
      </c>
    </row>
    <row r="326" spans="1:4" x14ac:dyDescent="0.25">
      <c r="A326">
        <v>900</v>
      </c>
      <c r="B326">
        <v>1800</v>
      </c>
      <c r="C326">
        <v>5400</v>
      </c>
      <c r="D326">
        <v>8500</v>
      </c>
    </row>
    <row r="327" spans="1:4" x14ac:dyDescent="0.25">
      <c r="A327">
        <v>600</v>
      </c>
      <c r="B327">
        <v>1600</v>
      </c>
      <c r="C327">
        <v>4200</v>
      </c>
      <c r="D327">
        <v>7000</v>
      </c>
    </row>
    <row r="328" spans="1:4" x14ac:dyDescent="0.25">
      <c r="A328">
        <v>2600</v>
      </c>
      <c r="B328">
        <v>6600</v>
      </c>
      <c r="C328">
        <v>14100</v>
      </c>
      <c r="D328">
        <v>22000</v>
      </c>
    </row>
    <row r="329" spans="1:4" x14ac:dyDescent="0.25">
      <c r="A329">
        <v>1100</v>
      </c>
      <c r="B329">
        <v>4400</v>
      </c>
      <c r="C329">
        <v>9000</v>
      </c>
      <c r="D329">
        <v>14000</v>
      </c>
    </row>
    <row r="330" spans="1:4" x14ac:dyDescent="0.25">
      <c r="A330">
        <v>1200</v>
      </c>
      <c r="B330">
        <v>4800</v>
      </c>
      <c r="C330">
        <v>7800</v>
      </c>
      <c r="D330">
        <v>14500</v>
      </c>
    </row>
    <row r="331" spans="1:4" x14ac:dyDescent="0.25">
      <c r="A331">
        <v>900</v>
      </c>
      <c r="B331">
        <v>1800</v>
      </c>
      <c r="C331">
        <v>5400</v>
      </c>
      <c r="D331">
        <v>10000</v>
      </c>
    </row>
    <row r="332" spans="1:4" x14ac:dyDescent="0.25">
      <c r="A332">
        <v>1400</v>
      </c>
      <c r="B332">
        <v>3800</v>
      </c>
      <c r="C332">
        <v>8400</v>
      </c>
      <c r="D332">
        <v>16500</v>
      </c>
    </row>
    <row r="333" spans="1:4" x14ac:dyDescent="0.25">
      <c r="A333">
        <v>1300</v>
      </c>
      <c r="B333">
        <v>2800</v>
      </c>
      <c r="C333">
        <v>8100</v>
      </c>
      <c r="D333">
        <v>10500</v>
      </c>
    </row>
    <row r="334" spans="1:4" x14ac:dyDescent="0.25">
      <c r="A334">
        <v>2200</v>
      </c>
      <c r="B334">
        <v>7400</v>
      </c>
      <c r="C334">
        <v>12900</v>
      </c>
      <c r="D334">
        <v>23500</v>
      </c>
    </row>
    <row r="335" spans="1:4" x14ac:dyDescent="0.25">
      <c r="A335">
        <v>2100</v>
      </c>
      <c r="B335">
        <v>5600</v>
      </c>
      <c r="C335">
        <v>14100</v>
      </c>
      <c r="D335">
        <v>24500</v>
      </c>
    </row>
    <row r="336" spans="1:4" x14ac:dyDescent="0.25">
      <c r="A336">
        <v>1600</v>
      </c>
      <c r="B336">
        <v>4000</v>
      </c>
      <c r="C336">
        <v>9600</v>
      </c>
      <c r="D336">
        <v>13000</v>
      </c>
    </row>
    <row r="337" spans="1:4" x14ac:dyDescent="0.25">
      <c r="A337">
        <v>1200</v>
      </c>
      <c r="B337">
        <v>5000</v>
      </c>
      <c r="C337">
        <v>9900</v>
      </c>
      <c r="D337">
        <v>17000</v>
      </c>
    </row>
    <row r="338" spans="1:4" x14ac:dyDescent="0.25">
      <c r="A338">
        <v>900</v>
      </c>
      <c r="B338">
        <v>1800</v>
      </c>
      <c r="C338">
        <v>5400</v>
      </c>
      <c r="D338">
        <v>7500</v>
      </c>
    </row>
    <row r="339" spans="1:4" x14ac:dyDescent="0.25">
      <c r="A339">
        <v>1700</v>
      </c>
      <c r="B339">
        <v>4000</v>
      </c>
      <c r="C339">
        <v>8100</v>
      </c>
      <c r="D339">
        <v>13000</v>
      </c>
    </row>
    <row r="340" spans="1:4" x14ac:dyDescent="0.25">
      <c r="A340">
        <v>500</v>
      </c>
      <c r="B340">
        <v>1200</v>
      </c>
      <c r="C340">
        <v>3000</v>
      </c>
      <c r="D340">
        <v>5500</v>
      </c>
    </row>
    <row r="341" spans="1:4" x14ac:dyDescent="0.25">
      <c r="A341">
        <v>1500</v>
      </c>
      <c r="B341">
        <v>5200</v>
      </c>
      <c r="C341">
        <v>9000</v>
      </c>
      <c r="D341">
        <v>17000</v>
      </c>
    </row>
    <row r="342" spans="1:4" x14ac:dyDescent="0.25">
      <c r="A342">
        <v>1000</v>
      </c>
      <c r="B342">
        <v>2400</v>
      </c>
      <c r="C342">
        <v>5100</v>
      </c>
      <c r="D342">
        <v>9500</v>
      </c>
    </row>
    <row r="343" spans="1:4" x14ac:dyDescent="0.25">
      <c r="A343">
        <v>600</v>
      </c>
      <c r="B343">
        <v>1600</v>
      </c>
      <c r="C343">
        <v>5100</v>
      </c>
      <c r="D343">
        <v>9500</v>
      </c>
    </row>
    <row r="344" spans="1:4" x14ac:dyDescent="0.25">
      <c r="A344">
        <v>1000</v>
      </c>
      <c r="B344">
        <v>3400</v>
      </c>
      <c r="C344">
        <v>6300</v>
      </c>
      <c r="D344">
        <v>11000</v>
      </c>
    </row>
    <row r="345" spans="1:4" x14ac:dyDescent="0.25">
      <c r="A345">
        <v>900</v>
      </c>
      <c r="B345">
        <v>2800</v>
      </c>
      <c r="C345">
        <v>6900</v>
      </c>
      <c r="D345">
        <v>11500</v>
      </c>
    </row>
    <row r="346" spans="1:4" x14ac:dyDescent="0.25">
      <c r="A346">
        <v>1100</v>
      </c>
      <c r="B346">
        <v>4800</v>
      </c>
      <c r="C346">
        <v>8700</v>
      </c>
      <c r="D346">
        <v>12500</v>
      </c>
    </row>
    <row r="347" spans="1:4" x14ac:dyDescent="0.25">
      <c r="A347">
        <v>1400</v>
      </c>
      <c r="B347">
        <v>4600</v>
      </c>
      <c r="C347">
        <v>7500</v>
      </c>
      <c r="D347">
        <v>13000</v>
      </c>
    </row>
    <row r="348" spans="1:4" x14ac:dyDescent="0.25">
      <c r="A348">
        <v>700</v>
      </c>
      <c r="B348">
        <v>1600</v>
      </c>
      <c r="C348">
        <v>5700</v>
      </c>
      <c r="D348">
        <v>9000</v>
      </c>
    </row>
    <row r="349" spans="1:4" x14ac:dyDescent="0.25">
      <c r="A349">
        <v>1700</v>
      </c>
      <c r="B349">
        <v>3200</v>
      </c>
      <c r="C349">
        <v>8700</v>
      </c>
      <c r="D349">
        <v>12500</v>
      </c>
    </row>
    <row r="350" spans="1:4" x14ac:dyDescent="0.25">
      <c r="A350">
        <v>900</v>
      </c>
      <c r="B350">
        <v>4000</v>
      </c>
      <c r="C350">
        <v>7500</v>
      </c>
      <c r="D350">
        <v>11000</v>
      </c>
    </row>
    <row r="351" spans="1:4" x14ac:dyDescent="0.25">
      <c r="A351">
        <v>600</v>
      </c>
      <c r="B351">
        <v>2400</v>
      </c>
      <c r="C351">
        <v>5100</v>
      </c>
      <c r="D351">
        <v>8500</v>
      </c>
    </row>
    <row r="352" spans="1:4" x14ac:dyDescent="0.25">
      <c r="A352">
        <v>1300</v>
      </c>
      <c r="B352">
        <v>3000</v>
      </c>
      <c r="C352">
        <v>7800</v>
      </c>
      <c r="D352">
        <v>13500</v>
      </c>
    </row>
    <row r="353" spans="1:4" x14ac:dyDescent="0.25">
      <c r="A353">
        <v>3000</v>
      </c>
      <c r="B353">
        <v>5400</v>
      </c>
      <c r="C353">
        <v>14100</v>
      </c>
      <c r="D353">
        <v>23500</v>
      </c>
    </row>
    <row r="354" spans="1:4" x14ac:dyDescent="0.25">
      <c r="A354">
        <v>800</v>
      </c>
      <c r="B354">
        <v>2400</v>
      </c>
      <c r="C354">
        <v>4500</v>
      </c>
      <c r="D354">
        <v>10000</v>
      </c>
    </row>
    <row r="355" spans="1:4" x14ac:dyDescent="0.25">
      <c r="A355">
        <v>2000</v>
      </c>
      <c r="B355">
        <v>5000</v>
      </c>
      <c r="C355">
        <v>9600</v>
      </c>
      <c r="D355">
        <v>16500</v>
      </c>
    </row>
    <row r="356" spans="1:4" x14ac:dyDescent="0.25">
      <c r="A356">
        <v>600</v>
      </c>
      <c r="B356">
        <v>1800</v>
      </c>
      <c r="C356">
        <v>5400</v>
      </c>
      <c r="D356">
        <v>8500</v>
      </c>
    </row>
    <row r="357" spans="1:4" x14ac:dyDescent="0.25">
      <c r="A357">
        <v>900</v>
      </c>
      <c r="B357">
        <v>3400</v>
      </c>
      <c r="C357">
        <v>6300</v>
      </c>
      <c r="D357">
        <v>12000</v>
      </c>
    </row>
    <row r="358" spans="1:4" x14ac:dyDescent="0.25">
      <c r="A358">
        <v>1200</v>
      </c>
      <c r="B358">
        <v>3600</v>
      </c>
      <c r="C358">
        <v>6000</v>
      </c>
      <c r="D358">
        <v>11000</v>
      </c>
    </row>
    <row r="359" spans="1:4" x14ac:dyDescent="0.25">
      <c r="A359">
        <v>900</v>
      </c>
      <c r="B359">
        <v>2000</v>
      </c>
      <c r="C359">
        <v>5400</v>
      </c>
      <c r="D359">
        <v>9000</v>
      </c>
    </row>
    <row r="360" spans="1:4" x14ac:dyDescent="0.25">
      <c r="A360">
        <v>1900</v>
      </c>
      <c r="B360">
        <v>4200</v>
      </c>
      <c r="C360">
        <v>9900</v>
      </c>
      <c r="D360">
        <v>17500</v>
      </c>
    </row>
    <row r="361" spans="1:4" x14ac:dyDescent="0.25">
      <c r="A361">
        <v>1300</v>
      </c>
      <c r="B361">
        <v>4400</v>
      </c>
      <c r="C361">
        <v>9600</v>
      </c>
      <c r="D361">
        <v>16000</v>
      </c>
    </row>
    <row r="362" spans="1:4" x14ac:dyDescent="0.25">
      <c r="A362">
        <v>2000</v>
      </c>
      <c r="B362">
        <v>7400</v>
      </c>
      <c r="C362">
        <v>13500</v>
      </c>
      <c r="D362">
        <v>20000</v>
      </c>
    </row>
    <row r="363" spans="1:4" x14ac:dyDescent="0.25">
      <c r="A363">
        <v>1700</v>
      </c>
      <c r="B363">
        <v>3600</v>
      </c>
      <c r="C363">
        <v>9900</v>
      </c>
      <c r="D363">
        <v>16500</v>
      </c>
    </row>
    <row r="364" spans="1:4" x14ac:dyDescent="0.25">
      <c r="A364">
        <v>1500</v>
      </c>
      <c r="B364">
        <v>4600</v>
      </c>
      <c r="C364">
        <v>8400</v>
      </c>
      <c r="D364">
        <v>15000</v>
      </c>
    </row>
    <row r="365" spans="1:4" x14ac:dyDescent="0.25">
      <c r="A365">
        <v>1700</v>
      </c>
      <c r="B365">
        <v>3800</v>
      </c>
      <c r="C365">
        <v>8100</v>
      </c>
      <c r="D365">
        <v>13000</v>
      </c>
    </row>
    <row r="366" spans="1:4" x14ac:dyDescent="0.25">
      <c r="A366">
        <v>1100</v>
      </c>
      <c r="B366">
        <v>5000</v>
      </c>
      <c r="C366">
        <v>8400</v>
      </c>
      <c r="D366">
        <v>14000</v>
      </c>
    </row>
    <row r="367" spans="1:4" x14ac:dyDescent="0.25">
      <c r="A367">
        <v>1900</v>
      </c>
      <c r="B367">
        <v>5200</v>
      </c>
      <c r="C367">
        <v>8100</v>
      </c>
      <c r="D367">
        <v>18000</v>
      </c>
    </row>
    <row r="368" spans="1:4" x14ac:dyDescent="0.25">
      <c r="A368">
        <v>600</v>
      </c>
      <c r="B368">
        <v>1600</v>
      </c>
      <c r="C368">
        <v>4200</v>
      </c>
      <c r="D368">
        <v>7000</v>
      </c>
    </row>
    <row r="369" spans="1:4" x14ac:dyDescent="0.25">
      <c r="A369">
        <v>1500</v>
      </c>
      <c r="B369">
        <v>4200</v>
      </c>
      <c r="C369">
        <v>8400</v>
      </c>
      <c r="D369">
        <v>15500</v>
      </c>
    </row>
    <row r="370" spans="1:4" x14ac:dyDescent="0.25">
      <c r="A370">
        <v>1400</v>
      </c>
      <c r="B370">
        <v>4800</v>
      </c>
      <c r="C370">
        <v>8400</v>
      </c>
      <c r="D370">
        <v>13000</v>
      </c>
    </row>
    <row r="371" spans="1:4" x14ac:dyDescent="0.25">
      <c r="A371">
        <v>900</v>
      </c>
      <c r="B371">
        <v>3200</v>
      </c>
      <c r="C371">
        <v>8700</v>
      </c>
      <c r="D371">
        <v>13000</v>
      </c>
    </row>
    <row r="372" spans="1:4" x14ac:dyDescent="0.25">
      <c r="A372">
        <v>900</v>
      </c>
      <c r="B372">
        <v>2800</v>
      </c>
      <c r="C372">
        <v>7500</v>
      </c>
      <c r="D372">
        <v>12500</v>
      </c>
    </row>
    <row r="373" spans="1:4" x14ac:dyDescent="0.25">
      <c r="A373">
        <v>900</v>
      </c>
      <c r="B373">
        <v>2200</v>
      </c>
      <c r="C373">
        <v>5400</v>
      </c>
      <c r="D373">
        <v>7500</v>
      </c>
    </row>
    <row r="374" spans="1:4" x14ac:dyDescent="0.25">
      <c r="A374">
        <v>1000</v>
      </c>
      <c r="B374">
        <v>3800</v>
      </c>
      <c r="C374">
        <v>6300</v>
      </c>
      <c r="D374">
        <v>12000</v>
      </c>
    </row>
    <row r="375" spans="1:4" x14ac:dyDescent="0.25">
      <c r="A375">
        <v>1900</v>
      </c>
      <c r="B375">
        <v>4200</v>
      </c>
      <c r="C375">
        <v>9000</v>
      </c>
      <c r="D375">
        <v>16500</v>
      </c>
    </row>
    <row r="376" spans="1:4" x14ac:dyDescent="0.25">
      <c r="A376">
        <v>1000</v>
      </c>
      <c r="B376">
        <v>3800</v>
      </c>
      <c r="C376">
        <v>9600</v>
      </c>
      <c r="D376">
        <v>16000</v>
      </c>
    </row>
    <row r="377" spans="1:4" x14ac:dyDescent="0.25">
      <c r="A377">
        <v>1500</v>
      </c>
      <c r="B377">
        <v>5400</v>
      </c>
      <c r="C377">
        <v>8400</v>
      </c>
      <c r="D377">
        <v>14000</v>
      </c>
    </row>
    <row r="378" spans="1:4" x14ac:dyDescent="0.25">
      <c r="A378">
        <v>1000</v>
      </c>
      <c r="B378">
        <v>1800</v>
      </c>
      <c r="C378">
        <v>4800</v>
      </c>
      <c r="D378">
        <v>8000</v>
      </c>
    </row>
    <row r="379" spans="1:4" x14ac:dyDescent="0.25">
      <c r="A379">
        <v>1800</v>
      </c>
      <c r="B379">
        <v>4800</v>
      </c>
      <c r="C379">
        <v>9900</v>
      </c>
      <c r="D379">
        <v>13500</v>
      </c>
    </row>
    <row r="380" spans="1:4" x14ac:dyDescent="0.25">
      <c r="A380">
        <v>800</v>
      </c>
      <c r="B380">
        <v>2000</v>
      </c>
      <c r="C380">
        <v>5100</v>
      </c>
      <c r="D380">
        <v>9000</v>
      </c>
    </row>
    <row r="381" spans="1:4" x14ac:dyDescent="0.25">
      <c r="A381">
        <v>1800</v>
      </c>
      <c r="B381">
        <v>4400</v>
      </c>
      <c r="C381">
        <v>8400</v>
      </c>
      <c r="D381">
        <v>15000</v>
      </c>
    </row>
    <row r="382" spans="1:4" x14ac:dyDescent="0.25">
      <c r="A382">
        <v>700</v>
      </c>
      <c r="B382">
        <v>1800</v>
      </c>
      <c r="C382">
        <v>5100</v>
      </c>
      <c r="D382">
        <v>7500</v>
      </c>
    </row>
    <row r="383" spans="1:4" x14ac:dyDescent="0.25">
      <c r="A383">
        <v>1300</v>
      </c>
      <c r="B383">
        <v>5000</v>
      </c>
      <c r="C383">
        <v>10500</v>
      </c>
      <c r="D383">
        <v>15500</v>
      </c>
    </row>
    <row r="384" spans="1:4" x14ac:dyDescent="0.25">
      <c r="A384">
        <v>1500</v>
      </c>
      <c r="B384">
        <v>3200</v>
      </c>
      <c r="C384">
        <v>7500</v>
      </c>
      <c r="D384">
        <v>14000</v>
      </c>
    </row>
    <row r="385" spans="1:4" x14ac:dyDescent="0.25">
      <c r="A385">
        <v>2000</v>
      </c>
      <c r="B385">
        <v>3800</v>
      </c>
      <c r="C385">
        <v>10500</v>
      </c>
      <c r="D385">
        <v>14500</v>
      </c>
    </row>
    <row r="386" spans="1:4" x14ac:dyDescent="0.25">
      <c r="A386">
        <v>1600</v>
      </c>
      <c r="B386">
        <v>3400</v>
      </c>
      <c r="C386">
        <v>8400</v>
      </c>
      <c r="D386">
        <v>13000</v>
      </c>
    </row>
    <row r="387" spans="1:4" x14ac:dyDescent="0.25">
      <c r="A387">
        <v>500</v>
      </c>
      <c r="B387">
        <v>1400</v>
      </c>
      <c r="C387">
        <v>3900</v>
      </c>
      <c r="D387">
        <v>6000</v>
      </c>
    </row>
    <row r="388" spans="1:4" x14ac:dyDescent="0.25">
      <c r="A388">
        <v>900</v>
      </c>
      <c r="B388">
        <v>2400</v>
      </c>
      <c r="C388">
        <v>5400</v>
      </c>
      <c r="D388">
        <v>9500</v>
      </c>
    </row>
    <row r="389" spans="1:4" x14ac:dyDescent="0.25">
      <c r="A389">
        <v>900</v>
      </c>
      <c r="B389">
        <v>2400</v>
      </c>
      <c r="C389">
        <v>4800</v>
      </c>
      <c r="D389">
        <v>7000</v>
      </c>
    </row>
    <row r="390" spans="1:4" x14ac:dyDescent="0.25">
      <c r="A390">
        <v>2000</v>
      </c>
      <c r="B390">
        <v>4800</v>
      </c>
      <c r="C390">
        <v>7800</v>
      </c>
      <c r="D390">
        <v>12500</v>
      </c>
    </row>
    <row r="391" spans="1:4" x14ac:dyDescent="0.25">
      <c r="A391">
        <v>1500</v>
      </c>
      <c r="B391">
        <v>4800</v>
      </c>
      <c r="C391">
        <v>10200</v>
      </c>
      <c r="D391">
        <v>16500</v>
      </c>
    </row>
    <row r="392" spans="1:4" x14ac:dyDescent="0.25">
      <c r="A392">
        <v>1000</v>
      </c>
      <c r="B392">
        <v>3600</v>
      </c>
      <c r="C392">
        <v>7200</v>
      </c>
      <c r="D392">
        <v>12000</v>
      </c>
    </row>
    <row r="393" spans="1:4" x14ac:dyDescent="0.25">
      <c r="A393">
        <v>1300</v>
      </c>
      <c r="B393">
        <v>3200</v>
      </c>
      <c r="C393">
        <v>8100</v>
      </c>
      <c r="D393">
        <v>12500</v>
      </c>
    </row>
    <row r="394" spans="1:4" x14ac:dyDescent="0.25">
      <c r="A394">
        <v>1900</v>
      </c>
      <c r="B394">
        <v>5000</v>
      </c>
      <c r="C394">
        <v>8400</v>
      </c>
      <c r="D394">
        <v>13000</v>
      </c>
    </row>
    <row r="395" spans="1:4" x14ac:dyDescent="0.25">
      <c r="A395">
        <v>1600</v>
      </c>
      <c r="B395">
        <v>3600</v>
      </c>
      <c r="C395">
        <v>8700</v>
      </c>
      <c r="D395">
        <v>14000</v>
      </c>
    </row>
    <row r="396" spans="1:4" x14ac:dyDescent="0.25">
      <c r="A396">
        <v>800</v>
      </c>
      <c r="B396">
        <v>2800</v>
      </c>
      <c r="C396">
        <v>6600</v>
      </c>
      <c r="D396">
        <v>12500</v>
      </c>
    </row>
    <row r="397" spans="1:4" x14ac:dyDescent="0.25">
      <c r="A397">
        <v>1300</v>
      </c>
      <c r="B397">
        <v>4000</v>
      </c>
      <c r="C397">
        <v>9300</v>
      </c>
      <c r="D397">
        <v>17500</v>
      </c>
    </row>
    <row r="398" spans="1:4" x14ac:dyDescent="0.25">
      <c r="A398">
        <v>1100</v>
      </c>
      <c r="B398">
        <v>4400</v>
      </c>
      <c r="C398">
        <v>8400</v>
      </c>
      <c r="D398">
        <v>15500</v>
      </c>
    </row>
    <row r="399" spans="1:4" x14ac:dyDescent="0.25">
      <c r="A399">
        <v>1700</v>
      </c>
      <c r="B399">
        <v>4000</v>
      </c>
      <c r="C399">
        <v>10500</v>
      </c>
      <c r="D399">
        <v>15000</v>
      </c>
    </row>
    <row r="400" spans="1:4" x14ac:dyDescent="0.25">
      <c r="A400">
        <v>1200</v>
      </c>
      <c r="B400">
        <v>3600</v>
      </c>
      <c r="C400">
        <v>8700</v>
      </c>
      <c r="D400">
        <v>13000</v>
      </c>
    </row>
    <row r="401" spans="1:4" x14ac:dyDescent="0.25">
      <c r="A401">
        <v>1400</v>
      </c>
      <c r="B401">
        <v>3800</v>
      </c>
      <c r="C401">
        <v>8100</v>
      </c>
      <c r="D401">
        <v>12000</v>
      </c>
    </row>
    <row r="402" spans="1:4" x14ac:dyDescent="0.25">
      <c r="A402">
        <v>1200</v>
      </c>
      <c r="B402">
        <v>4000</v>
      </c>
      <c r="C402">
        <v>8100</v>
      </c>
      <c r="D402">
        <v>17500</v>
      </c>
    </row>
    <row r="403" spans="1:4" x14ac:dyDescent="0.25">
      <c r="A403">
        <v>1600</v>
      </c>
      <c r="B403">
        <v>4200</v>
      </c>
      <c r="C403">
        <v>8700</v>
      </c>
      <c r="D403">
        <v>15500</v>
      </c>
    </row>
    <row r="404" spans="1:4" x14ac:dyDescent="0.25">
      <c r="A404">
        <v>1400</v>
      </c>
      <c r="B404">
        <v>3400</v>
      </c>
      <c r="C404">
        <v>7200</v>
      </c>
      <c r="D404">
        <v>10000</v>
      </c>
    </row>
    <row r="405" spans="1:4" x14ac:dyDescent="0.25">
      <c r="A405">
        <v>2300</v>
      </c>
      <c r="B405">
        <v>6600</v>
      </c>
      <c r="C405">
        <v>12600</v>
      </c>
      <c r="D405">
        <v>24000</v>
      </c>
    </row>
    <row r="406" spans="1:4" x14ac:dyDescent="0.25">
      <c r="A406">
        <v>1100</v>
      </c>
      <c r="B406">
        <v>4600</v>
      </c>
      <c r="C406">
        <v>8100</v>
      </c>
      <c r="D406">
        <v>13500</v>
      </c>
    </row>
    <row r="407" spans="1:4" x14ac:dyDescent="0.25">
      <c r="A407">
        <v>1500</v>
      </c>
      <c r="B407">
        <v>4400</v>
      </c>
      <c r="C407">
        <v>9900</v>
      </c>
      <c r="D407">
        <v>18000</v>
      </c>
    </row>
    <row r="408" spans="1:4" x14ac:dyDescent="0.25">
      <c r="A408">
        <v>1400</v>
      </c>
      <c r="B408">
        <v>3800</v>
      </c>
      <c r="C408">
        <v>9600</v>
      </c>
      <c r="D408">
        <v>14500</v>
      </c>
    </row>
    <row r="409" spans="1:4" x14ac:dyDescent="0.25">
      <c r="A409">
        <v>1400</v>
      </c>
      <c r="B409">
        <v>2600</v>
      </c>
      <c r="C409">
        <v>9000</v>
      </c>
      <c r="D409">
        <v>10500</v>
      </c>
    </row>
    <row r="410" spans="1:4" x14ac:dyDescent="0.25">
      <c r="A410">
        <v>900</v>
      </c>
      <c r="B410">
        <v>1600</v>
      </c>
      <c r="C410">
        <v>5400</v>
      </c>
      <c r="D410">
        <v>8500</v>
      </c>
    </row>
    <row r="411" spans="1:4" x14ac:dyDescent="0.25">
      <c r="A411">
        <v>1200</v>
      </c>
      <c r="B411">
        <v>4600</v>
      </c>
      <c r="C411">
        <v>8400</v>
      </c>
      <c r="D411">
        <v>16000</v>
      </c>
    </row>
    <row r="412" spans="1:4" x14ac:dyDescent="0.25">
      <c r="A412">
        <v>800</v>
      </c>
      <c r="B412">
        <v>2000</v>
      </c>
      <c r="C412">
        <v>5100</v>
      </c>
      <c r="D412">
        <v>7500</v>
      </c>
    </row>
    <row r="413" spans="1:4" x14ac:dyDescent="0.25">
      <c r="A413">
        <v>1300</v>
      </c>
      <c r="B413">
        <v>3800</v>
      </c>
      <c r="C413">
        <v>9300</v>
      </c>
      <c r="D413">
        <v>14500</v>
      </c>
    </row>
    <row r="414" spans="1:4" x14ac:dyDescent="0.25">
      <c r="A414">
        <v>800</v>
      </c>
      <c r="B414">
        <v>2400</v>
      </c>
      <c r="C414">
        <v>5400</v>
      </c>
      <c r="D414">
        <v>8500</v>
      </c>
    </row>
    <row r="415" spans="1:4" x14ac:dyDescent="0.25">
      <c r="A415">
        <v>700</v>
      </c>
      <c r="B415">
        <v>2000</v>
      </c>
      <c r="C415">
        <v>5400</v>
      </c>
      <c r="D415">
        <v>7000</v>
      </c>
    </row>
    <row r="416" spans="1:4" x14ac:dyDescent="0.25">
      <c r="A416">
        <v>900</v>
      </c>
      <c r="B416">
        <v>3000</v>
      </c>
      <c r="C416">
        <v>7800</v>
      </c>
      <c r="D416">
        <v>12000</v>
      </c>
    </row>
    <row r="417" spans="1:4" x14ac:dyDescent="0.25">
      <c r="A417">
        <v>1100</v>
      </c>
      <c r="B417">
        <v>3600</v>
      </c>
      <c r="C417">
        <v>7500</v>
      </c>
      <c r="D417">
        <v>12000</v>
      </c>
    </row>
    <row r="418" spans="1:4" x14ac:dyDescent="0.25">
      <c r="A418">
        <v>1500</v>
      </c>
      <c r="B418">
        <v>3400</v>
      </c>
      <c r="C418">
        <v>6900</v>
      </c>
      <c r="D418">
        <v>13000</v>
      </c>
    </row>
    <row r="419" spans="1:4" x14ac:dyDescent="0.25">
      <c r="A419">
        <v>900</v>
      </c>
      <c r="B419">
        <v>2800</v>
      </c>
      <c r="C419">
        <v>9000</v>
      </c>
      <c r="D419">
        <v>12000</v>
      </c>
    </row>
    <row r="420" spans="1:4" x14ac:dyDescent="0.25">
      <c r="A420">
        <v>1300</v>
      </c>
      <c r="B420">
        <v>4400</v>
      </c>
      <c r="C420">
        <v>8700</v>
      </c>
      <c r="D420">
        <v>17500</v>
      </c>
    </row>
    <row r="421" spans="1:4" x14ac:dyDescent="0.25">
      <c r="A421">
        <v>700</v>
      </c>
      <c r="B421">
        <v>1400</v>
      </c>
      <c r="C421">
        <v>3300</v>
      </c>
      <c r="D421">
        <v>6500</v>
      </c>
    </row>
    <row r="422" spans="1:4" x14ac:dyDescent="0.25">
      <c r="A422">
        <v>600</v>
      </c>
      <c r="B422">
        <v>1200</v>
      </c>
      <c r="C422">
        <v>3900</v>
      </c>
      <c r="D422">
        <v>6000</v>
      </c>
    </row>
    <row r="423" spans="1:4" x14ac:dyDescent="0.25">
      <c r="A423">
        <v>2200</v>
      </c>
      <c r="B423">
        <v>6000</v>
      </c>
      <c r="C423">
        <v>13500</v>
      </c>
      <c r="D423">
        <v>20000</v>
      </c>
    </row>
    <row r="424" spans="1:4" x14ac:dyDescent="0.25">
      <c r="A424">
        <v>1400</v>
      </c>
      <c r="B424">
        <v>2600</v>
      </c>
      <c r="C424">
        <v>6900</v>
      </c>
      <c r="D424">
        <v>12000</v>
      </c>
    </row>
    <row r="425" spans="1:4" x14ac:dyDescent="0.25">
      <c r="A425">
        <v>2500</v>
      </c>
      <c r="B425">
        <v>6800</v>
      </c>
      <c r="C425">
        <v>14700</v>
      </c>
      <c r="D425">
        <v>20500</v>
      </c>
    </row>
    <row r="426" spans="1:4" x14ac:dyDescent="0.25">
      <c r="A426">
        <v>1000</v>
      </c>
      <c r="B426">
        <v>3800</v>
      </c>
      <c r="C426">
        <v>6600</v>
      </c>
      <c r="D426">
        <v>10500</v>
      </c>
    </row>
    <row r="427" spans="1:4" x14ac:dyDescent="0.25">
      <c r="A427">
        <v>1900</v>
      </c>
      <c r="B427">
        <v>5000</v>
      </c>
      <c r="C427">
        <v>8100</v>
      </c>
      <c r="D427">
        <v>13000</v>
      </c>
    </row>
    <row r="428" spans="1:4" x14ac:dyDescent="0.25">
      <c r="A428">
        <v>1100</v>
      </c>
      <c r="B428">
        <v>3800</v>
      </c>
      <c r="C428">
        <v>6300</v>
      </c>
      <c r="D428">
        <v>12500</v>
      </c>
    </row>
    <row r="429" spans="1:4" x14ac:dyDescent="0.25">
      <c r="A429">
        <v>1200</v>
      </c>
      <c r="B429">
        <v>3800</v>
      </c>
      <c r="C429">
        <v>7800</v>
      </c>
      <c r="D429">
        <v>12500</v>
      </c>
    </row>
    <row r="430" spans="1:4" x14ac:dyDescent="0.25">
      <c r="A430">
        <v>1200</v>
      </c>
      <c r="B430">
        <v>2800</v>
      </c>
      <c r="C430">
        <v>7500</v>
      </c>
      <c r="D430">
        <v>10500</v>
      </c>
    </row>
    <row r="431" spans="1:4" x14ac:dyDescent="0.25">
      <c r="A431">
        <v>1500</v>
      </c>
      <c r="B431">
        <v>2800</v>
      </c>
      <c r="C431">
        <v>6000</v>
      </c>
      <c r="D431">
        <v>10000</v>
      </c>
    </row>
    <row r="432" spans="1:4" x14ac:dyDescent="0.25">
      <c r="A432">
        <v>1400</v>
      </c>
      <c r="B432">
        <v>4800</v>
      </c>
      <c r="C432">
        <v>7200</v>
      </c>
      <c r="D432">
        <v>12000</v>
      </c>
    </row>
    <row r="433" spans="1:4" x14ac:dyDescent="0.25">
      <c r="A433">
        <v>1000</v>
      </c>
      <c r="B433">
        <v>4400</v>
      </c>
      <c r="C433">
        <v>8700</v>
      </c>
      <c r="D433">
        <v>18000</v>
      </c>
    </row>
    <row r="434" spans="1:4" x14ac:dyDescent="0.25">
      <c r="A434">
        <v>1400</v>
      </c>
      <c r="B434">
        <v>3600</v>
      </c>
      <c r="C434">
        <v>8700</v>
      </c>
      <c r="D434">
        <v>14500</v>
      </c>
    </row>
    <row r="435" spans="1:4" x14ac:dyDescent="0.25">
      <c r="A435">
        <v>900</v>
      </c>
      <c r="B435">
        <v>1800</v>
      </c>
      <c r="C435">
        <v>5100</v>
      </c>
      <c r="D435">
        <v>9500</v>
      </c>
    </row>
    <row r="436" spans="1:4" x14ac:dyDescent="0.25">
      <c r="A436">
        <v>700</v>
      </c>
      <c r="B436">
        <v>1800</v>
      </c>
      <c r="C436">
        <v>4200</v>
      </c>
      <c r="D436">
        <v>6000</v>
      </c>
    </row>
    <row r="437" spans="1:4" x14ac:dyDescent="0.25">
      <c r="A437">
        <v>1500</v>
      </c>
      <c r="B437">
        <v>3600</v>
      </c>
      <c r="C437">
        <v>6600</v>
      </c>
      <c r="D437">
        <v>11500</v>
      </c>
    </row>
    <row r="438" spans="1:4" x14ac:dyDescent="0.25">
      <c r="A438">
        <v>300</v>
      </c>
      <c r="B438">
        <v>1400</v>
      </c>
      <c r="C438">
        <v>4500</v>
      </c>
      <c r="D438">
        <v>6000</v>
      </c>
    </row>
    <row r="439" spans="1:4" x14ac:dyDescent="0.25">
      <c r="A439">
        <v>1200</v>
      </c>
      <c r="B439">
        <v>5000</v>
      </c>
      <c r="C439">
        <v>7200</v>
      </c>
      <c r="D439">
        <v>14000</v>
      </c>
    </row>
    <row r="440" spans="1:4" x14ac:dyDescent="0.25">
      <c r="A440">
        <v>400</v>
      </c>
      <c r="B440">
        <v>1000</v>
      </c>
      <c r="C440">
        <v>3300</v>
      </c>
      <c r="D440">
        <v>5500</v>
      </c>
    </row>
    <row r="441" spans="1:4" x14ac:dyDescent="0.25">
      <c r="A441">
        <v>500</v>
      </c>
      <c r="B441">
        <v>1600</v>
      </c>
      <c r="C441">
        <v>3900</v>
      </c>
      <c r="D441">
        <v>7000</v>
      </c>
    </row>
    <row r="442" spans="1:4" x14ac:dyDescent="0.25">
      <c r="A442">
        <v>1100</v>
      </c>
      <c r="B442">
        <v>3000</v>
      </c>
      <c r="C442">
        <v>9600</v>
      </c>
      <c r="D442">
        <v>14500</v>
      </c>
    </row>
    <row r="443" spans="1:4" x14ac:dyDescent="0.25">
      <c r="A443">
        <v>2000</v>
      </c>
      <c r="B443">
        <v>4800</v>
      </c>
      <c r="C443">
        <v>9000</v>
      </c>
      <c r="D443">
        <v>15500</v>
      </c>
    </row>
    <row r="444" spans="1:4" x14ac:dyDescent="0.25">
      <c r="A444">
        <v>1600</v>
      </c>
      <c r="B444">
        <v>5400</v>
      </c>
      <c r="C444">
        <v>9600</v>
      </c>
      <c r="D444">
        <v>17000</v>
      </c>
    </row>
    <row r="445" spans="1:4" x14ac:dyDescent="0.25">
      <c r="A445">
        <v>400</v>
      </c>
      <c r="B445">
        <v>1200</v>
      </c>
      <c r="C445">
        <v>3900</v>
      </c>
      <c r="D445">
        <v>5000</v>
      </c>
    </row>
    <row r="446" spans="1:4" x14ac:dyDescent="0.25">
      <c r="A446">
        <v>1000</v>
      </c>
      <c r="B446">
        <v>2000</v>
      </c>
      <c r="C446">
        <v>4200</v>
      </c>
      <c r="D446">
        <v>8000</v>
      </c>
    </row>
    <row r="447" spans="1:4" x14ac:dyDescent="0.25">
      <c r="A447">
        <v>1500</v>
      </c>
      <c r="B447">
        <v>5400</v>
      </c>
      <c r="C447">
        <v>8700</v>
      </c>
      <c r="D447">
        <v>16500</v>
      </c>
    </row>
    <row r="448" spans="1:4" x14ac:dyDescent="0.25">
      <c r="A448">
        <v>1000</v>
      </c>
      <c r="B448">
        <v>3800</v>
      </c>
      <c r="C448">
        <v>7200</v>
      </c>
      <c r="D448">
        <v>13000</v>
      </c>
    </row>
    <row r="449" spans="1:4" x14ac:dyDescent="0.25">
      <c r="A449">
        <v>1000</v>
      </c>
      <c r="B449">
        <v>3800</v>
      </c>
      <c r="C449">
        <v>9900</v>
      </c>
      <c r="D449">
        <v>17000</v>
      </c>
    </row>
    <row r="450" spans="1:4" x14ac:dyDescent="0.25">
      <c r="A450">
        <v>1900</v>
      </c>
      <c r="B450">
        <v>5400</v>
      </c>
      <c r="C450">
        <v>9900</v>
      </c>
      <c r="D450">
        <v>13500</v>
      </c>
    </row>
    <row r="451" spans="1:4" x14ac:dyDescent="0.25">
      <c r="A451">
        <v>600</v>
      </c>
      <c r="B451">
        <v>2400</v>
      </c>
      <c r="C451">
        <v>5400</v>
      </c>
      <c r="D451">
        <v>9000</v>
      </c>
    </row>
    <row r="452" spans="1:4" x14ac:dyDescent="0.25">
      <c r="A452">
        <v>500</v>
      </c>
      <c r="B452">
        <v>2400</v>
      </c>
      <c r="C452">
        <v>4500</v>
      </c>
      <c r="D452">
        <v>9500</v>
      </c>
    </row>
    <row r="453" spans="1:4" x14ac:dyDescent="0.25">
      <c r="A453">
        <v>900</v>
      </c>
      <c r="B453">
        <v>2400</v>
      </c>
      <c r="C453">
        <v>4800</v>
      </c>
      <c r="D453">
        <v>7000</v>
      </c>
    </row>
    <row r="454" spans="1:4" x14ac:dyDescent="0.25">
      <c r="A454">
        <v>1500</v>
      </c>
      <c r="B454">
        <v>3000</v>
      </c>
      <c r="C454">
        <v>6600</v>
      </c>
      <c r="D454">
        <v>12500</v>
      </c>
    </row>
    <row r="455" spans="1:4" x14ac:dyDescent="0.25">
      <c r="A455">
        <v>800</v>
      </c>
      <c r="B455">
        <v>2800</v>
      </c>
      <c r="C455">
        <v>6300</v>
      </c>
      <c r="D455">
        <v>12500</v>
      </c>
    </row>
    <row r="456" spans="1:4" x14ac:dyDescent="0.25">
      <c r="A456">
        <v>900</v>
      </c>
      <c r="B456">
        <v>2000</v>
      </c>
      <c r="C456">
        <v>6000</v>
      </c>
      <c r="D456">
        <v>9500</v>
      </c>
    </row>
    <row r="457" spans="1:4" x14ac:dyDescent="0.25">
      <c r="A457">
        <v>1600</v>
      </c>
      <c r="B457">
        <v>4000</v>
      </c>
      <c r="C457">
        <v>10500</v>
      </c>
      <c r="D457">
        <v>16000</v>
      </c>
    </row>
    <row r="458" spans="1:4" x14ac:dyDescent="0.25">
      <c r="A458">
        <v>1900</v>
      </c>
      <c r="B458">
        <v>4600</v>
      </c>
      <c r="C458">
        <v>8700</v>
      </c>
      <c r="D458">
        <v>13500</v>
      </c>
    </row>
    <row r="459" spans="1:4" x14ac:dyDescent="0.25">
      <c r="A459">
        <v>1300</v>
      </c>
      <c r="B459">
        <v>3800</v>
      </c>
      <c r="C459">
        <v>6900</v>
      </c>
      <c r="D459">
        <v>11000</v>
      </c>
    </row>
    <row r="460" spans="1:4" x14ac:dyDescent="0.25">
      <c r="A460">
        <v>1400</v>
      </c>
      <c r="B460">
        <v>5200</v>
      </c>
      <c r="C460">
        <v>9300</v>
      </c>
      <c r="D460">
        <v>13500</v>
      </c>
    </row>
    <row r="461" spans="1:4" x14ac:dyDescent="0.25">
      <c r="A461">
        <v>900</v>
      </c>
      <c r="B461">
        <v>3000</v>
      </c>
      <c r="C461">
        <v>6900</v>
      </c>
      <c r="D461">
        <v>10000</v>
      </c>
    </row>
    <row r="462" spans="1:4" x14ac:dyDescent="0.25">
      <c r="A462">
        <v>800</v>
      </c>
      <c r="B462">
        <v>2000</v>
      </c>
      <c r="C462">
        <v>5100</v>
      </c>
      <c r="D462">
        <v>8000</v>
      </c>
    </row>
    <row r="463" spans="1:4" x14ac:dyDescent="0.25">
      <c r="A463">
        <v>600</v>
      </c>
      <c r="B463">
        <v>1200</v>
      </c>
      <c r="C463">
        <v>3300</v>
      </c>
      <c r="D463">
        <v>7000</v>
      </c>
    </row>
    <row r="464" spans="1:4" x14ac:dyDescent="0.25">
      <c r="A464">
        <v>700</v>
      </c>
      <c r="B464">
        <v>2000</v>
      </c>
      <c r="C464">
        <v>5700</v>
      </c>
      <c r="D464">
        <v>8000</v>
      </c>
    </row>
    <row r="465" spans="1:4" x14ac:dyDescent="0.25">
      <c r="A465">
        <v>1500</v>
      </c>
      <c r="B465">
        <v>3400</v>
      </c>
      <c r="C465">
        <v>9900</v>
      </c>
      <c r="D465">
        <v>14000</v>
      </c>
    </row>
    <row r="466" spans="1:4" x14ac:dyDescent="0.25">
      <c r="A466">
        <v>1600</v>
      </c>
      <c r="B466">
        <v>5200</v>
      </c>
      <c r="C466">
        <v>9600</v>
      </c>
      <c r="D466">
        <v>15500</v>
      </c>
    </row>
    <row r="467" spans="1:4" x14ac:dyDescent="0.25">
      <c r="A467">
        <v>2100</v>
      </c>
      <c r="B467">
        <v>6200</v>
      </c>
      <c r="C467">
        <v>14700</v>
      </c>
      <c r="D467">
        <v>24000</v>
      </c>
    </row>
    <row r="468" spans="1:4" x14ac:dyDescent="0.25">
      <c r="A468">
        <v>1000</v>
      </c>
      <c r="B468">
        <v>2400</v>
      </c>
      <c r="C468">
        <v>4500</v>
      </c>
      <c r="D468">
        <v>8500</v>
      </c>
    </row>
    <row r="469" spans="1:4" x14ac:dyDescent="0.25">
      <c r="A469">
        <v>1700</v>
      </c>
      <c r="B469">
        <v>4000</v>
      </c>
      <c r="C469">
        <v>10500</v>
      </c>
      <c r="D469">
        <v>15000</v>
      </c>
    </row>
    <row r="470" spans="1:4" x14ac:dyDescent="0.25">
      <c r="A470">
        <v>1000</v>
      </c>
      <c r="B470">
        <v>2200</v>
      </c>
      <c r="C470">
        <v>5700</v>
      </c>
      <c r="D470">
        <v>9000</v>
      </c>
    </row>
    <row r="471" spans="1:4" x14ac:dyDescent="0.25">
      <c r="A471">
        <v>700</v>
      </c>
      <c r="B471">
        <v>1000</v>
      </c>
      <c r="C471">
        <v>3900</v>
      </c>
      <c r="D471">
        <v>5000</v>
      </c>
    </row>
    <row r="472" spans="1:4" x14ac:dyDescent="0.25">
      <c r="A472">
        <v>1900</v>
      </c>
      <c r="B472">
        <v>5000</v>
      </c>
      <c r="C472">
        <v>9300</v>
      </c>
      <c r="D472">
        <v>16000</v>
      </c>
    </row>
    <row r="473" spans="1:4" x14ac:dyDescent="0.25">
      <c r="A473">
        <v>1600</v>
      </c>
      <c r="B473">
        <v>4200</v>
      </c>
      <c r="C473">
        <v>10200</v>
      </c>
      <c r="D473">
        <v>17000</v>
      </c>
    </row>
    <row r="474" spans="1:4" x14ac:dyDescent="0.25">
      <c r="A474">
        <v>1000</v>
      </c>
      <c r="B474">
        <v>4600</v>
      </c>
      <c r="C474">
        <v>10800</v>
      </c>
      <c r="D474">
        <v>13500</v>
      </c>
    </row>
    <row r="475" spans="1:4" x14ac:dyDescent="0.25">
      <c r="A475">
        <v>400</v>
      </c>
      <c r="B475">
        <v>1400</v>
      </c>
      <c r="C475">
        <v>3300</v>
      </c>
      <c r="D475">
        <v>6000</v>
      </c>
    </row>
    <row r="476" spans="1:4" x14ac:dyDescent="0.25">
      <c r="A476">
        <v>1400</v>
      </c>
      <c r="B476">
        <v>4600</v>
      </c>
      <c r="C476">
        <v>9300</v>
      </c>
      <c r="D476">
        <v>17500</v>
      </c>
    </row>
    <row r="477" spans="1:4" x14ac:dyDescent="0.25">
      <c r="A477">
        <v>1300</v>
      </c>
      <c r="B477">
        <v>2600</v>
      </c>
      <c r="C477">
        <v>6300</v>
      </c>
      <c r="D477">
        <v>11000</v>
      </c>
    </row>
    <row r="478" spans="1:4" x14ac:dyDescent="0.25">
      <c r="A478">
        <v>1500</v>
      </c>
      <c r="B478">
        <v>4000</v>
      </c>
      <c r="C478">
        <v>7800</v>
      </c>
      <c r="D478">
        <v>10500</v>
      </c>
    </row>
    <row r="479" spans="1:4" x14ac:dyDescent="0.25">
      <c r="A479">
        <v>1400</v>
      </c>
      <c r="B479">
        <v>3400</v>
      </c>
      <c r="C479">
        <v>7800</v>
      </c>
      <c r="D479">
        <v>12000</v>
      </c>
    </row>
    <row r="480" spans="1:4" x14ac:dyDescent="0.25">
      <c r="A480">
        <v>600</v>
      </c>
      <c r="B480">
        <v>1600</v>
      </c>
      <c r="C480">
        <v>4200</v>
      </c>
      <c r="D480">
        <v>7500</v>
      </c>
    </row>
    <row r="481" spans="1:4" x14ac:dyDescent="0.25">
      <c r="A481">
        <v>900</v>
      </c>
      <c r="B481">
        <v>2000</v>
      </c>
      <c r="C481">
        <v>5700</v>
      </c>
      <c r="D481">
        <v>10000</v>
      </c>
    </row>
    <row r="482" spans="1:4" x14ac:dyDescent="0.25">
      <c r="A482">
        <v>1100</v>
      </c>
      <c r="B482">
        <v>3200</v>
      </c>
      <c r="C482">
        <v>7800</v>
      </c>
      <c r="D482">
        <v>13000</v>
      </c>
    </row>
    <row r="483" spans="1:4" x14ac:dyDescent="0.25">
      <c r="A483">
        <v>600</v>
      </c>
      <c r="B483">
        <v>1800</v>
      </c>
      <c r="C483">
        <v>3300</v>
      </c>
      <c r="D483">
        <v>5500</v>
      </c>
    </row>
    <row r="484" spans="1:4" x14ac:dyDescent="0.25">
      <c r="A484">
        <v>1300</v>
      </c>
      <c r="B484">
        <v>4600</v>
      </c>
      <c r="C484">
        <v>10200</v>
      </c>
      <c r="D484">
        <v>17500</v>
      </c>
    </row>
    <row r="485" spans="1:4" x14ac:dyDescent="0.25">
      <c r="A485">
        <v>600</v>
      </c>
      <c r="B485">
        <v>1800</v>
      </c>
      <c r="C485">
        <v>5700</v>
      </c>
      <c r="D485">
        <v>7500</v>
      </c>
    </row>
    <row r="486" spans="1:4" x14ac:dyDescent="0.25">
      <c r="A486">
        <v>1100</v>
      </c>
      <c r="B486">
        <v>3400</v>
      </c>
      <c r="C486">
        <v>6600</v>
      </c>
      <c r="D486">
        <v>11500</v>
      </c>
    </row>
    <row r="487" spans="1:4" x14ac:dyDescent="0.25">
      <c r="A487">
        <v>900</v>
      </c>
      <c r="B487">
        <v>1600</v>
      </c>
      <c r="C487">
        <v>6000</v>
      </c>
      <c r="D487">
        <v>10000</v>
      </c>
    </row>
    <row r="488" spans="1:4" x14ac:dyDescent="0.25">
      <c r="A488">
        <v>900</v>
      </c>
      <c r="B488">
        <v>3000</v>
      </c>
      <c r="C488">
        <v>6900</v>
      </c>
      <c r="D488">
        <v>12500</v>
      </c>
    </row>
    <row r="489" spans="1:4" x14ac:dyDescent="0.25">
      <c r="A489">
        <v>1100</v>
      </c>
      <c r="B489">
        <v>3200</v>
      </c>
      <c r="C489">
        <v>6000</v>
      </c>
      <c r="D489">
        <v>11000</v>
      </c>
    </row>
    <row r="490" spans="1:4" x14ac:dyDescent="0.25">
      <c r="A490">
        <v>1700</v>
      </c>
      <c r="B490">
        <v>4400</v>
      </c>
      <c r="C490">
        <v>9000</v>
      </c>
      <c r="D490">
        <v>14000</v>
      </c>
    </row>
    <row r="491" spans="1:4" x14ac:dyDescent="0.25">
      <c r="A491">
        <v>1000</v>
      </c>
      <c r="B491">
        <v>2200</v>
      </c>
      <c r="C491">
        <v>4200</v>
      </c>
      <c r="D491">
        <v>8000</v>
      </c>
    </row>
    <row r="492" spans="1:4" x14ac:dyDescent="0.25">
      <c r="A492">
        <v>1800</v>
      </c>
      <c r="B492">
        <v>4800</v>
      </c>
      <c r="C492">
        <v>8700</v>
      </c>
      <c r="D492">
        <v>17000</v>
      </c>
    </row>
    <row r="493" spans="1:4" x14ac:dyDescent="0.25">
      <c r="A493">
        <v>1000</v>
      </c>
      <c r="B493">
        <v>3800</v>
      </c>
      <c r="C493">
        <v>10200</v>
      </c>
      <c r="D493">
        <v>14000</v>
      </c>
    </row>
    <row r="494" spans="1:4" x14ac:dyDescent="0.25">
      <c r="A494">
        <v>1300</v>
      </c>
      <c r="B494">
        <v>3000</v>
      </c>
      <c r="C494">
        <v>8700</v>
      </c>
      <c r="D494">
        <v>12000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E81B-EA32-46C3-87FA-45FDAA2C667C}">
  <dimension ref="A1:M365"/>
  <sheetViews>
    <sheetView zoomScale="58" workbookViewId="0">
      <selection activeCell="N40" sqref="N40"/>
    </sheetView>
  </sheetViews>
  <sheetFormatPr defaultRowHeight="15" x14ac:dyDescent="0.25"/>
  <cols>
    <col min="1" max="1" width="12.28515625" bestFit="1" customWidth="1"/>
    <col min="2" max="2" width="9" bestFit="1" customWidth="1"/>
    <col min="3" max="3" width="8" bestFit="1" customWidth="1"/>
    <col min="4" max="4" width="11.28515625" bestFit="1" customWidth="1"/>
    <col min="6" max="6" width="13.42578125" bestFit="1" customWidth="1"/>
    <col min="10" max="10" width="11.42578125" bestFit="1" customWidth="1"/>
    <col min="12" max="12" width="10.28515625" style="34" bestFit="1" customWidth="1"/>
    <col min="13" max="13" width="10.7109375" style="34" bestFit="1" customWidth="1"/>
  </cols>
  <sheetData>
    <row r="1" spans="1:13" x14ac:dyDescent="0.25">
      <c r="A1" s="1" t="s">
        <v>85</v>
      </c>
      <c r="B1" s="1" t="s">
        <v>84</v>
      </c>
      <c r="C1" s="1" t="s">
        <v>82</v>
      </c>
      <c r="D1" s="1" t="s">
        <v>83</v>
      </c>
      <c r="F1" s="33" t="s">
        <v>93</v>
      </c>
      <c r="G1">
        <f>MIN(A:D)</f>
        <v>300</v>
      </c>
      <c r="I1" t="s">
        <v>97</v>
      </c>
      <c r="J1" s="1" t="s">
        <v>85</v>
      </c>
      <c r="K1" s="1" t="s">
        <v>84</v>
      </c>
      <c r="L1" s="35" t="s">
        <v>82</v>
      </c>
      <c r="M1" s="35" t="s">
        <v>83</v>
      </c>
    </row>
    <row r="2" spans="1:13" x14ac:dyDescent="0.25">
      <c r="A2">
        <v>600</v>
      </c>
      <c r="B2">
        <v>800</v>
      </c>
      <c r="C2">
        <v>2400</v>
      </c>
      <c r="D2">
        <v>3500</v>
      </c>
      <c r="F2" t="s">
        <v>94</v>
      </c>
      <c r="G2">
        <f>MAX(A:D)</f>
        <v>24500</v>
      </c>
      <c r="I2">
        <v>300</v>
      </c>
      <c r="J2" s="34">
        <f>COUNTIF(A:A,"&gt;="&amp;$I2)/$G$7</f>
        <v>1</v>
      </c>
      <c r="K2" s="34">
        <f>COUNTIF(B:B,"&gt;="&amp;$I2)/$G$7</f>
        <v>1</v>
      </c>
      <c r="L2" s="34">
        <f>COUNTIF(C:C,"&lt;="&amp;$I2)/$G$7</f>
        <v>0</v>
      </c>
      <c r="M2" s="34">
        <f>COUNTIF(D:D,"&lt;="&amp;$I2)/$G$7</f>
        <v>0</v>
      </c>
    </row>
    <row r="3" spans="1:13" x14ac:dyDescent="0.25">
      <c r="A3">
        <v>700</v>
      </c>
      <c r="B3">
        <v>2400</v>
      </c>
      <c r="C3">
        <v>4200</v>
      </c>
      <c r="D3">
        <v>6000</v>
      </c>
      <c r="F3" t="s">
        <v>95</v>
      </c>
      <c r="G3">
        <f>AVERAGE(A:D)</f>
        <v>4706.5934065934061</v>
      </c>
      <c r="I3">
        <v>400</v>
      </c>
      <c r="J3" s="34">
        <f t="shared" ref="J3:K66" si="0">COUNTIF(A:A,"&gt;="&amp;$I3)/$G$7</f>
        <v>0.97802197802197799</v>
      </c>
      <c r="K3" s="34">
        <f t="shared" si="0"/>
        <v>1</v>
      </c>
      <c r="L3" s="34">
        <f t="shared" ref="L3:M66" si="1">COUNTIF(C:C,"&lt;="&amp;$I3)/$G$7</f>
        <v>0</v>
      </c>
      <c r="M3" s="34">
        <f t="shared" si="1"/>
        <v>0</v>
      </c>
    </row>
    <row r="4" spans="1:13" x14ac:dyDescent="0.25">
      <c r="A4">
        <v>800</v>
      </c>
      <c r="B4">
        <v>2200</v>
      </c>
      <c r="C4">
        <v>4800</v>
      </c>
      <c r="D4">
        <v>7500</v>
      </c>
      <c r="F4" t="s">
        <v>96</v>
      </c>
      <c r="G4">
        <f>MEDIAN(A:D)</f>
        <v>3400</v>
      </c>
      <c r="I4">
        <v>500</v>
      </c>
      <c r="J4" s="34">
        <f t="shared" si="0"/>
        <v>0.88461538461538458</v>
      </c>
      <c r="K4" s="34">
        <f t="shared" si="0"/>
        <v>1</v>
      </c>
      <c r="L4" s="34">
        <f t="shared" si="1"/>
        <v>0</v>
      </c>
      <c r="M4" s="34">
        <f t="shared" si="1"/>
        <v>0</v>
      </c>
    </row>
    <row r="5" spans="1:13" x14ac:dyDescent="0.25">
      <c r="A5">
        <v>2000</v>
      </c>
      <c r="B5">
        <v>6000</v>
      </c>
      <c r="C5">
        <v>14100</v>
      </c>
      <c r="D5">
        <v>24500</v>
      </c>
      <c r="I5">
        <v>600</v>
      </c>
      <c r="J5" s="34">
        <f t="shared" si="0"/>
        <v>0.79395604395604391</v>
      </c>
      <c r="K5" s="34">
        <f t="shared" si="0"/>
        <v>1</v>
      </c>
      <c r="L5" s="34">
        <f t="shared" si="1"/>
        <v>0</v>
      </c>
      <c r="M5" s="34">
        <f t="shared" si="1"/>
        <v>0</v>
      </c>
    </row>
    <row r="6" spans="1:13" x14ac:dyDescent="0.25">
      <c r="A6">
        <v>1400</v>
      </c>
      <c r="B6">
        <v>3800</v>
      </c>
      <c r="C6">
        <v>6900</v>
      </c>
      <c r="D6">
        <v>11500</v>
      </c>
      <c r="I6">
        <v>700</v>
      </c>
      <c r="J6" s="34">
        <f t="shared" si="0"/>
        <v>0.65934065934065933</v>
      </c>
      <c r="K6" s="34">
        <f t="shared" si="0"/>
        <v>1</v>
      </c>
      <c r="L6" s="34">
        <f t="shared" si="1"/>
        <v>0</v>
      </c>
      <c r="M6" s="34">
        <f t="shared" si="1"/>
        <v>0</v>
      </c>
    </row>
    <row r="7" spans="1:13" x14ac:dyDescent="0.25">
      <c r="A7">
        <v>600</v>
      </c>
      <c r="B7">
        <v>1400</v>
      </c>
      <c r="C7">
        <v>3000</v>
      </c>
      <c r="D7">
        <v>5000</v>
      </c>
      <c r="F7" t="s">
        <v>98</v>
      </c>
      <c r="G7">
        <f>COUNT(A:A)</f>
        <v>364</v>
      </c>
      <c r="I7">
        <v>800</v>
      </c>
      <c r="J7" s="34">
        <f t="shared" si="0"/>
        <v>0.59065934065934067</v>
      </c>
      <c r="K7" s="34">
        <f t="shared" si="0"/>
        <v>1</v>
      </c>
      <c r="L7" s="34">
        <f t="shared" si="1"/>
        <v>0</v>
      </c>
      <c r="M7" s="34">
        <f t="shared" si="1"/>
        <v>0</v>
      </c>
    </row>
    <row r="8" spans="1:13" x14ac:dyDescent="0.25">
      <c r="A8">
        <v>1400</v>
      </c>
      <c r="B8">
        <v>3800</v>
      </c>
      <c r="C8">
        <v>6900</v>
      </c>
      <c r="D8">
        <v>13000</v>
      </c>
      <c r="I8">
        <v>900</v>
      </c>
      <c r="J8" s="34">
        <f t="shared" si="0"/>
        <v>0.49175824175824173</v>
      </c>
      <c r="K8" s="34">
        <f t="shared" si="0"/>
        <v>0.96703296703296704</v>
      </c>
      <c r="L8" s="34">
        <f t="shared" si="1"/>
        <v>0</v>
      </c>
      <c r="M8" s="34">
        <f t="shared" si="1"/>
        <v>0</v>
      </c>
    </row>
    <row r="9" spans="1:13" x14ac:dyDescent="0.25">
      <c r="A9">
        <v>1400</v>
      </c>
      <c r="B9">
        <v>3600</v>
      </c>
      <c r="C9">
        <v>7200</v>
      </c>
      <c r="D9">
        <v>12500</v>
      </c>
      <c r="I9">
        <v>1000</v>
      </c>
      <c r="J9" s="34">
        <f t="shared" si="0"/>
        <v>0.34340659340659341</v>
      </c>
      <c r="K9" s="34">
        <f t="shared" si="0"/>
        <v>0.96703296703296704</v>
      </c>
      <c r="L9" s="34">
        <f t="shared" si="1"/>
        <v>0</v>
      </c>
      <c r="M9" s="34">
        <f t="shared" si="1"/>
        <v>0</v>
      </c>
    </row>
    <row r="10" spans="1:13" x14ac:dyDescent="0.25">
      <c r="A10">
        <v>800</v>
      </c>
      <c r="B10">
        <v>1800</v>
      </c>
      <c r="C10">
        <v>4800</v>
      </c>
      <c r="D10">
        <v>6500</v>
      </c>
      <c r="I10">
        <v>1100</v>
      </c>
      <c r="J10" s="34">
        <f t="shared" si="0"/>
        <v>0.27197802197802196</v>
      </c>
      <c r="K10" s="34">
        <f t="shared" si="0"/>
        <v>0.90934065934065933</v>
      </c>
      <c r="L10" s="34">
        <f t="shared" si="1"/>
        <v>0</v>
      </c>
      <c r="M10" s="34">
        <f t="shared" si="1"/>
        <v>0</v>
      </c>
    </row>
    <row r="11" spans="1:13" x14ac:dyDescent="0.25">
      <c r="A11">
        <v>500</v>
      </c>
      <c r="B11">
        <v>2000</v>
      </c>
      <c r="C11">
        <v>3900</v>
      </c>
      <c r="D11">
        <v>7500</v>
      </c>
      <c r="I11">
        <v>1200</v>
      </c>
      <c r="J11" s="34">
        <f t="shared" si="0"/>
        <v>0.2445054945054945</v>
      </c>
      <c r="K11" s="34">
        <f t="shared" si="0"/>
        <v>0.90934065934065933</v>
      </c>
      <c r="L11" s="34">
        <f t="shared" si="1"/>
        <v>0</v>
      </c>
      <c r="M11" s="34">
        <f t="shared" si="1"/>
        <v>0</v>
      </c>
    </row>
    <row r="12" spans="1:13" x14ac:dyDescent="0.25">
      <c r="A12">
        <v>2500</v>
      </c>
      <c r="B12">
        <v>6600</v>
      </c>
      <c r="C12">
        <v>13200</v>
      </c>
      <c r="D12">
        <v>22000</v>
      </c>
      <c r="I12">
        <v>1300</v>
      </c>
      <c r="J12" s="34">
        <f t="shared" si="0"/>
        <v>0.21978021978021978</v>
      </c>
      <c r="K12" s="34">
        <f t="shared" si="0"/>
        <v>0.85439560439560436</v>
      </c>
      <c r="L12" s="34">
        <f t="shared" si="1"/>
        <v>0</v>
      </c>
      <c r="M12" s="34">
        <f t="shared" si="1"/>
        <v>0</v>
      </c>
    </row>
    <row r="13" spans="1:13" x14ac:dyDescent="0.25">
      <c r="A13">
        <v>900</v>
      </c>
      <c r="B13">
        <v>2000</v>
      </c>
      <c r="C13">
        <v>3900</v>
      </c>
      <c r="D13">
        <v>7000</v>
      </c>
      <c r="I13">
        <v>1400</v>
      </c>
      <c r="J13" s="34">
        <f t="shared" si="0"/>
        <v>0.18406593406593408</v>
      </c>
      <c r="K13" s="34">
        <f t="shared" si="0"/>
        <v>0.85439560439560436</v>
      </c>
      <c r="L13" s="34">
        <f t="shared" si="1"/>
        <v>0</v>
      </c>
      <c r="M13" s="34">
        <f t="shared" si="1"/>
        <v>0</v>
      </c>
    </row>
    <row r="14" spans="1:13" x14ac:dyDescent="0.25">
      <c r="A14">
        <v>800</v>
      </c>
      <c r="B14">
        <v>3000</v>
      </c>
      <c r="C14">
        <v>8400</v>
      </c>
      <c r="D14">
        <v>12500</v>
      </c>
      <c r="I14">
        <v>1500</v>
      </c>
      <c r="J14" s="34">
        <f t="shared" si="0"/>
        <v>0.13461538461538461</v>
      </c>
      <c r="K14" s="34">
        <f t="shared" si="0"/>
        <v>0.78021978021978022</v>
      </c>
      <c r="L14" s="34">
        <f t="shared" si="1"/>
        <v>0</v>
      </c>
      <c r="M14" s="34">
        <f t="shared" si="1"/>
        <v>0</v>
      </c>
    </row>
    <row r="15" spans="1:13" x14ac:dyDescent="0.25">
      <c r="A15">
        <v>900</v>
      </c>
      <c r="B15">
        <v>3400</v>
      </c>
      <c r="C15">
        <v>8400</v>
      </c>
      <c r="D15">
        <v>10500</v>
      </c>
      <c r="I15">
        <v>1600</v>
      </c>
      <c r="J15" s="34">
        <f t="shared" si="0"/>
        <v>0.1043956043956044</v>
      </c>
      <c r="K15" s="34">
        <f t="shared" si="0"/>
        <v>0.78021978021978022</v>
      </c>
      <c r="L15" s="34">
        <f t="shared" si="1"/>
        <v>0</v>
      </c>
      <c r="M15" s="34">
        <f t="shared" si="1"/>
        <v>0</v>
      </c>
    </row>
    <row r="16" spans="1:13" x14ac:dyDescent="0.25">
      <c r="A16">
        <v>1000</v>
      </c>
      <c r="B16">
        <v>2000</v>
      </c>
      <c r="C16">
        <v>4200</v>
      </c>
      <c r="D16">
        <v>7500</v>
      </c>
      <c r="I16">
        <v>1700</v>
      </c>
      <c r="J16" s="34">
        <f t="shared" si="0"/>
        <v>0.1043956043956044</v>
      </c>
      <c r="K16" s="34">
        <f t="shared" si="0"/>
        <v>0.68956043956043955</v>
      </c>
      <c r="L16" s="34">
        <f t="shared" si="1"/>
        <v>0</v>
      </c>
      <c r="M16" s="34">
        <f t="shared" si="1"/>
        <v>0</v>
      </c>
    </row>
    <row r="17" spans="1:13" x14ac:dyDescent="0.25">
      <c r="A17">
        <v>400</v>
      </c>
      <c r="B17">
        <v>2000</v>
      </c>
      <c r="C17">
        <v>3000</v>
      </c>
      <c r="D17">
        <v>5500</v>
      </c>
      <c r="I17">
        <v>1800</v>
      </c>
      <c r="J17" s="34">
        <f t="shared" si="0"/>
        <v>0.1043956043956044</v>
      </c>
      <c r="K17" s="34">
        <f t="shared" si="0"/>
        <v>0.68956043956043955</v>
      </c>
      <c r="L17" s="34">
        <f t="shared" si="1"/>
        <v>0</v>
      </c>
      <c r="M17" s="34">
        <f t="shared" si="1"/>
        <v>0</v>
      </c>
    </row>
    <row r="18" spans="1:13" x14ac:dyDescent="0.25">
      <c r="A18">
        <v>2900</v>
      </c>
      <c r="B18">
        <v>5600</v>
      </c>
      <c r="C18">
        <v>13500</v>
      </c>
      <c r="D18">
        <v>24000</v>
      </c>
      <c r="I18">
        <v>1900</v>
      </c>
      <c r="J18" s="34">
        <f t="shared" si="0"/>
        <v>0.1043956043956044</v>
      </c>
      <c r="K18" s="34">
        <f t="shared" si="0"/>
        <v>0.60164835164835162</v>
      </c>
      <c r="L18" s="34">
        <f t="shared" si="1"/>
        <v>0</v>
      </c>
      <c r="M18" s="34">
        <f t="shared" si="1"/>
        <v>0</v>
      </c>
    </row>
    <row r="19" spans="1:13" x14ac:dyDescent="0.25">
      <c r="A19">
        <v>900</v>
      </c>
      <c r="B19">
        <v>2200</v>
      </c>
      <c r="C19">
        <v>3600</v>
      </c>
      <c r="D19">
        <v>7500</v>
      </c>
      <c r="I19">
        <v>2000</v>
      </c>
      <c r="J19" s="34">
        <f t="shared" si="0"/>
        <v>0.1043956043956044</v>
      </c>
      <c r="K19" s="34">
        <f t="shared" si="0"/>
        <v>0.60164835164835162</v>
      </c>
      <c r="L19" s="34">
        <f t="shared" si="1"/>
        <v>0</v>
      </c>
      <c r="M19" s="34">
        <f t="shared" si="1"/>
        <v>0</v>
      </c>
    </row>
    <row r="20" spans="1:13" x14ac:dyDescent="0.25">
      <c r="A20">
        <v>700</v>
      </c>
      <c r="B20">
        <v>2400</v>
      </c>
      <c r="C20">
        <v>3600</v>
      </c>
      <c r="D20">
        <v>8000</v>
      </c>
      <c r="I20">
        <v>2100</v>
      </c>
      <c r="J20" s="34">
        <f t="shared" si="0"/>
        <v>9.0659340659340656E-2</v>
      </c>
      <c r="K20" s="34">
        <f t="shared" si="0"/>
        <v>0.52472527472527475</v>
      </c>
      <c r="L20" s="34">
        <f t="shared" si="1"/>
        <v>4.1208791208791208E-2</v>
      </c>
      <c r="M20" s="34">
        <f t="shared" si="1"/>
        <v>0</v>
      </c>
    </row>
    <row r="21" spans="1:13" x14ac:dyDescent="0.25">
      <c r="A21">
        <v>500</v>
      </c>
      <c r="B21">
        <v>800</v>
      </c>
      <c r="C21">
        <v>2700</v>
      </c>
      <c r="D21">
        <v>3500</v>
      </c>
      <c r="I21">
        <v>2200</v>
      </c>
      <c r="J21" s="34">
        <f t="shared" si="0"/>
        <v>8.2417582417582416E-2</v>
      </c>
      <c r="K21" s="34">
        <f t="shared" si="0"/>
        <v>0.52472527472527475</v>
      </c>
      <c r="L21" s="34">
        <f t="shared" si="1"/>
        <v>4.1208791208791208E-2</v>
      </c>
      <c r="M21" s="34">
        <f t="shared" si="1"/>
        <v>0</v>
      </c>
    </row>
    <row r="22" spans="1:13" x14ac:dyDescent="0.25">
      <c r="A22">
        <v>500</v>
      </c>
      <c r="B22">
        <v>1000</v>
      </c>
      <c r="C22">
        <v>2700</v>
      </c>
      <c r="D22">
        <v>5000</v>
      </c>
      <c r="I22">
        <v>2300</v>
      </c>
      <c r="J22" s="34">
        <f t="shared" si="0"/>
        <v>7.1428571428571425E-2</v>
      </c>
      <c r="K22" s="34">
        <f t="shared" si="0"/>
        <v>0.45879120879120877</v>
      </c>
      <c r="L22" s="34">
        <f t="shared" si="1"/>
        <v>4.1208791208791208E-2</v>
      </c>
      <c r="M22" s="34">
        <f t="shared" si="1"/>
        <v>0</v>
      </c>
    </row>
    <row r="23" spans="1:13" x14ac:dyDescent="0.25">
      <c r="A23">
        <v>700</v>
      </c>
      <c r="B23">
        <v>1800</v>
      </c>
      <c r="C23">
        <v>3900</v>
      </c>
      <c r="D23">
        <v>8000</v>
      </c>
      <c r="I23">
        <v>2400</v>
      </c>
      <c r="J23" s="34">
        <f t="shared" si="0"/>
        <v>5.7692307692307696E-2</v>
      </c>
      <c r="K23" s="34">
        <f t="shared" si="0"/>
        <v>0.45879120879120877</v>
      </c>
      <c r="L23" s="34">
        <f t="shared" si="1"/>
        <v>8.5164835164835168E-2</v>
      </c>
      <c r="M23" s="34">
        <f t="shared" si="1"/>
        <v>0</v>
      </c>
    </row>
    <row r="24" spans="1:13" x14ac:dyDescent="0.25">
      <c r="A24">
        <v>2400</v>
      </c>
      <c r="B24">
        <v>5400</v>
      </c>
      <c r="C24">
        <v>15000</v>
      </c>
      <c r="D24">
        <v>21000</v>
      </c>
      <c r="I24">
        <v>2500</v>
      </c>
      <c r="J24" s="34">
        <f t="shared" si="0"/>
        <v>4.1208791208791208E-2</v>
      </c>
      <c r="K24" s="34">
        <f t="shared" si="0"/>
        <v>0.39010989010989011</v>
      </c>
      <c r="L24" s="34">
        <f t="shared" si="1"/>
        <v>8.5164835164835168E-2</v>
      </c>
      <c r="M24" s="34">
        <f t="shared" si="1"/>
        <v>0</v>
      </c>
    </row>
    <row r="25" spans="1:13" x14ac:dyDescent="0.25">
      <c r="A25">
        <v>700</v>
      </c>
      <c r="B25">
        <v>1800</v>
      </c>
      <c r="C25">
        <v>4800</v>
      </c>
      <c r="D25">
        <v>6500</v>
      </c>
      <c r="I25">
        <v>2600</v>
      </c>
      <c r="J25" s="34">
        <f t="shared" si="0"/>
        <v>3.021978021978022E-2</v>
      </c>
      <c r="K25" s="34">
        <f t="shared" si="0"/>
        <v>0.39010989010989011</v>
      </c>
      <c r="L25" s="34">
        <f t="shared" si="1"/>
        <v>8.5164835164835168E-2</v>
      </c>
      <c r="M25" s="34">
        <f t="shared" si="1"/>
        <v>0</v>
      </c>
    </row>
    <row r="26" spans="1:13" x14ac:dyDescent="0.25">
      <c r="A26">
        <v>900</v>
      </c>
      <c r="B26">
        <v>2000</v>
      </c>
      <c r="C26">
        <v>3900</v>
      </c>
      <c r="D26">
        <v>6000</v>
      </c>
      <c r="I26">
        <v>2700</v>
      </c>
      <c r="J26" s="34">
        <f t="shared" si="0"/>
        <v>1.9230769230769232E-2</v>
      </c>
      <c r="K26" s="34">
        <f t="shared" si="0"/>
        <v>0.35439560439560441</v>
      </c>
      <c r="L26" s="34">
        <f t="shared" si="1"/>
        <v>0.13736263736263737</v>
      </c>
      <c r="M26" s="34">
        <f t="shared" si="1"/>
        <v>0</v>
      </c>
    </row>
    <row r="27" spans="1:13" x14ac:dyDescent="0.25">
      <c r="A27">
        <v>300</v>
      </c>
      <c r="B27">
        <v>1200</v>
      </c>
      <c r="C27">
        <v>2400</v>
      </c>
      <c r="D27">
        <v>4000</v>
      </c>
      <c r="I27">
        <v>2800</v>
      </c>
      <c r="J27" s="34">
        <f t="shared" si="0"/>
        <v>1.6483516483516484E-2</v>
      </c>
      <c r="K27" s="34">
        <f t="shared" si="0"/>
        <v>0.35439560439560441</v>
      </c>
      <c r="L27" s="34">
        <f t="shared" si="1"/>
        <v>0.13736263736263737</v>
      </c>
      <c r="M27" s="34">
        <f t="shared" si="1"/>
        <v>0</v>
      </c>
    </row>
    <row r="28" spans="1:13" x14ac:dyDescent="0.25">
      <c r="A28">
        <v>800</v>
      </c>
      <c r="B28">
        <v>2200</v>
      </c>
      <c r="C28">
        <v>4500</v>
      </c>
      <c r="D28">
        <v>6500</v>
      </c>
      <c r="I28">
        <v>2900</v>
      </c>
      <c r="J28" s="34">
        <f t="shared" si="0"/>
        <v>8.241758241758242E-3</v>
      </c>
      <c r="K28" s="34">
        <f t="shared" si="0"/>
        <v>0.31593406593406592</v>
      </c>
      <c r="L28" s="34">
        <f t="shared" si="1"/>
        <v>0.13736263736263737</v>
      </c>
      <c r="M28" s="34">
        <f t="shared" si="1"/>
        <v>0</v>
      </c>
    </row>
    <row r="29" spans="1:13" x14ac:dyDescent="0.25">
      <c r="A29">
        <v>600</v>
      </c>
      <c r="B29">
        <v>1000</v>
      </c>
      <c r="C29">
        <v>3300</v>
      </c>
      <c r="D29">
        <v>6000</v>
      </c>
      <c r="I29">
        <v>3000</v>
      </c>
      <c r="J29" s="34">
        <f t="shared" si="0"/>
        <v>2.7472527472527475E-3</v>
      </c>
      <c r="K29" s="34">
        <f t="shared" si="0"/>
        <v>0.31593406593406592</v>
      </c>
      <c r="L29" s="34">
        <f t="shared" si="1"/>
        <v>0.17582417582417584</v>
      </c>
      <c r="M29" s="34">
        <f t="shared" si="1"/>
        <v>0</v>
      </c>
    </row>
    <row r="30" spans="1:13" x14ac:dyDescent="0.25">
      <c r="A30">
        <v>1000</v>
      </c>
      <c r="B30">
        <v>3800</v>
      </c>
      <c r="C30">
        <v>7200</v>
      </c>
      <c r="D30">
        <v>10000</v>
      </c>
      <c r="I30">
        <v>3100</v>
      </c>
      <c r="J30" s="34">
        <f t="shared" si="0"/>
        <v>0</v>
      </c>
      <c r="K30" s="34">
        <f t="shared" si="0"/>
        <v>0.28296703296703296</v>
      </c>
      <c r="L30" s="34">
        <f t="shared" si="1"/>
        <v>0.17582417582417584</v>
      </c>
      <c r="M30" s="34">
        <f t="shared" si="1"/>
        <v>0</v>
      </c>
    </row>
    <row r="31" spans="1:13" x14ac:dyDescent="0.25">
      <c r="A31">
        <v>1400</v>
      </c>
      <c r="B31">
        <v>3400</v>
      </c>
      <c r="C31">
        <v>7800</v>
      </c>
      <c r="D31">
        <v>10500</v>
      </c>
      <c r="I31">
        <v>3200</v>
      </c>
      <c r="J31" s="34">
        <f t="shared" si="0"/>
        <v>0</v>
      </c>
      <c r="K31" s="34">
        <f t="shared" si="0"/>
        <v>0.28296703296703296</v>
      </c>
      <c r="L31" s="34">
        <f t="shared" si="1"/>
        <v>0.17582417582417584</v>
      </c>
      <c r="M31" s="34">
        <f t="shared" si="1"/>
        <v>0</v>
      </c>
    </row>
    <row r="32" spans="1:13" x14ac:dyDescent="0.25">
      <c r="A32">
        <v>1400</v>
      </c>
      <c r="B32">
        <v>3600</v>
      </c>
      <c r="C32">
        <v>7200</v>
      </c>
      <c r="D32">
        <v>10500</v>
      </c>
      <c r="I32">
        <v>3300</v>
      </c>
      <c r="J32" s="34">
        <f t="shared" si="0"/>
        <v>0</v>
      </c>
      <c r="K32" s="34">
        <f t="shared" si="0"/>
        <v>0.2445054945054945</v>
      </c>
      <c r="L32" s="34">
        <f t="shared" si="1"/>
        <v>0.21428571428571427</v>
      </c>
      <c r="M32" s="34">
        <f t="shared" si="1"/>
        <v>0</v>
      </c>
    </row>
    <row r="33" spans="1:13" x14ac:dyDescent="0.25">
      <c r="A33">
        <v>700</v>
      </c>
      <c r="B33">
        <v>2000</v>
      </c>
      <c r="C33">
        <v>4800</v>
      </c>
      <c r="D33">
        <v>6500</v>
      </c>
      <c r="I33">
        <v>3400</v>
      </c>
      <c r="J33" s="34">
        <f t="shared" si="0"/>
        <v>0</v>
      </c>
      <c r="K33" s="34">
        <f t="shared" si="0"/>
        <v>0.2445054945054945</v>
      </c>
      <c r="L33" s="34">
        <f t="shared" si="1"/>
        <v>0.21428571428571427</v>
      </c>
      <c r="M33" s="34">
        <f t="shared" si="1"/>
        <v>0</v>
      </c>
    </row>
    <row r="34" spans="1:13" x14ac:dyDescent="0.25">
      <c r="A34">
        <v>600</v>
      </c>
      <c r="B34">
        <v>2000</v>
      </c>
      <c r="C34">
        <v>3600</v>
      </c>
      <c r="D34">
        <v>7500</v>
      </c>
      <c r="I34">
        <v>3500</v>
      </c>
      <c r="J34" s="34">
        <f t="shared" si="0"/>
        <v>0</v>
      </c>
      <c r="K34" s="34">
        <f t="shared" si="0"/>
        <v>0.19780219780219779</v>
      </c>
      <c r="L34" s="34">
        <f t="shared" si="1"/>
        <v>0.21428571428571427</v>
      </c>
      <c r="M34" s="34">
        <f t="shared" si="1"/>
        <v>2.197802197802198E-2</v>
      </c>
    </row>
    <row r="35" spans="1:13" x14ac:dyDescent="0.25">
      <c r="A35">
        <v>800</v>
      </c>
      <c r="B35">
        <v>2400</v>
      </c>
      <c r="C35">
        <v>4800</v>
      </c>
      <c r="D35">
        <v>7500</v>
      </c>
      <c r="I35">
        <v>3600</v>
      </c>
      <c r="J35" s="34">
        <f t="shared" si="0"/>
        <v>0</v>
      </c>
      <c r="K35" s="34">
        <f t="shared" si="0"/>
        <v>0.19780219780219779</v>
      </c>
      <c r="L35" s="34">
        <f t="shared" si="1"/>
        <v>0.29395604395604397</v>
      </c>
      <c r="M35" s="34">
        <f t="shared" si="1"/>
        <v>2.197802197802198E-2</v>
      </c>
    </row>
    <row r="36" spans="1:13" x14ac:dyDescent="0.25">
      <c r="A36">
        <v>500</v>
      </c>
      <c r="B36">
        <v>1600</v>
      </c>
      <c r="C36">
        <v>4200</v>
      </c>
      <c r="D36">
        <v>6000</v>
      </c>
      <c r="I36">
        <v>3700</v>
      </c>
      <c r="J36" s="34">
        <f t="shared" si="0"/>
        <v>0</v>
      </c>
      <c r="K36" s="34">
        <f t="shared" si="0"/>
        <v>0.17582417582417584</v>
      </c>
      <c r="L36" s="34">
        <f t="shared" si="1"/>
        <v>0.29395604395604397</v>
      </c>
      <c r="M36" s="34">
        <f t="shared" si="1"/>
        <v>2.197802197802198E-2</v>
      </c>
    </row>
    <row r="37" spans="1:13" x14ac:dyDescent="0.25">
      <c r="A37">
        <v>900</v>
      </c>
      <c r="B37">
        <v>3800</v>
      </c>
      <c r="C37">
        <v>9000</v>
      </c>
      <c r="D37">
        <v>13000</v>
      </c>
      <c r="I37">
        <v>3800</v>
      </c>
      <c r="J37" s="34">
        <f t="shared" si="0"/>
        <v>0</v>
      </c>
      <c r="K37" s="34">
        <f t="shared" si="0"/>
        <v>0.17582417582417584</v>
      </c>
      <c r="L37" s="34">
        <f t="shared" si="1"/>
        <v>0.29395604395604397</v>
      </c>
      <c r="M37" s="34">
        <f t="shared" si="1"/>
        <v>2.197802197802198E-2</v>
      </c>
    </row>
    <row r="38" spans="1:13" x14ac:dyDescent="0.25">
      <c r="A38">
        <v>1100</v>
      </c>
      <c r="B38">
        <v>3800</v>
      </c>
      <c r="C38">
        <v>8400</v>
      </c>
      <c r="D38">
        <v>12500</v>
      </c>
      <c r="I38">
        <v>3900</v>
      </c>
      <c r="J38" s="34">
        <f t="shared" si="0"/>
        <v>0</v>
      </c>
      <c r="K38" s="34">
        <f t="shared" si="0"/>
        <v>0.12362637362637363</v>
      </c>
      <c r="L38" s="34">
        <f t="shared" si="1"/>
        <v>0.38186813186813184</v>
      </c>
      <c r="M38" s="34">
        <f t="shared" si="1"/>
        <v>2.197802197802198E-2</v>
      </c>
    </row>
    <row r="39" spans="1:13" x14ac:dyDescent="0.25">
      <c r="A39">
        <v>800</v>
      </c>
      <c r="B39">
        <v>2400</v>
      </c>
      <c r="C39">
        <v>4800</v>
      </c>
      <c r="D39">
        <v>8000</v>
      </c>
      <c r="I39">
        <v>4000</v>
      </c>
      <c r="J39" s="34">
        <f t="shared" si="0"/>
        <v>0</v>
      </c>
      <c r="K39" s="34">
        <f t="shared" si="0"/>
        <v>0.12362637362637363</v>
      </c>
      <c r="L39" s="34">
        <f t="shared" si="1"/>
        <v>0.38186813186813184</v>
      </c>
      <c r="M39" s="34">
        <f t="shared" si="1"/>
        <v>7.1428571428571425E-2</v>
      </c>
    </row>
    <row r="40" spans="1:13" x14ac:dyDescent="0.25">
      <c r="A40">
        <v>600</v>
      </c>
      <c r="B40">
        <v>1400</v>
      </c>
      <c r="C40">
        <v>4200</v>
      </c>
      <c r="D40">
        <v>6500</v>
      </c>
      <c r="I40">
        <v>4100</v>
      </c>
      <c r="J40" s="34">
        <f t="shared" si="0"/>
        <v>0</v>
      </c>
      <c r="K40" s="34">
        <f t="shared" si="0"/>
        <v>0.1043956043956044</v>
      </c>
      <c r="L40" s="34">
        <f t="shared" si="1"/>
        <v>0.38186813186813184</v>
      </c>
      <c r="M40" s="34">
        <f t="shared" si="1"/>
        <v>7.1428571428571425E-2</v>
      </c>
    </row>
    <row r="41" spans="1:13" x14ac:dyDescent="0.25">
      <c r="A41">
        <v>1500</v>
      </c>
      <c r="B41">
        <v>2600</v>
      </c>
      <c r="C41">
        <v>8700</v>
      </c>
      <c r="D41">
        <v>11500</v>
      </c>
      <c r="I41">
        <v>4200</v>
      </c>
      <c r="J41" s="34">
        <f t="shared" si="0"/>
        <v>0</v>
      </c>
      <c r="K41" s="34">
        <f t="shared" si="0"/>
        <v>0.1043956043956044</v>
      </c>
      <c r="L41" s="34">
        <f t="shared" si="1"/>
        <v>0.4642857142857143</v>
      </c>
      <c r="M41" s="34">
        <f t="shared" si="1"/>
        <v>7.1428571428571425E-2</v>
      </c>
    </row>
    <row r="42" spans="1:13" x14ac:dyDescent="0.25">
      <c r="A42">
        <v>800</v>
      </c>
      <c r="B42">
        <v>1800</v>
      </c>
      <c r="C42">
        <v>3600</v>
      </c>
      <c r="D42">
        <v>7500</v>
      </c>
      <c r="I42">
        <v>4300</v>
      </c>
      <c r="J42" s="34">
        <f t="shared" si="0"/>
        <v>0</v>
      </c>
      <c r="K42" s="34">
        <f t="shared" si="0"/>
        <v>0.1043956043956044</v>
      </c>
      <c r="L42" s="34">
        <f t="shared" si="1"/>
        <v>0.4642857142857143</v>
      </c>
      <c r="M42" s="34">
        <f t="shared" si="1"/>
        <v>7.1428571428571425E-2</v>
      </c>
    </row>
    <row r="43" spans="1:13" x14ac:dyDescent="0.25">
      <c r="A43">
        <v>1200</v>
      </c>
      <c r="B43">
        <v>4000</v>
      </c>
      <c r="C43">
        <v>7800</v>
      </c>
      <c r="D43">
        <v>10000</v>
      </c>
      <c r="I43">
        <v>4400</v>
      </c>
      <c r="J43" s="34">
        <f t="shared" si="0"/>
        <v>0</v>
      </c>
      <c r="K43" s="34">
        <f t="shared" si="0"/>
        <v>0.1043956043956044</v>
      </c>
      <c r="L43" s="34">
        <f t="shared" si="1"/>
        <v>0.4642857142857143</v>
      </c>
      <c r="M43" s="34">
        <f t="shared" si="1"/>
        <v>7.1428571428571425E-2</v>
      </c>
    </row>
    <row r="44" spans="1:13" x14ac:dyDescent="0.25">
      <c r="A44">
        <v>1300</v>
      </c>
      <c r="B44">
        <v>2800</v>
      </c>
      <c r="C44">
        <v>6900</v>
      </c>
      <c r="D44">
        <v>10500</v>
      </c>
      <c r="I44">
        <v>4500</v>
      </c>
      <c r="J44" s="34">
        <f t="shared" si="0"/>
        <v>0</v>
      </c>
      <c r="K44" s="34">
        <f t="shared" si="0"/>
        <v>0.1043956043956044</v>
      </c>
      <c r="L44" s="34">
        <f t="shared" si="1"/>
        <v>0.53846153846153844</v>
      </c>
      <c r="M44" s="34">
        <f t="shared" si="1"/>
        <v>0.11538461538461539</v>
      </c>
    </row>
    <row r="45" spans="1:13" x14ac:dyDescent="0.25">
      <c r="A45">
        <v>1400</v>
      </c>
      <c r="B45">
        <v>2800</v>
      </c>
      <c r="C45">
        <v>6300</v>
      </c>
      <c r="D45">
        <v>13000</v>
      </c>
      <c r="I45">
        <v>4600</v>
      </c>
      <c r="J45" s="34">
        <f t="shared" si="0"/>
        <v>0</v>
      </c>
      <c r="K45" s="34">
        <f t="shared" si="0"/>
        <v>0.1043956043956044</v>
      </c>
      <c r="L45" s="34">
        <f t="shared" si="1"/>
        <v>0.53846153846153844</v>
      </c>
      <c r="M45" s="34">
        <f t="shared" si="1"/>
        <v>0.11538461538461539</v>
      </c>
    </row>
    <row r="46" spans="1:13" x14ac:dyDescent="0.25">
      <c r="A46">
        <v>500</v>
      </c>
      <c r="B46">
        <v>1200</v>
      </c>
      <c r="C46">
        <v>2400</v>
      </c>
      <c r="D46">
        <v>4000</v>
      </c>
      <c r="I46">
        <v>4700</v>
      </c>
      <c r="J46" s="34">
        <f t="shared" si="0"/>
        <v>0</v>
      </c>
      <c r="K46" s="34">
        <f t="shared" si="0"/>
        <v>0.1043956043956044</v>
      </c>
      <c r="L46" s="34">
        <f t="shared" si="1"/>
        <v>0.53846153846153844</v>
      </c>
      <c r="M46" s="34">
        <f t="shared" si="1"/>
        <v>0.11538461538461539</v>
      </c>
    </row>
    <row r="47" spans="1:13" x14ac:dyDescent="0.25">
      <c r="A47">
        <v>2100</v>
      </c>
      <c r="B47">
        <v>5200</v>
      </c>
      <c r="C47">
        <v>12600</v>
      </c>
      <c r="D47">
        <v>24000</v>
      </c>
      <c r="I47">
        <v>4800</v>
      </c>
      <c r="J47" s="34">
        <f t="shared" si="0"/>
        <v>0</v>
      </c>
      <c r="K47" s="34">
        <f t="shared" si="0"/>
        <v>0.1043956043956044</v>
      </c>
      <c r="L47" s="34">
        <f t="shared" si="1"/>
        <v>0.59615384615384615</v>
      </c>
      <c r="M47" s="34">
        <f t="shared" si="1"/>
        <v>0.11538461538461539</v>
      </c>
    </row>
    <row r="48" spans="1:13" x14ac:dyDescent="0.25">
      <c r="A48">
        <v>2600</v>
      </c>
      <c r="B48">
        <v>6400</v>
      </c>
      <c r="C48">
        <v>13800</v>
      </c>
      <c r="D48">
        <v>23000</v>
      </c>
      <c r="I48">
        <v>4900</v>
      </c>
      <c r="J48" s="34">
        <f t="shared" si="0"/>
        <v>0</v>
      </c>
      <c r="K48" s="34">
        <f t="shared" si="0"/>
        <v>0.1043956043956044</v>
      </c>
      <c r="L48" s="34">
        <f t="shared" si="1"/>
        <v>0.59615384615384615</v>
      </c>
      <c r="M48" s="34">
        <f t="shared" si="1"/>
        <v>0.11538461538461539</v>
      </c>
    </row>
    <row r="49" spans="1:13" x14ac:dyDescent="0.25">
      <c r="A49">
        <v>900</v>
      </c>
      <c r="B49">
        <v>3400</v>
      </c>
      <c r="C49">
        <v>7800</v>
      </c>
      <c r="D49">
        <v>12000</v>
      </c>
      <c r="I49">
        <v>5000</v>
      </c>
      <c r="J49" s="34">
        <f t="shared" si="0"/>
        <v>0</v>
      </c>
      <c r="K49" s="34">
        <f t="shared" si="0"/>
        <v>0.1043956043956044</v>
      </c>
      <c r="L49" s="34">
        <f t="shared" si="1"/>
        <v>0.59615384615384615</v>
      </c>
      <c r="M49" s="34">
        <f t="shared" si="1"/>
        <v>0.17032967032967034</v>
      </c>
    </row>
    <row r="50" spans="1:13" x14ac:dyDescent="0.25">
      <c r="A50">
        <v>900</v>
      </c>
      <c r="B50">
        <v>2000</v>
      </c>
      <c r="C50">
        <v>4500</v>
      </c>
      <c r="D50">
        <v>7000</v>
      </c>
      <c r="I50">
        <v>5100</v>
      </c>
      <c r="J50" s="34">
        <f t="shared" si="0"/>
        <v>0</v>
      </c>
      <c r="K50" s="34">
        <f t="shared" si="0"/>
        <v>0.10164835164835165</v>
      </c>
      <c r="L50" s="34">
        <f t="shared" si="1"/>
        <v>0.60989010989010994</v>
      </c>
      <c r="M50" s="34">
        <f t="shared" si="1"/>
        <v>0.17032967032967034</v>
      </c>
    </row>
    <row r="51" spans="1:13" x14ac:dyDescent="0.25">
      <c r="A51">
        <v>1300</v>
      </c>
      <c r="B51">
        <v>3400</v>
      </c>
      <c r="C51">
        <v>7800</v>
      </c>
      <c r="D51">
        <v>12000</v>
      </c>
      <c r="I51">
        <v>5200</v>
      </c>
      <c r="J51" s="34">
        <f t="shared" si="0"/>
        <v>0</v>
      </c>
      <c r="K51" s="34">
        <f t="shared" si="0"/>
        <v>0.10164835164835165</v>
      </c>
      <c r="L51" s="34">
        <f t="shared" si="1"/>
        <v>0.60989010989010994</v>
      </c>
      <c r="M51" s="34">
        <f t="shared" si="1"/>
        <v>0.17032967032967034</v>
      </c>
    </row>
    <row r="52" spans="1:13" x14ac:dyDescent="0.25">
      <c r="A52">
        <v>700</v>
      </c>
      <c r="B52">
        <v>2400</v>
      </c>
      <c r="C52">
        <v>3600</v>
      </c>
      <c r="D52">
        <v>6500</v>
      </c>
      <c r="I52">
        <v>5300</v>
      </c>
      <c r="J52" s="34">
        <f t="shared" si="0"/>
        <v>0</v>
      </c>
      <c r="K52" s="34">
        <f t="shared" si="0"/>
        <v>9.6153846153846159E-2</v>
      </c>
      <c r="L52" s="34">
        <f t="shared" si="1"/>
        <v>0.60989010989010994</v>
      </c>
      <c r="M52" s="34">
        <f t="shared" si="1"/>
        <v>0.17032967032967034</v>
      </c>
    </row>
    <row r="53" spans="1:13" x14ac:dyDescent="0.25">
      <c r="A53">
        <v>900</v>
      </c>
      <c r="B53">
        <v>3000</v>
      </c>
      <c r="C53">
        <v>7500</v>
      </c>
      <c r="D53">
        <v>11500</v>
      </c>
      <c r="I53">
        <v>5400</v>
      </c>
      <c r="J53" s="34">
        <f t="shared" si="0"/>
        <v>0</v>
      </c>
      <c r="K53" s="34">
        <f t="shared" si="0"/>
        <v>9.6153846153846159E-2</v>
      </c>
      <c r="L53" s="34">
        <f t="shared" si="1"/>
        <v>0.60989010989010994</v>
      </c>
      <c r="M53" s="34">
        <f t="shared" si="1"/>
        <v>0.17032967032967034</v>
      </c>
    </row>
    <row r="54" spans="1:13" x14ac:dyDescent="0.25">
      <c r="A54">
        <v>2200</v>
      </c>
      <c r="B54">
        <v>7200</v>
      </c>
      <c r="C54">
        <v>15000</v>
      </c>
      <c r="D54">
        <v>21500</v>
      </c>
      <c r="I54">
        <v>5500</v>
      </c>
      <c r="J54" s="34">
        <f t="shared" si="0"/>
        <v>0</v>
      </c>
      <c r="K54" s="34">
        <f t="shared" si="0"/>
        <v>9.0659340659340656E-2</v>
      </c>
      <c r="L54" s="34">
        <f t="shared" si="1"/>
        <v>0.60989010989010994</v>
      </c>
      <c r="M54" s="34">
        <f t="shared" si="1"/>
        <v>0.19780219780219779</v>
      </c>
    </row>
    <row r="55" spans="1:13" x14ac:dyDescent="0.25">
      <c r="A55">
        <v>400</v>
      </c>
      <c r="B55">
        <v>1400</v>
      </c>
      <c r="C55">
        <v>4500</v>
      </c>
      <c r="D55">
        <v>6000</v>
      </c>
      <c r="I55">
        <v>5600</v>
      </c>
      <c r="J55" s="34">
        <f t="shared" si="0"/>
        <v>0</v>
      </c>
      <c r="K55" s="34">
        <f t="shared" si="0"/>
        <v>9.0659340659340656E-2</v>
      </c>
      <c r="L55" s="34">
        <f t="shared" si="1"/>
        <v>0.60989010989010994</v>
      </c>
      <c r="M55" s="34">
        <f t="shared" si="1"/>
        <v>0.19780219780219779</v>
      </c>
    </row>
    <row r="56" spans="1:13" x14ac:dyDescent="0.25">
      <c r="A56">
        <v>500</v>
      </c>
      <c r="B56">
        <v>1000</v>
      </c>
      <c r="C56">
        <v>2700</v>
      </c>
      <c r="D56">
        <v>5000</v>
      </c>
      <c r="I56">
        <v>5700</v>
      </c>
      <c r="J56" s="34">
        <f t="shared" si="0"/>
        <v>0</v>
      </c>
      <c r="K56" s="34">
        <f t="shared" si="0"/>
        <v>7.6923076923076927E-2</v>
      </c>
      <c r="L56" s="34">
        <f t="shared" si="1"/>
        <v>0.60989010989010994</v>
      </c>
      <c r="M56" s="34">
        <f t="shared" si="1"/>
        <v>0.19780219780219779</v>
      </c>
    </row>
    <row r="57" spans="1:13" x14ac:dyDescent="0.25">
      <c r="A57">
        <v>400</v>
      </c>
      <c r="B57">
        <v>1200</v>
      </c>
      <c r="C57">
        <v>3300</v>
      </c>
      <c r="D57">
        <v>5000</v>
      </c>
      <c r="I57">
        <v>5800</v>
      </c>
      <c r="J57" s="34">
        <f t="shared" si="0"/>
        <v>0</v>
      </c>
      <c r="K57" s="34">
        <f t="shared" si="0"/>
        <v>7.6923076923076927E-2</v>
      </c>
      <c r="L57" s="34">
        <f t="shared" si="1"/>
        <v>0.60989010989010994</v>
      </c>
      <c r="M57" s="34">
        <f t="shared" si="1"/>
        <v>0.19780219780219779</v>
      </c>
    </row>
    <row r="58" spans="1:13" x14ac:dyDescent="0.25">
      <c r="A58">
        <v>400</v>
      </c>
      <c r="B58">
        <v>1600</v>
      </c>
      <c r="C58">
        <v>3000</v>
      </c>
      <c r="D58">
        <v>6000</v>
      </c>
      <c r="I58">
        <v>5900</v>
      </c>
      <c r="J58" s="34">
        <f t="shared" si="0"/>
        <v>0</v>
      </c>
      <c r="K58" s="34">
        <f t="shared" si="0"/>
        <v>7.4175824175824176E-2</v>
      </c>
      <c r="L58" s="34">
        <f t="shared" si="1"/>
        <v>0.60989010989010994</v>
      </c>
      <c r="M58" s="34">
        <f t="shared" si="1"/>
        <v>0.19780219780219779</v>
      </c>
    </row>
    <row r="59" spans="1:13" x14ac:dyDescent="0.25">
      <c r="A59">
        <v>900</v>
      </c>
      <c r="B59">
        <v>2200</v>
      </c>
      <c r="C59">
        <v>3600</v>
      </c>
      <c r="D59">
        <v>7000</v>
      </c>
      <c r="I59">
        <v>6000</v>
      </c>
      <c r="J59" s="34">
        <f t="shared" si="0"/>
        <v>0</v>
      </c>
      <c r="K59" s="34">
        <f t="shared" si="0"/>
        <v>7.4175824175824176E-2</v>
      </c>
      <c r="L59" s="34">
        <f t="shared" si="1"/>
        <v>0.61813186813186816</v>
      </c>
      <c r="M59" s="34">
        <f t="shared" si="1"/>
        <v>0.29945054945054944</v>
      </c>
    </row>
    <row r="60" spans="1:13" x14ac:dyDescent="0.25">
      <c r="A60">
        <v>900</v>
      </c>
      <c r="B60">
        <v>1800</v>
      </c>
      <c r="C60">
        <v>4800</v>
      </c>
      <c r="D60">
        <v>7500</v>
      </c>
      <c r="I60">
        <v>6100</v>
      </c>
      <c r="J60" s="34">
        <f t="shared" si="0"/>
        <v>0</v>
      </c>
      <c r="K60" s="34">
        <f t="shared" si="0"/>
        <v>6.3186813186813184E-2</v>
      </c>
      <c r="L60" s="34">
        <f t="shared" si="1"/>
        <v>0.61813186813186816</v>
      </c>
      <c r="M60" s="34">
        <f t="shared" si="1"/>
        <v>0.29945054945054944</v>
      </c>
    </row>
    <row r="61" spans="1:13" x14ac:dyDescent="0.25">
      <c r="A61">
        <v>500</v>
      </c>
      <c r="B61">
        <v>1400</v>
      </c>
      <c r="C61">
        <v>4200</v>
      </c>
      <c r="D61">
        <v>6500</v>
      </c>
      <c r="I61">
        <v>6200</v>
      </c>
      <c r="J61" s="34">
        <f t="shared" si="0"/>
        <v>0</v>
      </c>
      <c r="K61" s="34">
        <f t="shared" si="0"/>
        <v>6.3186813186813184E-2</v>
      </c>
      <c r="L61" s="34">
        <f t="shared" si="1"/>
        <v>0.61813186813186816</v>
      </c>
      <c r="M61" s="34">
        <f t="shared" si="1"/>
        <v>0.29945054945054944</v>
      </c>
    </row>
    <row r="62" spans="1:13" x14ac:dyDescent="0.25">
      <c r="A62">
        <v>900</v>
      </c>
      <c r="B62">
        <v>1800</v>
      </c>
      <c r="C62">
        <v>4500</v>
      </c>
      <c r="D62">
        <v>6500</v>
      </c>
      <c r="I62">
        <v>6300</v>
      </c>
      <c r="J62" s="34">
        <f t="shared" si="0"/>
        <v>0</v>
      </c>
      <c r="K62" s="34">
        <f t="shared" si="0"/>
        <v>6.043956043956044E-2</v>
      </c>
      <c r="L62" s="34">
        <f t="shared" si="1"/>
        <v>0.64835164835164838</v>
      </c>
      <c r="M62" s="34">
        <f t="shared" si="1"/>
        <v>0.29945054945054944</v>
      </c>
    </row>
    <row r="63" spans="1:13" x14ac:dyDescent="0.25">
      <c r="A63">
        <v>1000</v>
      </c>
      <c r="B63">
        <v>2800</v>
      </c>
      <c r="C63">
        <v>6300</v>
      </c>
      <c r="D63">
        <v>10000</v>
      </c>
      <c r="I63">
        <v>6400</v>
      </c>
      <c r="J63" s="34">
        <f t="shared" si="0"/>
        <v>0</v>
      </c>
      <c r="K63" s="34">
        <f t="shared" si="0"/>
        <v>6.043956043956044E-2</v>
      </c>
      <c r="L63" s="34">
        <f t="shared" si="1"/>
        <v>0.64835164835164838</v>
      </c>
      <c r="M63" s="34">
        <f t="shared" si="1"/>
        <v>0.29945054945054944</v>
      </c>
    </row>
    <row r="64" spans="1:13" x14ac:dyDescent="0.25">
      <c r="A64">
        <v>600</v>
      </c>
      <c r="B64">
        <v>2000</v>
      </c>
      <c r="C64">
        <v>4200</v>
      </c>
      <c r="D64">
        <v>6500</v>
      </c>
      <c r="I64">
        <v>6500</v>
      </c>
      <c r="J64" s="34">
        <f t="shared" si="0"/>
        <v>0</v>
      </c>
      <c r="K64" s="34">
        <f t="shared" si="0"/>
        <v>5.7692307692307696E-2</v>
      </c>
      <c r="L64" s="34">
        <f t="shared" si="1"/>
        <v>0.64835164835164838</v>
      </c>
      <c r="M64" s="34">
        <f t="shared" si="1"/>
        <v>0.39010989010989011</v>
      </c>
    </row>
    <row r="65" spans="1:13" x14ac:dyDescent="0.25">
      <c r="A65">
        <v>500</v>
      </c>
      <c r="B65">
        <v>1000</v>
      </c>
      <c r="C65">
        <v>2400</v>
      </c>
      <c r="D65">
        <v>5000</v>
      </c>
      <c r="I65">
        <v>6600</v>
      </c>
      <c r="J65" s="34">
        <f t="shared" si="0"/>
        <v>0</v>
      </c>
      <c r="K65" s="34">
        <f t="shared" si="0"/>
        <v>5.7692307692307696E-2</v>
      </c>
      <c r="L65" s="34">
        <f t="shared" si="1"/>
        <v>0.6785714285714286</v>
      </c>
      <c r="M65" s="34">
        <f t="shared" si="1"/>
        <v>0.39010989010989011</v>
      </c>
    </row>
    <row r="66" spans="1:13" x14ac:dyDescent="0.25">
      <c r="A66">
        <v>600</v>
      </c>
      <c r="B66">
        <v>1200</v>
      </c>
      <c r="C66">
        <v>4200</v>
      </c>
      <c r="D66">
        <v>6000</v>
      </c>
      <c r="I66">
        <v>6700</v>
      </c>
      <c r="J66" s="34">
        <f t="shared" si="0"/>
        <v>0</v>
      </c>
      <c r="K66" s="34">
        <f t="shared" si="0"/>
        <v>4.9450549450549448E-2</v>
      </c>
      <c r="L66" s="34">
        <f t="shared" si="1"/>
        <v>0.6785714285714286</v>
      </c>
      <c r="M66" s="34">
        <f t="shared" si="1"/>
        <v>0.39010989010989011</v>
      </c>
    </row>
    <row r="67" spans="1:13" x14ac:dyDescent="0.25">
      <c r="A67">
        <v>900</v>
      </c>
      <c r="B67">
        <v>2000</v>
      </c>
      <c r="C67">
        <v>4800</v>
      </c>
      <c r="D67">
        <v>7000</v>
      </c>
      <c r="I67">
        <v>6800</v>
      </c>
      <c r="J67" s="34">
        <f t="shared" ref="J67:K99" si="2">COUNTIF(A:A,"&gt;="&amp;$I67)/$G$7</f>
        <v>0</v>
      </c>
      <c r="K67" s="34">
        <f t="shared" si="2"/>
        <v>4.9450549450549448E-2</v>
      </c>
      <c r="L67" s="34">
        <f t="shared" ref="L67:M99" si="3">COUNTIF(C:C,"&lt;="&amp;$I67)/$G$7</f>
        <v>0.6785714285714286</v>
      </c>
      <c r="M67" s="34">
        <f t="shared" si="3"/>
        <v>0.39010989010989011</v>
      </c>
    </row>
    <row r="68" spans="1:13" x14ac:dyDescent="0.25">
      <c r="A68">
        <v>600</v>
      </c>
      <c r="B68">
        <v>2000</v>
      </c>
      <c r="C68">
        <v>3900</v>
      </c>
      <c r="D68">
        <v>5500</v>
      </c>
      <c r="I68">
        <v>6900</v>
      </c>
      <c r="J68" s="34">
        <f t="shared" si="2"/>
        <v>0</v>
      </c>
      <c r="K68" s="34">
        <f t="shared" si="2"/>
        <v>3.5714285714285712E-2</v>
      </c>
      <c r="L68" s="34">
        <f t="shared" si="3"/>
        <v>0.7142857142857143</v>
      </c>
      <c r="M68" s="34">
        <f t="shared" si="3"/>
        <v>0.39010989010989011</v>
      </c>
    </row>
    <row r="69" spans="1:13" x14ac:dyDescent="0.25">
      <c r="A69">
        <v>400</v>
      </c>
      <c r="B69">
        <v>1200</v>
      </c>
      <c r="C69">
        <v>3600</v>
      </c>
      <c r="D69">
        <v>6000</v>
      </c>
      <c r="I69">
        <v>7000</v>
      </c>
      <c r="J69" s="34">
        <f t="shared" si="2"/>
        <v>0</v>
      </c>
      <c r="K69" s="34">
        <f t="shared" si="2"/>
        <v>3.5714285714285712E-2</v>
      </c>
      <c r="L69" s="34">
        <f t="shared" si="3"/>
        <v>0.7142857142857143</v>
      </c>
      <c r="M69" s="34">
        <f t="shared" si="3"/>
        <v>0.48901098901098899</v>
      </c>
    </row>
    <row r="70" spans="1:13" x14ac:dyDescent="0.25">
      <c r="A70">
        <v>600</v>
      </c>
      <c r="B70">
        <v>2200</v>
      </c>
      <c r="C70">
        <v>3900</v>
      </c>
      <c r="D70">
        <v>7000</v>
      </c>
      <c r="I70">
        <v>7100</v>
      </c>
      <c r="J70" s="34">
        <f t="shared" si="2"/>
        <v>0</v>
      </c>
      <c r="K70" s="34">
        <f t="shared" si="2"/>
        <v>2.7472527472527472E-2</v>
      </c>
      <c r="L70" s="34">
        <f t="shared" si="3"/>
        <v>0.7142857142857143</v>
      </c>
      <c r="M70" s="34">
        <f t="shared" si="3"/>
        <v>0.48901098901098899</v>
      </c>
    </row>
    <row r="71" spans="1:13" x14ac:dyDescent="0.25">
      <c r="A71">
        <v>600</v>
      </c>
      <c r="B71">
        <v>2400</v>
      </c>
      <c r="C71">
        <v>3900</v>
      </c>
      <c r="D71">
        <v>7500</v>
      </c>
      <c r="I71">
        <v>7200</v>
      </c>
      <c r="J71" s="34">
        <f t="shared" si="2"/>
        <v>0</v>
      </c>
      <c r="K71" s="34">
        <f t="shared" si="2"/>
        <v>2.7472527472527472E-2</v>
      </c>
      <c r="L71" s="34">
        <f t="shared" si="3"/>
        <v>0.75</v>
      </c>
      <c r="M71" s="34">
        <f t="shared" si="3"/>
        <v>0.48901098901098899</v>
      </c>
    </row>
    <row r="72" spans="1:13" x14ac:dyDescent="0.25">
      <c r="A72">
        <v>900</v>
      </c>
      <c r="B72">
        <v>2000</v>
      </c>
      <c r="C72">
        <v>4200</v>
      </c>
      <c r="D72">
        <v>8000</v>
      </c>
      <c r="I72">
        <v>7300</v>
      </c>
      <c r="J72" s="34">
        <f t="shared" si="2"/>
        <v>0</v>
      </c>
      <c r="K72" s="34">
        <f t="shared" si="2"/>
        <v>2.4725274725274724E-2</v>
      </c>
      <c r="L72" s="34">
        <f t="shared" si="3"/>
        <v>0.75</v>
      </c>
      <c r="M72" s="34">
        <f t="shared" si="3"/>
        <v>0.48901098901098899</v>
      </c>
    </row>
    <row r="73" spans="1:13" x14ac:dyDescent="0.25">
      <c r="A73">
        <v>600</v>
      </c>
      <c r="B73">
        <v>1800</v>
      </c>
      <c r="C73">
        <v>3000</v>
      </c>
      <c r="D73">
        <v>6000</v>
      </c>
      <c r="I73">
        <v>7400</v>
      </c>
      <c r="J73" s="34">
        <f t="shared" si="2"/>
        <v>0</v>
      </c>
      <c r="K73" s="34">
        <f t="shared" si="2"/>
        <v>2.4725274725274724E-2</v>
      </c>
      <c r="L73" s="34">
        <f t="shared" si="3"/>
        <v>0.75</v>
      </c>
      <c r="M73" s="34">
        <f t="shared" si="3"/>
        <v>0.48901098901098899</v>
      </c>
    </row>
    <row r="74" spans="1:13" x14ac:dyDescent="0.25">
      <c r="A74">
        <v>800</v>
      </c>
      <c r="B74">
        <v>1800</v>
      </c>
      <c r="C74">
        <v>4800</v>
      </c>
      <c r="D74">
        <v>6500</v>
      </c>
      <c r="I74">
        <v>7500</v>
      </c>
      <c r="J74" s="34">
        <f t="shared" si="2"/>
        <v>0</v>
      </c>
      <c r="K74" s="34">
        <f t="shared" si="2"/>
        <v>1.098901098901099E-2</v>
      </c>
      <c r="L74" s="34">
        <f t="shared" si="3"/>
        <v>0.77472527472527475</v>
      </c>
      <c r="M74" s="34">
        <f t="shared" si="3"/>
        <v>0.56318681318681318</v>
      </c>
    </row>
    <row r="75" spans="1:13" x14ac:dyDescent="0.25">
      <c r="A75">
        <v>700</v>
      </c>
      <c r="B75">
        <v>1800</v>
      </c>
      <c r="C75">
        <v>4500</v>
      </c>
      <c r="D75">
        <v>6000</v>
      </c>
      <c r="I75">
        <v>7600</v>
      </c>
      <c r="J75" s="34">
        <f t="shared" si="2"/>
        <v>0</v>
      </c>
      <c r="K75" s="34">
        <f t="shared" si="2"/>
        <v>1.098901098901099E-2</v>
      </c>
      <c r="L75" s="34">
        <f t="shared" si="3"/>
        <v>0.77472527472527475</v>
      </c>
      <c r="M75" s="34">
        <f t="shared" si="3"/>
        <v>0.56318681318681318</v>
      </c>
    </row>
    <row r="76" spans="1:13" x14ac:dyDescent="0.25">
      <c r="A76">
        <v>700</v>
      </c>
      <c r="B76">
        <v>2000</v>
      </c>
      <c r="C76">
        <v>3300</v>
      </c>
      <c r="D76">
        <v>5500</v>
      </c>
      <c r="I76">
        <v>7700</v>
      </c>
      <c r="J76" s="34">
        <f t="shared" si="2"/>
        <v>0</v>
      </c>
      <c r="K76" s="34">
        <f t="shared" si="2"/>
        <v>2.7472527472527475E-3</v>
      </c>
      <c r="L76" s="34">
        <f t="shared" si="3"/>
        <v>0.77472527472527475</v>
      </c>
      <c r="M76" s="34">
        <f t="shared" si="3"/>
        <v>0.56318681318681318</v>
      </c>
    </row>
    <row r="77" spans="1:13" x14ac:dyDescent="0.25">
      <c r="A77">
        <v>400</v>
      </c>
      <c r="B77">
        <v>1600</v>
      </c>
      <c r="C77">
        <v>4500</v>
      </c>
      <c r="D77">
        <v>5000</v>
      </c>
      <c r="I77">
        <v>7800</v>
      </c>
      <c r="J77" s="34">
        <f t="shared" si="2"/>
        <v>0</v>
      </c>
      <c r="K77" s="34">
        <f t="shared" si="2"/>
        <v>2.7472527472527475E-3</v>
      </c>
      <c r="L77" s="34">
        <f t="shared" si="3"/>
        <v>0.80769230769230771</v>
      </c>
      <c r="M77" s="34">
        <f t="shared" si="3"/>
        <v>0.56318681318681318</v>
      </c>
    </row>
    <row r="78" spans="1:13" x14ac:dyDescent="0.25">
      <c r="A78">
        <v>600</v>
      </c>
      <c r="B78">
        <v>2400</v>
      </c>
      <c r="C78">
        <v>4500</v>
      </c>
      <c r="D78">
        <v>7500</v>
      </c>
      <c r="I78">
        <v>7900</v>
      </c>
      <c r="J78" s="34">
        <f t="shared" si="2"/>
        <v>0</v>
      </c>
      <c r="K78" s="34">
        <f t="shared" si="2"/>
        <v>2.7472527472527475E-3</v>
      </c>
      <c r="L78" s="34">
        <f t="shared" si="3"/>
        <v>0.80769230769230771</v>
      </c>
      <c r="M78" s="34">
        <f t="shared" si="3"/>
        <v>0.56318681318681318</v>
      </c>
    </row>
    <row r="79" spans="1:13" x14ac:dyDescent="0.25">
      <c r="A79">
        <v>400</v>
      </c>
      <c r="B79">
        <v>800</v>
      </c>
      <c r="C79">
        <v>2100</v>
      </c>
      <c r="D79">
        <v>4000</v>
      </c>
      <c r="I79">
        <v>8000</v>
      </c>
      <c r="J79" s="34">
        <f t="shared" si="2"/>
        <v>0</v>
      </c>
      <c r="K79" s="34">
        <f t="shared" si="2"/>
        <v>2.7472527472527475E-3</v>
      </c>
      <c r="L79" s="34">
        <f t="shared" si="3"/>
        <v>0.80769230769230771</v>
      </c>
      <c r="M79" s="34">
        <f t="shared" si="3"/>
        <v>0.60989010989010994</v>
      </c>
    </row>
    <row r="80" spans="1:13" x14ac:dyDescent="0.25">
      <c r="A80">
        <v>2900</v>
      </c>
      <c r="B80">
        <v>5800</v>
      </c>
      <c r="C80">
        <v>14400</v>
      </c>
      <c r="D80">
        <v>23000</v>
      </c>
      <c r="I80">
        <v>8100</v>
      </c>
      <c r="J80" s="34">
        <f t="shared" si="2"/>
        <v>0</v>
      </c>
      <c r="K80" s="34">
        <f t="shared" si="2"/>
        <v>0</v>
      </c>
      <c r="L80" s="34">
        <f t="shared" si="3"/>
        <v>0.82967032967032972</v>
      </c>
      <c r="M80" s="34">
        <f t="shared" si="3"/>
        <v>0.60989010989010994</v>
      </c>
    </row>
    <row r="81" spans="1:13" x14ac:dyDescent="0.25">
      <c r="A81">
        <v>500</v>
      </c>
      <c r="B81">
        <v>1400</v>
      </c>
      <c r="C81">
        <v>2700</v>
      </c>
      <c r="D81">
        <v>4500</v>
      </c>
      <c r="I81">
        <v>8200</v>
      </c>
      <c r="J81" s="34">
        <f t="shared" si="2"/>
        <v>0</v>
      </c>
      <c r="K81" s="34">
        <f t="shared" si="2"/>
        <v>0</v>
      </c>
      <c r="L81" s="34">
        <f t="shared" si="3"/>
        <v>0.82967032967032972</v>
      </c>
      <c r="M81" s="34">
        <f t="shared" si="3"/>
        <v>0.60989010989010994</v>
      </c>
    </row>
    <row r="82" spans="1:13" x14ac:dyDescent="0.25">
      <c r="A82">
        <v>300</v>
      </c>
      <c r="B82">
        <v>1000</v>
      </c>
      <c r="C82">
        <v>3900</v>
      </c>
      <c r="D82">
        <v>5000</v>
      </c>
      <c r="I82">
        <v>8300</v>
      </c>
      <c r="J82" s="34">
        <f t="shared" si="2"/>
        <v>0</v>
      </c>
      <c r="K82" s="34">
        <f t="shared" si="2"/>
        <v>0</v>
      </c>
      <c r="L82" s="34">
        <f t="shared" si="3"/>
        <v>0.82967032967032972</v>
      </c>
      <c r="M82" s="34">
        <f t="shared" si="3"/>
        <v>0.60989010989010994</v>
      </c>
    </row>
    <row r="83" spans="1:13" x14ac:dyDescent="0.25">
      <c r="A83">
        <v>1300</v>
      </c>
      <c r="B83">
        <v>3000</v>
      </c>
      <c r="C83">
        <v>7200</v>
      </c>
      <c r="D83">
        <v>12000</v>
      </c>
      <c r="I83">
        <v>8400</v>
      </c>
      <c r="J83" s="34">
        <f t="shared" si="2"/>
        <v>0</v>
      </c>
      <c r="K83" s="34">
        <f t="shared" si="2"/>
        <v>0</v>
      </c>
      <c r="L83" s="34">
        <f t="shared" si="3"/>
        <v>0.85439560439560436</v>
      </c>
      <c r="M83" s="34">
        <f t="shared" si="3"/>
        <v>0.60989010989010994</v>
      </c>
    </row>
    <row r="84" spans="1:13" x14ac:dyDescent="0.25">
      <c r="A84">
        <v>1200</v>
      </c>
      <c r="B84">
        <v>3400</v>
      </c>
      <c r="C84">
        <v>6300</v>
      </c>
      <c r="D84">
        <v>10500</v>
      </c>
      <c r="I84">
        <v>8500</v>
      </c>
      <c r="J84" s="34">
        <f t="shared" si="2"/>
        <v>0</v>
      </c>
      <c r="K84" s="34">
        <f t="shared" si="2"/>
        <v>0</v>
      </c>
      <c r="L84" s="34">
        <f t="shared" si="3"/>
        <v>0.85439560439560436</v>
      </c>
      <c r="M84" s="34">
        <f t="shared" si="3"/>
        <v>0.60989010989010994</v>
      </c>
    </row>
    <row r="85" spans="1:13" x14ac:dyDescent="0.25">
      <c r="A85">
        <v>900</v>
      </c>
      <c r="B85">
        <v>2000</v>
      </c>
      <c r="C85">
        <v>4200</v>
      </c>
      <c r="D85">
        <v>6500</v>
      </c>
      <c r="I85">
        <v>8600</v>
      </c>
      <c r="J85" s="34">
        <f t="shared" si="2"/>
        <v>0</v>
      </c>
      <c r="K85" s="34">
        <f t="shared" si="2"/>
        <v>0</v>
      </c>
      <c r="L85" s="34">
        <f t="shared" si="3"/>
        <v>0.85439560439560436</v>
      </c>
      <c r="M85" s="34">
        <f t="shared" si="3"/>
        <v>0.60989010989010994</v>
      </c>
    </row>
    <row r="86" spans="1:13" x14ac:dyDescent="0.25">
      <c r="A86">
        <v>400</v>
      </c>
      <c r="B86">
        <v>1200</v>
      </c>
      <c r="C86">
        <v>3000</v>
      </c>
      <c r="D86">
        <v>5500</v>
      </c>
      <c r="I86">
        <v>8700</v>
      </c>
      <c r="J86" s="34">
        <f t="shared" si="2"/>
        <v>0</v>
      </c>
      <c r="K86" s="34">
        <f t="shared" si="2"/>
        <v>0</v>
      </c>
      <c r="L86" s="34">
        <f t="shared" si="3"/>
        <v>0.88461538461538458</v>
      </c>
      <c r="M86" s="34">
        <f t="shared" si="3"/>
        <v>0.60989010989010994</v>
      </c>
    </row>
    <row r="87" spans="1:13" x14ac:dyDescent="0.25">
      <c r="A87">
        <v>500</v>
      </c>
      <c r="B87">
        <v>1400</v>
      </c>
      <c r="C87">
        <v>2400</v>
      </c>
      <c r="D87">
        <v>3500</v>
      </c>
      <c r="I87">
        <v>8800</v>
      </c>
      <c r="J87" s="34">
        <f t="shared" si="2"/>
        <v>0</v>
      </c>
      <c r="K87" s="34">
        <f t="shared" si="2"/>
        <v>0</v>
      </c>
      <c r="L87" s="34">
        <f t="shared" si="3"/>
        <v>0.88461538461538458</v>
      </c>
      <c r="M87" s="34">
        <f t="shared" si="3"/>
        <v>0.60989010989010994</v>
      </c>
    </row>
    <row r="88" spans="1:13" x14ac:dyDescent="0.25">
      <c r="A88">
        <v>600</v>
      </c>
      <c r="B88">
        <v>2400</v>
      </c>
      <c r="C88">
        <v>3900</v>
      </c>
      <c r="D88">
        <v>7000</v>
      </c>
      <c r="I88">
        <v>8900</v>
      </c>
      <c r="J88" s="34">
        <f t="shared" si="2"/>
        <v>0</v>
      </c>
      <c r="K88" s="34">
        <f t="shared" si="2"/>
        <v>0</v>
      </c>
      <c r="L88" s="34">
        <f t="shared" si="3"/>
        <v>0.88461538461538458</v>
      </c>
      <c r="M88" s="34">
        <f t="shared" si="3"/>
        <v>0.60989010989010994</v>
      </c>
    </row>
    <row r="89" spans="1:13" x14ac:dyDescent="0.25">
      <c r="A89">
        <v>1000</v>
      </c>
      <c r="B89">
        <v>2600</v>
      </c>
      <c r="C89">
        <v>7200</v>
      </c>
      <c r="D89">
        <v>12000</v>
      </c>
      <c r="I89">
        <v>9000</v>
      </c>
      <c r="J89" s="34">
        <f t="shared" si="2"/>
        <v>0</v>
      </c>
      <c r="K89" s="34">
        <f t="shared" si="2"/>
        <v>0</v>
      </c>
      <c r="L89" s="34">
        <f t="shared" si="3"/>
        <v>0.89560439560439564</v>
      </c>
      <c r="M89" s="34">
        <f t="shared" si="3"/>
        <v>0.60989010989010994</v>
      </c>
    </row>
    <row r="90" spans="1:13" x14ac:dyDescent="0.25">
      <c r="A90">
        <v>2000</v>
      </c>
      <c r="B90">
        <v>6000</v>
      </c>
      <c r="C90">
        <v>15900</v>
      </c>
      <c r="D90">
        <v>21000</v>
      </c>
      <c r="I90">
        <v>9100</v>
      </c>
      <c r="J90" s="34">
        <f t="shared" si="2"/>
        <v>0</v>
      </c>
      <c r="K90" s="34">
        <f t="shared" si="2"/>
        <v>0</v>
      </c>
      <c r="L90" s="34">
        <f t="shared" si="3"/>
        <v>0.89560439560439564</v>
      </c>
      <c r="M90" s="34">
        <f t="shared" si="3"/>
        <v>0.60989010989010994</v>
      </c>
    </row>
    <row r="91" spans="1:13" x14ac:dyDescent="0.25">
      <c r="A91">
        <v>2400</v>
      </c>
      <c r="B91">
        <v>7000</v>
      </c>
      <c r="C91">
        <v>13800</v>
      </c>
      <c r="D91">
        <v>24500</v>
      </c>
      <c r="I91">
        <v>9200</v>
      </c>
      <c r="J91" s="34">
        <f t="shared" si="2"/>
        <v>0</v>
      </c>
      <c r="K91" s="34">
        <f t="shared" si="2"/>
        <v>0</v>
      </c>
      <c r="L91" s="34">
        <f t="shared" si="3"/>
        <v>0.89560439560439564</v>
      </c>
      <c r="M91" s="34">
        <f t="shared" si="3"/>
        <v>0.60989010989010994</v>
      </c>
    </row>
    <row r="92" spans="1:13" x14ac:dyDescent="0.25">
      <c r="A92">
        <v>400</v>
      </c>
      <c r="B92">
        <v>1000</v>
      </c>
      <c r="C92">
        <v>2100</v>
      </c>
      <c r="D92">
        <v>4000</v>
      </c>
      <c r="I92">
        <v>9300</v>
      </c>
      <c r="J92" s="34">
        <f t="shared" si="2"/>
        <v>0</v>
      </c>
      <c r="K92" s="34">
        <f t="shared" si="2"/>
        <v>0</v>
      </c>
      <c r="L92" s="34">
        <f t="shared" si="3"/>
        <v>0.89560439560439564</v>
      </c>
      <c r="M92" s="34">
        <f t="shared" si="3"/>
        <v>0.60989010989010994</v>
      </c>
    </row>
    <row r="93" spans="1:13" x14ac:dyDescent="0.25">
      <c r="A93">
        <v>1000</v>
      </c>
      <c r="B93">
        <v>2400</v>
      </c>
      <c r="C93">
        <v>3900</v>
      </c>
      <c r="D93">
        <v>6000</v>
      </c>
      <c r="I93">
        <v>9400</v>
      </c>
      <c r="J93" s="34">
        <f t="shared" si="2"/>
        <v>0</v>
      </c>
      <c r="K93" s="34">
        <f t="shared" si="2"/>
        <v>0</v>
      </c>
      <c r="L93" s="34">
        <f t="shared" si="3"/>
        <v>0.89560439560439564</v>
      </c>
      <c r="M93" s="34">
        <f t="shared" si="3"/>
        <v>0.60989010989010994</v>
      </c>
    </row>
    <row r="94" spans="1:13" x14ac:dyDescent="0.25">
      <c r="A94">
        <v>2000</v>
      </c>
      <c r="B94">
        <v>7600</v>
      </c>
      <c r="C94">
        <v>13200</v>
      </c>
      <c r="D94">
        <v>22500</v>
      </c>
      <c r="I94">
        <v>9500</v>
      </c>
      <c r="J94" s="34">
        <f t="shared" si="2"/>
        <v>0</v>
      </c>
      <c r="K94" s="34">
        <f t="shared" si="2"/>
        <v>0</v>
      </c>
      <c r="L94" s="34">
        <f t="shared" si="3"/>
        <v>0.89560439560439564</v>
      </c>
      <c r="M94" s="34">
        <f t="shared" si="3"/>
        <v>0.60989010989010994</v>
      </c>
    </row>
    <row r="95" spans="1:13" x14ac:dyDescent="0.25">
      <c r="A95">
        <v>1000</v>
      </c>
      <c r="B95">
        <v>4000</v>
      </c>
      <c r="C95">
        <v>7800</v>
      </c>
      <c r="D95">
        <v>11500</v>
      </c>
      <c r="I95">
        <v>9600</v>
      </c>
      <c r="J95" s="34">
        <f t="shared" si="2"/>
        <v>0</v>
      </c>
      <c r="K95" s="34">
        <f t="shared" si="2"/>
        <v>0</v>
      </c>
      <c r="L95" s="34">
        <f t="shared" si="3"/>
        <v>0.89560439560439564</v>
      </c>
      <c r="M95" s="34">
        <f t="shared" si="3"/>
        <v>0.60989010989010994</v>
      </c>
    </row>
    <row r="96" spans="1:13" x14ac:dyDescent="0.25">
      <c r="A96">
        <v>400</v>
      </c>
      <c r="B96">
        <v>1400</v>
      </c>
      <c r="C96">
        <v>3000</v>
      </c>
      <c r="D96">
        <v>3500</v>
      </c>
      <c r="I96">
        <v>9700</v>
      </c>
      <c r="J96" s="34">
        <f t="shared" si="2"/>
        <v>0</v>
      </c>
      <c r="K96" s="34">
        <f t="shared" si="2"/>
        <v>0</v>
      </c>
      <c r="L96" s="34">
        <f t="shared" si="3"/>
        <v>0.89560439560439564</v>
      </c>
      <c r="M96" s="34">
        <f t="shared" si="3"/>
        <v>0.60989010989010994</v>
      </c>
    </row>
    <row r="97" spans="1:13" x14ac:dyDescent="0.25">
      <c r="A97">
        <v>1100</v>
      </c>
      <c r="B97">
        <v>3200</v>
      </c>
      <c r="C97">
        <v>7500</v>
      </c>
      <c r="D97">
        <v>12500</v>
      </c>
      <c r="I97">
        <v>9800</v>
      </c>
      <c r="J97" s="34">
        <f t="shared" si="2"/>
        <v>0</v>
      </c>
      <c r="K97" s="34">
        <f t="shared" si="2"/>
        <v>0</v>
      </c>
      <c r="L97" s="34">
        <f t="shared" si="3"/>
        <v>0.89560439560439564</v>
      </c>
      <c r="M97" s="34">
        <f t="shared" si="3"/>
        <v>0.60989010989010994</v>
      </c>
    </row>
    <row r="98" spans="1:13" x14ac:dyDescent="0.25">
      <c r="A98">
        <v>1300</v>
      </c>
      <c r="B98">
        <v>3400</v>
      </c>
      <c r="C98">
        <v>7800</v>
      </c>
      <c r="D98">
        <v>13000</v>
      </c>
      <c r="I98">
        <v>9900</v>
      </c>
      <c r="J98" s="34">
        <f t="shared" si="2"/>
        <v>0</v>
      </c>
      <c r="K98" s="34">
        <f t="shared" si="2"/>
        <v>0</v>
      </c>
      <c r="L98" s="34">
        <f t="shared" si="3"/>
        <v>0.89560439560439564</v>
      </c>
      <c r="M98" s="34">
        <f t="shared" si="3"/>
        <v>0.60989010989010994</v>
      </c>
    </row>
    <row r="99" spans="1:13" x14ac:dyDescent="0.25">
      <c r="A99">
        <v>300</v>
      </c>
      <c r="B99">
        <v>1600</v>
      </c>
      <c r="C99">
        <v>3000</v>
      </c>
      <c r="D99">
        <v>6000</v>
      </c>
      <c r="I99">
        <v>10000</v>
      </c>
      <c r="J99" s="34">
        <f t="shared" si="2"/>
        <v>0</v>
      </c>
      <c r="K99" s="34">
        <f t="shared" si="2"/>
        <v>0</v>
      </c>
      <c r="L99" s="34">
        <f t="shared" si="3"/>
        <v>0.89560439560439564</v>
      </c>
      <c r="M99" s="34">
        <f t="shared" si="3"/>
        <v>0.62912087912087911</v>
      </c>
    </row>
    <row r="100" spans="1:13" x14ac:dyDescent="0.25">
      <c r="A100">
        <v>500</v>
      </c>
      <c r="B100">
        <v>1400</v>
      </c>
      <c r="C100">
        <v>2400</v>
      </c>
      <c r="D100">
        <v>4000</v>
      </c>
    </row>
    <row r="101" spans="1:13" x14ac:dyDescent="0.25">
      <c r="A101">
        <v>900</v>
      </c>
      <c r="B101">
        <v>1600</v>
      </c>
      <c r="C101">
        <v>4500</v>
      </c>
      <c r="D101">
        <v>8000</v>
      </c>
    </row>
    <row r="102" spans="1:13" x14ac:dyDescent="0.25">
      <c r="A102">
        <v>1000</v>
      </c>
      <c r="B102">
        <v>1800</v>
      </c>
      <c r="C102">
        <v>4500</v>
      </c>
      <c r="D102">
        <v>6000</v>
      </c>
    </row>
    <row r="103" spans="1:13" x14ac:dyDescent="0.25">
      <c r="A103">
        <v>1300</v>
      </c>
      <c r="B103">
        <v>3200</v>
      </c>
      <c r="C103">
        <v>6600</v>
      </c>
      <c r="D103">
        <v>11500</v>
      </c>
    </row>
    <row r="104" spans="1:13" x14ac:dyDescent="0.25">
      <c r="A104">
        <v>900</v>
      </c>
      <c r="B104">
        <v>2200</v>
      </c>
      <c r="C104">
        <v>5100</v>
      </c>
      <c r="D104">
        <v>6500</v>
      </c>
    </row>
    <row r="105" spans="1:13" x14ac:dyDescent="0.25">
      <c r="A105">
        <v>500</v>
      </c>
      <c r="B105">
        <v>1600</v>
      </c>
      <c r="C105">
        <v>4800</v>
      </c>
      <c r="D105">
        <v>8000</v>
      </c>
    </row>
    <row r="106" spans="1:13" x14ac:dyDescent="0.25">
      <c r="A106">
        <v>500</v>
      </c>
      <c r="B106">
        <v>1000</v>
      </c>
      <c r="C106">
        <v>2700</v>
      </c>
      <c r="D106">
        <v>5000</v>
      </c>
    </row>
    <row r="107" spans="1:13" x14ac:dyDescent="0.25">
      <c r="A107">
        <v>700</v>
      </c>
      <c r="B107">
        <v>2000</v>
      </c>
      <c r="C107">
        <v>3900</v>
      </c>
      <c r="D107">
        <v>8000</v>
      </c>
    </row>
    <row r="108" spans="1:13" x14ac:dyDescent="0.25">
      <c r="A108">
        <v>900</v>
      </c>
      <c r="B108">
        <v>2000</v>
      </c>
      <c r="C108">
        <v>3600</v>
      </c>
      <c r="D108">
        <v>6000</v>
      </c>
    </row>
    <row r="109" spans="1:13" x14ac:dyDescent="0.25">
      <c r="A109">
        <v>700</v>
      </c>
      <c r="B109">
        <v>1600</v>
      </c>
      <c r="C109">
        <v>3300</v>
      </c>
      <c r="D109">
        <v>7000</v>
      </c>
    </row>
    <row r="110" spans="1:13" x14ac:dyDescent="0.25">
      <c r="A110">
        <v>2300</v>
      </c>
      <c r="B110">
        <v>8000</v>
      </c>
      <c r="C110">
        <v>12300</v>
      </c>
      <c r="D110">
        <v>21500</v>
      </c>
    </row>
    <row r="111" spans="1:13" x14ac:dyDescent="0.25">
      <c r="A111">
        <v>1400</v>
      </c>
      <c r="B111">
        <v>3800</v>
      </c>
      <c r="C111">
        <v>8400</v>
      </c>
      <c r="D111">
        <v>11000</v>
      </c>
    </row>
    <row r="112" spans="1:13" x14ac:dyDescent="0.25">
      <c r="A112">
        <v>1500</v>
      </c>
      <c r="B112">
        <v>3600</v>
      </c>
      <c r="C112">
        <v>8400</v>
      </c>
      <c r="D112">
        <v>12500</v>
      </c>
    </row>
    <row r="113" spans="1:4" x14ac:dyDescent="0.25">
      <c r="A113">
        <v>500</v>
      </c>
      <c r="B113">
        <v>2400</v>
      </c>
      <c r="C113">
        <v>4800</v>
      </c>
      <c r="D113">
        <v>7000</v>
      </c>
    </row>
    <row r="114" spans="1:4" x14ac:dyDescent="0.25">
      <c r="A114">
        <v>600</v>
      </c>
      <c r="B114">
        <v>2000</v>
      </c>
      <c r="C114">
        <v>4500</v>
      </c>
      <c r="D114">
        <v>6000</v>
      </c>
    </row>
    <row r="115" spans="1:4" x14ac:dyDescent="0.25">
      <c r="A115">
        <v>2600</v>
      </c>
      <c r="B115">
        <v>5600</v>
      </c>
      <c r="C115">
        <v>15900</v>
      </c>
      <c r="D115">
        <v>21500</v>
      </c>
    </row>
    <row r="116" spans="1:4" x14ac:dyDescent="0.25">
      <c r="A116">
        <v>1200</v>
      </c>
      <c r="B116">
        <v>2600</v>
      </c>
      <c r="C116">
        <v>8700</v>
      </c>
      <c r="D116">
        <v>12000</v>
      </c>
    </row>
    <row r="117" spans="1:4" x14ac:dyDescent="0.25">
      <c r="A117">
        <v>400</v>
      </c>
      <c r="B117">
        <v>1600</v>
      </c>
      <c r="C117">
        <v>4200</v>
      </c>
      <c r="D117">
        <v>6500</v>
      </c>
    </row>
    <row r="118" spans="1:4" x14ac:dyDescent="0.25">
      <c r="A118">
        <v>1200</v>
      </c>
      <c r="B118">
        <v>4000</v>
      </c>
      <c r="C118">
        <v>6900</v>
      </c>
      <c r="D118">
        <v>12000</v>
      </c>
    </row>
    <row r="119" spans="1:4" x14ac:dyDescent="0.25">
      <c r="A119">
        <v>300</v>
      </c>
      <c r="B119">
        <v>1400</v>
      </c>
      <c r="C119">
        <v>2700</v>
      </c>
      <c r="D119">
        <v>5000</v>
      </c>
    </row>
    <row r="120" spans="1:4" x14ac:dyDescent="0.25">
      <c r="A120">
        <v>700</v>
      </c>
      <c r="B120">
        <v>1600</v>
      </c>
      <c r="C120">
        <v>3900</v>
      </c>
      <c r="D120">
        <v>6000</v>
      </c>
    </row>
    <row r="121" spans="1:4" x14ac:dyDescent="0.25">
      <c r="A121">
        <v>600</v>
      </c>
      <c r="B121">
        <v>2000</v>
      </c>
      <c r="C121">
        <v>4200</v>
      </c>
      <c r="D121">
        <v>7000</v>
      </c>
    </row>
    <row r="122" spans="1:4" x14ac:dyDescent="0.25">
      <c r="A122">
        <v>600</v>
      </c>
      <c r="B122">
        <v>2000</v>
      </c>
      <c r="C122">
        <v>4200</v>
      </c>
      <c r="D122">
        <v>7500</v>
      </c>
    </row>
    <row r="123" spans="1:4" x14ac:dyDescent="0.25">
      <c r="A123">
        <v>1000</v>
      </c>
      <c r="B123">
        <v>3200</v>
      </c>
      <c r="C123">
        <v>6600</v>
      </c>
      <c r="D123">
        <v>12500</v>
      </c>
    </row>
    <row r="124" spans="1:4" x14ac:dyDescent="0.25">
      <c r="A124">
        <v>600</v>
      </c>
      <c r="B124">
        <v>2400</v>
      </c>
      <c r="C124">
        <v>3900</v>
      </c>
      <c r="D124">
        <v>7500</v>
      </c>
    </row>
    <row r="125" spans="1:4" x14ac:dyDescent="0.25">
      <c r="A125">
        <v>1400</v>
      </c>
      <c r="B125">
        <v>3200</v>
      </c>
      <c r="C125">
        <v>8400</v>
      </c>
      <c r="D125">
        <v>10500</v>
      </c>
    </row>
    <row r="126" spans="1:4" x14ac:dyDescent="0.25">
      <c r="A126">
        <v>1400</v>
      </c>
      <c r="B126">
        <v>3400</v>
      </c>
      <c r="C126">
        <v>6900</v>
      </c>
      <c r="D126">
        <v>12000</v>
      </c>
    </row>
    <row r="127" spans="1:4" x14ac:dyDescent="0.25">
      <c r="A127">
        <v>1500</v>
      </c>
      <c r="B127">
        <v>3800</v>
      </c>
      <c r="C127">
        <v>9000</v>
      </c>
      <c r="D127">
        <v>11000</v>
      </c>
    </row>
    <row r="128" spans="1:4" x14ac:dyDescent="0.25">
      <c r="A128">
        <v>600</v>
      </c>
      <c r="B128">
        <v>1400</v>
      </c>
      <c r="C128">
        <v>2700</v>
      </c>
      <c r="D128">
        <v>5000</v>
      </c>
    </row>
    <row r="129" spans="1:4" x14ac:dyDescent="0.25">
      <c r="A129">
        <v>700</v>
      </c>
      <c r="B129">
        <v>1600</v>
      </c>
      <c r="C129">
        <v>3600</v>
      </c>
      <c r="D129">
        <v>5500</v>
      </c>
    </row>
    <row r="130" spans="1:4" x14ac:dyDescent="0.25">
      <c r="A130">
        <v>800</v>
      </c>
      <c r="B130">
        <v>2400</v>
      </c>
      <c r="C130">
        <v>4500</v>
      </c>
      <c r="D130">
        <v>6500</v>
      </c>
    </row>
    <row r="131" spans="1:4" x14ac:dyDescent="0.25">
      <c r="A131">
        <v>700</v>
      </c>
      <c r="B131">
        <v>1000</v>
      </c>
      <c r="C131">
        <v>2700</v>
      </c>
      <c r="D131">
        <v>4000</v>
      </c>
    </row>
    <row r="132" spans="1:4" x14ac:dyDescent="0.25">
      <c r="A132">
        <v>800</v>
      </c>
      <c r="B132">
        <v>2600</v>
      </c>
      <c r="C132">
        <v>8100</v>
      </c>
      <c r="D132">
        <v>11500</v>
      </c>
    </row>
    <row r="133" spans="1:4" x14ac:dyDescent="0.25">
      <c r="A133">
        <v>400</v>
      </c>
      <c r="B133">
        <v>1600</v>
      </c>
      <c r="C133">
        <v>3300</v>
      </c>
      <c r="D133">
        <v>5000</v>
      </c>
    </row>
    <row r="134" spans="1:4" x14ac:dyDescent="0.25">
      <c r="A134">
        <v>800</v>
      </c>
      <c r="B134">
        <v>1800</v>
      </c>
      <c r="C134">
        <v>3600</v>
      </c>
      <c r="D134">
        <v>7000</v>
      </c>
    </row>
    <row r="135" spans="1:4" x14ac:dyDescent="0.25">
      <c r="A135">
        <v>600</v>
      </c>
      <c r="B135">
        <v>1600</v>
      </c>
      <c r="C135">
        <v>3300</v>
      </c>
      <c r="D135">
        <v>7000</v>
      </c>
    </row>
    <row r="136" spans="1:4" x14ac:dyDescent="0.25">
      <c r="A136">
        <v>900</v>
      </c>
      <c r="B136">
        <v>1600</v>
      </c>
      <c r="C136">
        <v>4800</v>
      </c>
      <c r="D136">
        <v>8000</v>
      </c>
    </row>
    <row r="137" spans="1:4" x14ac:dyDescent="0.25">
      <c r="A137">
        <v>400</v>
      </c>
      <c r="B137">
        <v>1400</v>
      </c>
      <c r="C137">
        <v>2100</v>
      </c>
      <c r="D137">
        <v>4000</v>
      </c>
    </row>
    <row r="138" spans="1:4" x14ac:dyDescent="0.25">
      <c r="A138">
        <v>400</v>
      </c>
      <c r="B138">
        <v>1400</v>
      </c>
      <c r="C138">
        <v>4200</v>
      </c>
      <c r="D138">
        <v>5500</v>
      </c>
    </row>
    <row r="139" spans="1:4" x14ac:dyDescent="0.25">
      <c r="A139">
        <v>1400</v>
      </c>
      <c r="B139">
        <v>3400</v>
      </c>
      <c r="C139">
        <v>6300</v>
      </c>
      <c r="D139">
        <v>12500</v>
      </c>
    </row>
    <row r="140" spans="1:4" x14ac:dyDescent="0.25">
      <c r="A140">
        <v>400</v>
      </c>
      <c r="B140">
        <v>1200</v>
      </c>
      <c r="C140">
        <v>3000</v>
      </c>
      <c r="D140">
        <v>4000</v>
      </c>
    </row>
    <row r="141" spans="1:4" x14ac:dyDescent="0.25">
      <c r="A141">
        <v>2400</v>
      </c>
      <c r="B141">
        <v>6800</v>
      </c>
      <c r="C141">
        <v>13500</v>
      </c>
      <c r="D141">
        <v>22500</v>
      </c>
    </row>
    <row r="142" spans="1:4" x14ac:dyDescent="0.25">
      <c r="A142">
        <v>900</v>
      </c>
      <c r="B142">
        <v>1800</v>
      </c>
      <c r="C142">
        <v>4200</v>
      </c>
      <c r="D142">
        <v>6500</v>
      </c>
    </row>
    <row r="143" spans="1:4" x14ac:dyDescent="0.25">
      <c r="A143">
        <v>900</v>
      </c>
      <c r="B143">
        <v>1800</v>
      </c>
      <c r="C143">
        <v>3600</v>
      </c>
      <c r="D143">
        <v>7000</v>
      </c>
    </row>
    <row r="144" spans="1:4" x14ac:dyDescent="0.25">
      <c r="A144">
        <v>1000</v>
      </c>
      <c r="B144">
        <v>1800</v>
      </c>
      <c r="C144">
        <v>4200</v>
      </c>
      <c r="D144">
        <v>7000</v>
      </c>
    </row>
    <row r="145" spans="1:4" x14ac:dyDescent="0.25">
      <c r="A145">
        <v>500</v>
      </c>
      <c r="B145">
        <v>2000</v>
      </c>
      <c r="C145">
        <v>4500</v>
      </c>
      <c r="D145">
        <v>7500</v>
      </c>
    </row>
    <row r="146" spans="1:4" x14ac:dyDescent="0.25">
      <c r="A146">
        <v>600</v>
      </c>
      <c r="B146">
        <v>1800</v>
      </c>
      <c r="C146">
        <v>3900</v>
      </c>
      <c r="D146">
        <v>7000</v>
      </c>
    </row>
    <row r="147" spans="1:4" x14ac:dyDescent="0.25">
      <c r="A147">
        <v>900</v>
      </c>
      <c r="B147">
        <v>1800</v>
      </c>
      <c r="C147">
        <v>3900</v>
      </c>
      <c r="D147">
        <v>7000</v>
      </c>
    </row>
    <row r="148" spans="1:4" x14ac:dyDescent="0.25">
      <c r="A148">
        <v>2300</v>
      </c>
      <c r="B148">
        <v>7400</v>
      </c>
      <c r="C148">
        <v>13200</v>
      </c>
      <c r="D148">
        <v>20500</v>
      </c>
    </row>
    <row r="149" spans="1:4" x14ac:dyDescent="0.25">
      <c r="A149">
        <v>1400</v>
      </c>
      <c r="B149">
        <v>3000</v>
      </c>
      <c r="C149">
        <v>6600</v>
      </c>
      <c r="D149">
        <v>12000</v>
      </c>
    </row>
    <row r="150" spans="1:4" x14ac:dyDescent="0.25">
      <c r="A150">
        <v>400</v>
      </c>
      <c r="B150">
        <v>1200</v>
      </c>
      <c r="C150">
        <v>2700</v>
      </c>
      <c r="D150">
        <v>4000</v>
      </c>
    </row>
    <row r="151" spans="1:4" x14ac:dyDescent="0.25">
      <c r="A151">
        <v>1100</v>
      </c>
      <c r="B151">
        <v>2600</v>
      </c>
      <c r="C151">
        <v>6600</v>
      </c>
      <c r="D151">
        <v>11000</v>
      </c>
    </row>
    <row r="152" spans="1:4" x14ac:dyDescent="0.25">
      <c r="A152">
        <v>800</v>
      </c>
      <c r="B152">
        <v>2400</v>
      </c>
      <c r="C152">
        <v>4200</v>
      </c>
      <c r="D152">
        <v>7000</v>
      </c>
    </row>
    <row r="153" spans="1:4" x14ac:dyDescent="0.25">
      <c r="A153">
        <v>1000</v>
      </c>
      <c r="B153">
        <v>3800</v>
      </c>
      <c r="C153">
        <v>6600</v>
      </c>
      <c r="D153">
        <v>12000</v>
      </c>
    </row>
    <row r="154" spans="1:4" x14ac:dyDescent="0.25">
      <c r="A154">
        <v>600</v>
      </c>
      <c r="B154">
        <v>1400</v>
      </c>
      <c r="C154">
        <v>2400</v>
      </c>
      <c r="D154">
        <v>4500</v>
      </c>
    </row>
    <row r="155" spans="1:4" x14ac:dyDescent="0.25">
      <c r="A155">
        <v>600</v>
      </c>
      <c r="B155">
        <v>2200</v>
      </c>
      <c r="C155">
        <v>4800</v>
      </c>
      <c r="D155">
        <v>8000</v>
      </c>
    </row>
    <row r="156" spans="1:4" x14ac:dyDescent="0.25">
      <c r="A156">
        <v>900</v>
      </c>
      <c r="B156">
        <v>1600</v>
      </c>
      <c r="C156">
        <v>3900</v>
      </c>
      <c r="D156">
        <v>7500</v>
      </c>
    </row>
    <row r="157" spans="1:4" x14ac:dyDescent="0.25">
      <c r="A157">
        <v>600</v>
      </c>
      <c r="B157">
        <v>1600</v>
      </c>
      <c r="C157">
        <v>3600</v>
      </c>
      <c r="D157">
        <v>6000</v>
      </c>
    </row>
    <row r="158" spans="1:4" x14ac:dyDescent="0.25">
      <c r="A158">
        <v>1000</v>
      </c>
      <c r="B158">
        <v>2800</v>
      </c>
      <c r="C158">
        <v>8100</v>
      </c>
      <c r="D158">
        <v>11500</v>
      </c>
    </row>
    <row r="159" spans="1:4" x14ac:dyDescent="0.25">
      <c r="A159">
        <v>300</v>
      </c>
      <c r="B159">
        <v>1800</v>
      </c>
      <c r="C159">
        <v>3300</v>
      </c>
      <c r="D159">
        <v>6000</v>
      </c>
    </row>
    <row r="160" spans="1:4" x14ac:dyDescent="0.25">
      <c r="A160">
        <v>900</v>
      </c>
      <c r="B160">
        <v>2400</v>
      </c>
      <c r="C160">
        <v>4500</v>
      </c>
      <c r="D160">
        <v>6000</v>
      </c>
    </row>
    <row r="161" spans="1:4" x14ac:dyDescent="0.25">
      <c r="A161">
        <v>1000</v>
      </c>
      <c r="B161">
        <v>4000</v>
      </c>
      <c r="C161">
        <v>8700</v>
      </c>
      <c r="D161">
        <v>10500</v>
      </c>
    </row>
    <row r="162" spans="1:4" x14ac:dyDescent="0.25">
      <c r="A162">
        <v>600</v>
      </c>
      <c r="B162">
        <v>2200</v>
      </c>
      <c r="C162">
        <v>3900</v>
      </c>
      <c r="D162">
        <v>7500</v>
      </c>
    </row>
    <row r="163" spans="1:4" x14ac:dyDescent="0.25">
      <c r="A163">
        <v>1500</v>
      </c>
      <c r="B163">
        <v>2800</v>
      </c>
      <c r="C163">
        <v>8100</v>
      </c>
      <c r="D163">
        <v>12500</v>
      </c>
    </row>
    <row r="164" spans="1:4" x14ac:dyDescent="0.25">
      <c r="A164">
        <v>500</v>
      </c>
      <c r="B164">
        <v>1400</v>
      </c>
      <c r="C164">
        <v>2100</v>
      </c>
      <c r="D164">
        <v>4500</v>
      </c>
    </row>
    <row r="165" spans="1:4" x14ac:dyDescent="0.25">
      <c r="A165">
        <v>900</v>
      </c>
      <c r="B165">
        <v>1600</v>
      </c>
      <c r="C165">
        <v>4500</v>
      </c>
      <c r="D165">
        <v>6500</v>
      </c>
    </row>
    <row r="166" spans="1:4" x14ac:dyDescent="0.25">
      <c r="A166">
        <v>600</v>
      </c>
      <c r="B166">
        <v>1600</v>
      </c>
      <c r="C166">
        <v>3900</v>
      </c>
      <c r="D166">
        <v>7000</v>
      </c>
    </row>
    <row r="167" spans="1:4" x14ac:dyDescent="0.25">
      <c r="A167">
        <v>500</v>
      </c>
      <c r="B167">
        <v>1800</v>
      </c>
      <c r="C167">
        <v>5100</v>
      </c>
      <c r="D167">
        <v>7000</v>
      </c>
    </row>
    <row r="168" spans="1:4" x14ac:dyDescent="0.25">
      <c r="A168">
        <v>700</v>
      </c>
      <c r="B168">
        <v>2000</v>
      </c>
      <c r="C168">
        <v>4800</v>
      </c>
      <c r="D168">
        <v>7000</v>
      </c>
    </row>
    <row r="169" spans="1:4" x14ac:dyDescent="0.25">
      <c r="A169">
        <v>600</v>
      </c>
      <c r="B169">
        <v>2200</v>
      </c>
      <c r="C169">
        <v>3900</v>
      </c>
      <c r="D169">
        <v>6000</v>
      </c>
    </row>
    <row r="170" spans="1:4" x14ac:dyDescent="0.25">
      <c r="A170">
        <v>2000</v>
      </c>
      <c r="B170">
        <v>7400</v>
      </c>
      <c r="C170">
        <v>13200</v>
      </c>
      <c r="D170">
        <v>22000</v>
      </c>
    </row>
    <row r="171" spans="1:4" x14ac:dyDescent="0.25">
      <c r="A171">
        <v>500</v>
      </c>
      <c r="B171">
        <v>800</v>
      </c>
      <c r="C171">
        <v>2400</v>
      </c>
      <c r="D171">
        <v>4500</v>
      </c>
    </row>
    <row r="172" spans="1:4" x14ac:dyDescent="0.25">
      <c r="A172">
        <v>300</v>
      </c>
      <c r="B172">
        <v>1400</v>
      </c>
      <c r="C172">
        <v>2700</v>
      </c>
      <c r="D172">
        <v>5000</v>
      </c>
    </row>
    <row r="173" spans="1:4" x14ac:dyDescent="0.25">
      <c r="A173">
        <v>2400</v>
      </c>
      <c r="B173">
        <v>7400</v>
      </c>
      <c r="C173">
        <v>14700</v>
      </c>
      <c r="D173">
        <v>24000</v>
      </c>
    </row>
    <row r="174" spans="1:4" x14ac:dyDescent="0.25">
      <c r="A174">
        <v>500</v>
      </c>
      <c r="B174">
        <v>800</v>
      </c>
      <c r="C174">
        <v>2400</v>
      </c>
      <c r="D174">
        <v>4000</v>
      </c>
    </row>
    <row r="175" spans="1:4" x14ac:dyDescent="0.25">
      <c r="A175">
        <v>900</v>
      </c>
      <c r="B175">
        <v>2200</v>
      </c>
      <c r="C175">
        <v>4500</v>
      </c>
      <c r="D175">
        <v>7500</v>
      </c>
    </row>
    <row r="176" spans="1:4" x14ac:dyDescent="0.25">
      <c r="A176">
        <v>1000</v>
      </c>
      <c r="B176">
        <v>3800</v>
      </c>
      <c r="C176">
        <v>8700</v>
      </c>
      <c r="D176">
        <v>10500</v>
      </c>
    </row>
    <row r="177" spans="1:4" x14ac:dyDescent="0.25">
      <c r="A177">
        <v>1300</v>
      </c>
      <c r="B177">
        <v>3400</v>
      </c>
      <c r="C177">
        <v>8700</v>
      </c>
      <c r="D177">
        <v>12500</v>
      </c>
    </row>
    <row r="178" spans="1:4" x14ac:dyDescent="0.25">
      <c r="A178">
        <v>800</v>
      </c>
      <c r="B178">
        <v>2400</v>
      </c>
      <c r="C178">
        <v>3600</v>
      </c>
      <c r="D178">
        <v>7000</v>
      </c>
    </row>
    <row r="179" spans="1:4" x14ac:dyDescent="0.25">
      <c r="A179">
        <v>1100</v>
      </c>
      <c r="B179">
        <v>2600</v>
      </c>
      <c r="C179">
        <v>7800</v>
      </c>
      <c r="D179">
        <v>12000</v>
      </c>
    </row>
    <row r="180" spans="1:4" x14ac:dyDescent="0.25">
      <c r="A180">
        <v>700</v>
      </c>
      <c r="B180">
        <v>1800</v>
      </c>
      <c r="C180">
        <v>3900</v>
      </c>
      <c r="D180">
        <v>6500</v>
      </c>
    </row>
    <row r="181" spans="1:4" x14ac:dyDescent="0.25">
      <c r="A181">
        <v>400</v>
      </c>
      <c r="B181">
        <v>1400</v>
      </c>
      <c r="C181">
        <v>3300</v>
      </c>
      <c r="D181">
        <v>6000</v>
      </c>
    </row>
    <row r="182" spans="1:4" x14ac:dyDescent="0.25">
      <c r="A182">
        <v>2600</v>
      </c>
      <c r="B182">
        <v>5600</v>
      </c>
      <c r="C182">
        <v>12900</v>
      </c>
      <c r="D182">
        <v>24500</v>
      </c>
    </row>
    <row r="183" spans="1:4" x14ac:dyDescent="0.25">
      <c r="A183">
        <v>400</v>
      </c>
      <c r="B183">
        <v>1000</v>
      </c>
      <c r="C183">
        <v>2400</v>
      </c>
      <c r="D183">
        <v>4500</v>
      </c>
    </row>
    <row r="184" spans="1:4" x14ac:dyDescent="0.25">
      <c r="A184">
        <v>2400</v>
      </c>
      <c r="B184">
        <v>7000</v>
      </c>
      <c r="C184">
        <v>12900</v>
      </c>
      <c r="D184">
        <v>24000</v>
      </c>
    </row>
    <row r="185" spans="1:4" x14ac:dyDescent="0.25">
      <c r="A185">
        <v>900</v>
      </c>
      <c r="B185">
        <v>1600</v>
      </c>
      <c r="C185">
        <v>3600</v>
      </c>
      <c r="D185">
        <v>6000</v>
      </c>
    </row>
    <row r="186" spans="1:4" x14ac:dyDescent="0.25">
      <c r="A186">
        <v>2300</v>
      </c>
      <c r="B186">
        <v>7600</v>
      </c>
      <c r="C186">
        <v>12900</v>
      </c>
      <c r="D186">
        <v>24000</v>
      </c>
    </row>
    <row r="187" spans="1:4" x14ac:dyDescent="0.25">
      <c r="A187">
        <v>800</v>
      </c>
      <c r="B187">
        <v>1800</v>
      </c>
      <c r="C187">
        <v>5100</v>
      </c>
      <c r="D187">
        <v>7000</v>
      </c>
    </row>
    <row r="188" spans="1:4" x14ac:dyDescent="0.25">
      <c r="A188">
        <v>2800</v>
      </c>
      <c r="B188">
        <v>5600</v>
      </c>
      <c r="C188">
        <v>13500</v>
      </c>
      <c r="D188">
        <v>22500</v>
      </c>
    </row>
    <row r="189" spans="1:4" x14ac:dyDescent="0.25">
      <c r="A189">
        <v>900</v>
      </c>
      <c r="B189">
        <v>2200</v>
      </c>
      <c r="C189">
        <v>4800</v>
      </c>
      <c r="D189">
        <v>6500</v>
      </c>
    </row>
    <row r="190" spans="1:4" x14ac:dyDescent="0.25">
      <c r="A190">
        <v>2400</v>
      </c>
      <c r="B190">
        <v>7600</v>
      </c>
      <c r="C190">
        <v>12300</v>
      </c>
      <c r="D190">
        <v>24000</v>
      </c>
    </row>
    <row r="191" spans="1:4" x14ac:dyDescent="0.25">
      <c r="A191">
        <v>1400</v>
      </c>
      <c r="B191">
        <v>3200</v>
      </c>
      <c r="C191">
        <v>7500</v>
      </c>
      <c r="D191">
        <v>12000</v>
      </c>
    </row>
    <row r="192" spans="1:4" x14ac:dyDescent="0.25">
      <c r="A192">
        <v>1000</v>
      </c>
      <c r="B192">
        <v>2200</v>
      </c>
      <c r="C192">
        <v>4800</v>
      </c>
      <c r="D192">
        <v>6500</v>
      </c>
    </row>
    <row r="193" spans="1:4" x14ac:dyDescent="0.25">
      <c r="A193">
        <v>1100</v>
      </c>
      <c r="B193">
        <v>2600</v>
      </c>
      <c r="C193">
        <v>8700</v>
      </c>
      <c r="D193">
        <v>10500</v>
      </c>
    </row>
    <row r="194" spans="1:4" x14ac:dyDescent="0.25">
      <c r="A194">
        <v>900</v>
      </c>
      <c r="B194">
        <v>3400</v>
      </c>
      <c r="C194">
        <v>8700</v>
      </c>
      <c r="D194">
        <v>12000</v>
      </c>
    </row>
    <row r="195" spans="1:4" x14ac:dyDescent="0.25">
      <c r="A195">
        <v>700</v>
      </c>
      <c r="B195">
        <v>1400</v>
      </c>
      <c r="C195">
        <v>2700</v>
      </c>
      <c r="D195">
        <v>4500</v>
      </c>
    </row>
    <row r="196" spans="1:4" x14ac:dyDescent="0.25">
      <c r="A196">
        <v>800</v>
      </c>
      <c r="B196">
        <v>2400</v>
      </c>
      <c r="C196">
        <v>3900</v>
      </c>
      <c r="D196">
        <v>6000</v>
      </c>
    </row>
    <row r="197" spans="1:4" x14ac:dyDescent="0.25">
      <c r="A197">
        <v>2500</v>
      </c>
      <c r="B197">
        <v>6000</v>
      </c>
      <c r="C197">
        <v>15000</v>
      </c>
      <c r="D197">
        <v>24500</v>
      </c>
    </row>
    <row r="198" spans="1:4" x14ac:dyDescent="0.25">
      <c r="A198">
        <v>2800</v>
      </c>
      <c r="B198">
        <v>6800</v>
      </c>
      <c r="C198">
        <v>12600</v>
      </c>
      <c r="D198">
        <v>24000</v>
      </c>
    </row>
    <row r="199" spans="1:4" x14ac:dyDescent="0.25">
      <c r="A199">
        <v>900</v>
      </c>
      <c r="B199">
        <v>2600</v>
      </c>
      <c r="C199">
        <v>7800</v>
      </c>
      <c r="D199">
        <v>11000</v>
      </c>
    </row>
    <row r="200" spans="1:4" x14ac:dyDescent="0.25">
      <c r="A200">
        <v>800</v>
      </c>
      <c r="B200">
        <v>1600</v>
      </c>
      <c r="C200">
        <v>4200</v>
      </c>
      <c r="D200">
        <v>7500</v>
      </c>
    </row>
    <row r="201" spans="1:4" x14ac:dyDescent="0.25">
      <c r="A201">
        <v>900</v>
      </c>
      <c r="B201">
        <v>2200</v>
      </c>
      <c r="C201">
        <v>4500</v>
      </c>
      <c r="D201">
        <v>6500</v>
      </c>
    </row>
    <row r="202" spans="1:4" x14ac:dyDescent="0.25">
      <c r="A202">
        <v>400</v>
      </c>
      <c r="B202">
        <v>1200</v>
      </c>
      <c r="C202">
        <v>2100</v>
      </c>
      <c r="D202">
        <v>4500</v>
      </c>
    </row>
    <row r="203" spans="1:4" x14ac:dyDescent="0.25">
      <c r="A203">
        <v>2700</v>
      </c>
      <c r="B203">
        <v>6800</v>
      </c>
      <c r="C203">
        <v>15900</v>
      </c>
      <c r="D203">
        <v>21500</v>
      </c>
    </row>
    <row r="204" spans="1:4" x14ac:dyDescent="0.25">
      <c r="A204">
        <v>500</v>
      </c>
      <c r="B204">
        <v>1000</v>
      </c>
      <c r="C204">
        <v>2100</v>
      </c>
      <c r="D204">
        <v>4500</v>
      </c>
    </row>
    <row r="205" spans="1:4" x14ac:dyDescent="0.25">
      <c r="A205">
        <v>2200</v>
      </c>
      <c r="B205">
        <v>6800</v>
      </c>
      <c r="C205">
        <v>13200</v>
      </c>
      <c r="D205">
        <v>20500</v>
      </c>
    </row>
    <row r="206" spans="1:4" x14ac:dyDescent="0.25">
      <c r="A206">
        <v>1300</v>
      </c>
      <c r="B206">
        <v>3600</v>
      </c>
      <c r="C206">
        <v>8100</v>
      </c>
      <c r="D206">
        <v>11000</v>
      </c>
    </row>
    <row r="207" spans="1:4" x14ac:dyDescent="0.25">
      <c r="A207">
        <v>1200</v>
      </c>
      <c r="B207">
        <v>3200</v>
      </c>
      <c r="C207">
        <v>6900</v>
      </c>
      <c r="D207">
        <v>13000</v>
      </c>
    </row>
    <row r="208" spans="1:4" x14ac:dyDescent="0.25">
      <c r="A208">
        <v>800</v>
      </c>
      <c r="B208">
        <v>1800</v>
      </c>
      <c r="C208">
        <v>3600</v>
      </c>
      <c r="D208">
        <v>8000</v>
      </c>
    </row>
    <row r="209" spans="1:4" x14ac:dyDescent="0.25">
      <c r="A209">
        <v>2300</v>
      </c>
      <c r="B209">
        <v>7000</v>
      </c>
      <c r="C209">
        <v>12300</v>
      </c>
      <c r="D209">
        <v>22500</v>
      </c>
    </row>
    <row r="210" spans="1:4" x14ac:dyDescent="0.25">
      <c r="A210">
        <v>2800</v>
      </c>
      <c r="B210">
        <v>5000</v>
      </c>
      <c r="C210">
        <v>15300</v>
      </c>
      <c r="D210">
        <v>24000</v>
      </c>
    </row>
    <row r="211" spans="1:4" x14ac:dyDescent="0.25">
      <c r="A211">
        <v>800</v>
      </c>
      <c r="B211">
        <v>3200</v>
      </c>
      <c r="C211">
        <v>7200</v>
      </c>
      <c r="D211">
        <v>11000</v>
      </c>
    </row>
    <row r="212" spans="1:4" x14ac:dyDescent="0.25">
      <c r="A212">
        <v>400</v>
      </c>
      <c r="B212">
        <v>1200</v>
      </c>
      <c r="C212">
        <v>3000</v>
      </c>
      <c r="D212">
        <v>7000</v>
      </c>
    </row>
    <row r="213" spans="1:4" x14ac:dyDescent="0.25">
      <c r="A213">
        <v>500</v>
      </c>
      <c r="B213">
        <v>800</v>
      </c>
      <c r="C213">
        <v>2700</v>
      </c>
      <c r="D213">
        <v>3500</v>
      </c>
    </row>
    <row r="214" spans="1:4" x14ac:dyDescent="0.25">
      <c r="A214">
        <v>600</v>
      </c>
      <c r="B214">
        <v>1400</v>
      </c>
      <c r="C214">
        <v>4200</v>
      </c>
      <c r="D214">
        <v>7000</v>
      </c>
    </row>
    <row r="215" spans="1:4" x14ac:dyDescent="0.25">
      <c r="A215">
        <v>1000</v>
      </c>
      <c r="B215">
        <v>3800</v>
      </c>
      <c r="C215">
        <v>8700</v>
      </c>
      <c r="D215">
        <v>12500</v>
      </c>
    </row>
    <row r="216" spans="1:4" x14ac:dyDescent="0.25">
      <c r="A216">
        <v>500</v>
      </c>
      <c r="B216">
        <v>2200</v>
      </c>
      <c r="C216">
        <v>4500</v>
      </c>
      <c r="D216">
        <v>7500</v>
      </c>
    </row>
    <row r="217" spans="1:4" x14ac:dyDescent="0.25">
      <c r="A217">
        <v>800</v>
      </c>
      <c r="B217">
        <v>1600</v>
      </c>
      <c r="C217">
        <v>4500</v>
      </c>
      <c r="D217">
        <v>7500</v>
      </c>
    </row>
    <row r="218" spans="1:4" x14ac:dyDescent="0.25">
      <c r="A218">
        <v>500</v>
      </c>
      <c r="B218">
        <v>1000</v>
      </c>
      <c r="C218">
        <v>2100</v>
      </c>
      <c r="D218">
        <v>4500</v>
      </c>
    </row>
    <row r="219" spans="1:4" x14ac:dyDescent="0.25">
      <c r="A219">
        <v>500</v>
      </c>
      <c r="B219">
        <v>800</v>
      </c>
      <c r="C219">
        <v>2400</v>
      </c>
      <c r="D219">
        <v>4000</v>
      </c>
    </row>
    <row r="220" spans="1:4" x14ac:dyDescent="0.25">
      <c r="A220">
        <v>900</v>
      </c>
      <c r="B220">
        <v>3800</v>
      </c>
      <c r="C220">
        <v>8400</v>
      </c>
      <c r="D220">
        <v>11500</v>
      </c>
    </row>
    <row r="221" spans="1:4" x14ac:dyDescent="0.25">
      <c r="A221">
        <v>1000</v>
      </c>
      <c r="B221">
        <v>3800</v>
      </c>
      <c r="C221">
        <v>8400</v>
      </c>
      <c r="D221">
        <v>11500</v>
      </c>
    </row>
    <row r="222" spans="1:4" x14ac:dyDescent="0.25">
      <c r="A222">
        <v>400</v>
      </c>
      <c r="B222">
        <v>1000</v>
      </c>
      <c r="C222">
        <v>3000</v>
      </c>
      <c r="D222">
        <v>5000</v>
      </c>
    </row>
    <row r="223" spans="1:4" x14ac:dyDescent="0.25">
      <c r="A223">
        <v>800</v>
      </c>
      <c r="B223">
        <v>3200</v>
      </c>
      <c r="C223">
        <v>6900</v>
      </c>
      <c r="D223">
        <v>11000</v>
      </c>
    </row>
    <row r="224" spans="1:4" x14ac:dyDescent="0.25">
      <c r="A224">
        <v>1500</v>
      </c>
      <c r="B224">
        <v>2600</v>
      </c>
      <c r="C224">
        <v>8100</v>
      </c>
      <c r="D224">
        <v>12000</v>
      </c>
    </row>
    <row r="225" spans="1:4" x14ac:dyDescent="0.25">
      <c r="A225">
        <v>2500</v>
      </c>
      <c r="B225">
        <v>5200</v>
      </c>
      <c r="C225">
        <v>12600</v>
      </c>
      <c r="D225">
        <v>24500</v>
      </c>
    </row>
    <row r="226" spans="1:4" x14ac:dyDescent="0.25">
      <c r="A226">
        <v>900</v>
      </c>
      <c r="B226">
        <v>3000</v>
      </c>
      <c r="C226">
        <v>7200</v>
      </c>
      <c r="D226">
        <v>11000</v>
      </c>
    </row>
    <row r="227" spans="1:4" x14ac:dyDescent="0.25">
      <c r="A227">
        <v>400</v>
      </c>
      <c r="B227">
        <v>1800</v>
      </c>
      <c r="C227">
        <v>3600</v>
      </c>
      <c r="D227">
        <v>6000</v>
      </c>
    </row>
    <row r="228" spans="1:4" x14ac:dyDescent="0.25">
      <c r="A228">
        <v>700</v>
      </c>
      <c r="B228">
        <v>2400</v>
      </c>
      <c r="C228">
        <v>4200</v>
      </c>
      <c r="D228">
        <v>7500</v>
      </c>
    </row>
    <row r="229" spans="1:4" x14ac:dyDescent="0.25">
      <c r="A229">
        <v>600</v>
      </c>
      <c r="B229">
        <v>1200</v>
      </c>
      <c r="C229">
        <v>3300</v>
      </c>
      <c r="D229">
        <v>6500</v>
      </c>
    </row>
    <row r="230" spans="1:4" x14ac:dyDescent="0.25">
      <c r="A230">
        <v>800</v>
      </c>
      <c r="B230">
        <v>3000</v>
      </c>
      <c r="C230">
        <v>8700</v>
      </c>
      <c r="D230">
        <v>11000</v>
      </c>
    </row>
    <row r="231" spans="1:4" x14ac:dyDescent="0.25">
      <c r="A231">
        <v>400</v>
      </c>
      <c r="B231">
        <v>1600</v>
      </c>
      <c r="C231">
        <v>3000</v>
      </c>
      <c r="D231">
        <v>5500</v>
      </c>
    </row>
    <row r="232" spans="1:4" x14ac:dyDescent="0.25">
      <c r="A232">
        <v>800</v>
      </c>
      <c r="B232">
        <v>2400</v>
      </c>
      <c r="C232">
        <v>3600</v>
      </c>
      <c r="D232">
        <v>7500</v>
      </c>
    </row>
    <row r="233" spans="1:4" x14ac:dyDescent="0.25">
      <c r="A233">
        <v>600</v>
      </c>
      <c r="B233">
        <v>2400</v>
      </c>
      <c r="C233">
        <v>4800</v>
      </c>
      <c r="D233">
        <v>8000</v>
      </c>
    </row>
    <row r="234" spans="1:4" x14ac:dyDescent="0.25">
      <c r="A234">
        <v>800</v>
      </c>
      <c r="B234">
        <v>2800</v>
      </c>
      <c r="C234">
        <v>7500</v>
      </c>
      <c r="D234">
        <v>11500</v>
      </c>
    </row>
    <row r="235" spans="1:4" x14ac:dyDescent="0.25">
      <c r="A235">
        <v>400</v>
      </c>
      <c r="B235">
        <v>1200</v>
      </c>
      <c r="C235">
        <v>2100</v>
      </c>
      <c r="D235">
        <v>5000</v>
      </c>
    </row>
    <row r="236" spans="1:4" x14ac:dyDescent="0.25">
      <c r="A236">
        <v>1300</v>
      </c>
      <c r="B236">
        <v>3000</v>
      </c>
      <c r="C236">
        <v>7200</v>
      </c>
      <c r="D236">
        <v>12000</v>
      </c>
    </row>
    <row r="237" spans="1:4" x14ac:dyDescent="0.25">
      <c r="A237">
        <v>700</v>
      </c>
      <c r="B237">
        <v>2000</v>
      </c>
      <c r="C237">
        <v>3600</v>
      </c>
      <c r="D237">
        <v>6000</v>
      </c>
    </row>
    <row r="238" spans="1:4" x14ac:dyDescent="0.25">
      <c r="A238">
        <v>800</v>
      </c>
      <c r="B238">
        <v>2200</v>
      </c>
      <c r="C238">
        <v>3900</v>
      </c>
      <c r="D238">
        <v>6500</v>
      </c>
    </row>
    <row r="239" spans="1:4" x14ac:dyDescent="0.25">
      <c r="A239">
        <v>800</v>
      </c>
      <c r="B239">
        <v>1600</v>
      </c>
      <c r="C239">
        <v>4200</v>
      </c>
      <c r="D239">
        <v>7000</v>
      </c>
    </row>
    <row r="240" spans="1:4" x14ac:dyDescent="0.25">
      <c r="A240">
        <v>300</v>
      </c>
      <c r="B240">
        <v>800</v>
      </c>
      <c r="C240">
        <v>2700</v>
      </c>
      <c r="D240">
        <v>4500</v>
      </c>
    </row>
    <row r="241" spans="1:4" x14ac:dyDescent="0.25">
      <c r="A241">
        <v>1200</v>
      </c>
      <c r="B241">
        <v>3400</v>
      </c>
      <c r="C241">
        <v>7200</v>
      </c>
      <c r="D241">
        <v>12000</v>
      </c>
    </row>
    <row r="242" spans="1:4" x14ac:dyDescent="0.25">
      <c r="A242">
        <v>400</v>
      </c>
      <c r="B242">
        <v>800</v>
      </c>
      <c r="C242">
        <v>2100</v>
      </c>
      <c r="D242">
        <v>3500</v>
      </c>
    </row>
    <row r="243" spans="1:4" x14ac:dyDescent="0.25">
      <c r="A243">
        <v>1000</v>
      </c>
      <c r="B243">
        <v>3400</v>
      </c>
      <c r="C243">
        <v>6300</v>
      </c>
      <c r="D243">
        <v>11000</v>
      </c>
    </row>
    <row r="244" spans="1:4" x14ac:dyDescent="0.25">
      <c r="A244">
        <v>900</v>
      </c>
      <c r="B244">
        <v>2400</v>
      </c>
      <c r="C244">
        <v>3600</v>
      </c>
      <c r="D244">
        <v>8000</v>
      </c>
    </row>
    <row r="245" spans="1:4" x14ac:dyDescent="0.25">
      <c r="A245">
        <v>1400</v>
      </c>
      <c r="B245">
        <v>3200</v>
      </c>
      <c r="C245">
        <v>7500</v>
      </c>
      <c r="D245">
        <v>12000</v>
      </c>
    </row>
    <row r="246" spans="1:4" x14ac:dyDescent="0.25">
      <c r="A246">
        <v>600</v>
      </c>
      <c r="B246">
        <v>1600</v>
      </c>
      <c r="C246">
        <v>3900</v>
      </c>
      <c r="D246">
        <v>8000</v>
      </c>
    </row>
    <row r="247" spans="1:4" x14ac:dyDescent="0.25">
      <c r="A247">
        <v>900</v>
      </c>
      <c r="B247">
        <v>2600</v>
      </c>
      <c r="C247">
        <v>8400</v>
      </c>
      <c r="D247">
        <v>10000</v>
      </c>
    </row>
    <row r="248" spans="1:4" x14ac:dyDescent="0.25">
      <c r="A248">
        <v>600</v>
      </c>
      <c r="B248">
        <v>1000</v>
      </c>
      <c r="C248">
        <v>2400</v>
      </c>
      <c r="D248">
        <v>4000</v>
      </c>
    </row>
    <row r="249" spans="1:4" x14ac:dyDescent="0.25">
      <c r="A249">
        <v>800</v>
      </c>
      <c r="B249">
        <v>2400</v>
      </c>
      <c r="C249">
        <v>3600</v>
      </c>
      <c r="D249">
        <v>7000</v>
      </c>
    </row>
    <row r="250" spans="1:4" x14ac:dyDescent="0.25">
      <c r="A250">
        <v>500</v>
      </c>
      <c r="B250">
        <v>1600</v>
      </c>
      <c r="C250">
        <v>4200</v>
      </c>
      <c r="D250">
        <v>6000</v>
      </c>
    </row>
    <row r="251" spans="1:4" x14ac:dyDescent="0.25">
      <c r="A251">
        <v>1500</v>
      </c>
      <c r="B251">
        <v>3200</v>
      </c>
      <c r="C251">
        <v>7200</v>
      </c>
      <c r="D251">
        <v>12500</v>
      </c>
    </row>
    <row r="252" spans="1:4" x14ac:dyDescent="0.25">
      <c r="A252">
        <v>1000</v>
      </c>
      <c r="B252">
        <v>1600</v>
      </c>
      <c r="C252">
        <v>4800</v>
      </c>
      <c r="D252">
        <v>7000</v>
      </c>
    </row>
    <row r="253" spans="1:4" x14ac:dyDescent="0.25">
      <c r="A253">
        <v>1400</v>
      </c>
      <c r="B253">
        <v>4000</v>
      </c>
      <c r="C253">
        <v>6600</v>
      </c>
      <c r="D253">
        <v>11500</v>
      </c>
    </row>
    <row r="254" spans="1:4" x14ac:dyDescent="0.25">
      <c r="A254">
        <v>400</v>
      </c>
      <c r="B254">
        <v>1000</v>
      </c>
      <c r="C254">
        <v>3000</v>
      </c>
      <c r="D254">
        <v>3500</v>
      </c>
    </row>
    <row r="255" spans="1:4" x14ac:dyDescent="0.25">
      <c r="A255">
        <v>600</v>
      </c>
      <c r="B255">
        <v>1600</v>
      </c>
      <c r="C255">
        <v>4200</v>
      </c>
      <c r="D255">
        <v>7000</v>
      </c>
    </row>
    <row r="256" spans="1:4" x14ac:dyDescent="0.25">
      <c r="A256">
        <v>400</v>
      </c>
      <c r="B256">
        <v>1400</v>
      </c>
      <c r="C256">
        <v>2700</v>
      </c>
      <c r="D256">
        <v>4000</v>
      </c>
    </row>
    <row r="257" spans="1:4" x14ac:dyDescent="0.25">
      <c r="A257">
        <v>2600</v>
      </c>
      <c r="B257">
        <v>6600</v>
      </c>
      <c r="C257">
        <v>14100</v>
      </c>
      <c r="D257">
        <v>22000</v>
      </c>
    </row>
    <row r="258" spans="1:4" x14ac:dyDescent="0.25">
      <c r="A258">
        <v>700</v>
      </c>
      <c r="B258">
        <v>2200</v>
      </c>
      <c r="C258">
        <v>3600</v>
      </c>
      <c r="D258">
        <v>8000</v>
      </c>
    </row>
    <row r="259" spans="1:4" x14ac:dyDescent="0.25">
      <c r="A259">
        <v>900</v>
      </c>
      <c r="B259">
        <v>2200</v>
      </c>
      <c r="C259">
        <v>4200</v>
      </c>
      <c r="D259">
        <v>8000</v>
      </c>
    </row>
    <row r="260" spans="1:4" x14ac:dyDescent="0.25">
      <c r="A260">
        <v>1300</v>
      </c>
      <c r="B260">
        <v>2800</v>
      </c>
      <c r="C260">
        <v>8100</v>
      </c>
      <c r="D260">
        <v>10500</v>
      </c>
    </row>
    <row r="261" spans="1:4" x14ac:dyDescent="0.25">
      <c r="A261">
        <v>2200</v>
      </c>
      <c r="B261">
        <v>7400</v>
      </c>
      <c r="C261">
        <v>12900</v>
      </c>
      <c r="D261">
        <v>23500</v>
      </c>
    </row>
    <row r="262" spans="1:4" x14ac:dyDescent="0.25">
      <c r="A262">
        <v>600</v>
      </c>
      <c r="B262">
        <v>1400</v>
      </c>
      <c r="C262">
        <v>2700</v>
      </c>
      <c r="D262">
        <v>4000</v>
      </c>
    </row>
    <row r="263" spans="1:4" x14ac:dyDescent="0.25">
      <c r="A263">
        <v>2100</v>
      </c>
      <c r="B263">
        <v>5600</v>
      </c>
      <c r="C263">
        <v>14100</v>
      </c>
      <c r="D263">
        <v>24500</v>
      </c>
    </row>
    <row r="264" spans="1:4" x14ac:dyDescent="0.25">
      <c r="A264">
        <v>500</v>
      </c>
      <c r="B264">
        <v>1200</v>
      </c>
      <c r="C264">
        <v>3000</v>
      </c>
      <c r="D264">
        <v>5500</v>
      </c>
    </row>
    <row r="265" spans="1:4" x14ac:dyDescent="0.25">
      <c r="A265">
        <v>1000</v>
      </c>
      <c r="B265">
        <v>3400</v>
      </c>
      <c r="C265">
        <v>6300</v>
      </c>
      <c r="D265">
        <v>11000</v>
      </c>
    </row>
    <row r="266" spans="1:4" x14ac:dyDescent="0.25">
      <c r="A266">
        <v>900</v>
      </c>
      <c r="B266">
        <v>2800</v>
      </c>
      <c r="C266">
        <v>6900</v>
      </c>
      <c r="D266">
        <v>11500</v>
      </c>
    </row>
    <row r="267" spans="1:4" x14ac:dyDescent="0.25">
      <c r="A267">
        <v>900</v>
      </c>
      <c r="B267">
        <v>4000</v>
      </c>
      <c r="C267">
        <v>7500</v>
      </c>
      <c r="D267">
        <v>11000</v>
      </c>
    </row>
    <row r="268" spans="1:4" x14ac:dyDescent="0.25">
      <c r="A268">
        <v>900</v>
      </c>
      <c r="B268">
        <v>2000</v>
      </c>
      <c r="C268">
        <v>3600</v>
      </c>
      <c r="D268">
        <v>6500</v>
      </c>
    </row>
    <row r="269" spans="1:4" x14ac:dyDescent="0.25">
      <c r="A269">
        <v>800</v>
      </c>
      <c r="B269">
        <v>2000</v>
      </c>
      <c r="C269">
        <v>3600</v>
      </c>
      <c r="D269">
        <v>7500</v>
      </c>
    </row>
    <row r="270" spans="1:4" x14ac:dyDescent="0.25">
      <c r="A270">
        <v>3000</v>
      </c>
      <c r="B270">
        <v>5400</v>
      </c>
      <c r="C270">
        <v>14100</v>
      </c>
      <c r="D270">
        <v>23500</v>
      </c>
    </row>
    <row r="271" spans="1:4" x14ac:dyDescent="0.25">
      <c r="A271">
        <v>900</v>
      </c>
      <c r="B271">
        <v>3400</v>
      </c>
      <c r="C271">
        <v>6300</v>
      </c>
      <c r="D271">
        <v>12000</v>
      </c>
    </row>
    <row r="272" spans="1:4" x14ac:dyDescent="0.25">
      <c r="A272">
        <v>1200</v>
      </c>
      <c r="B272">
        <v>3600</v>
      </c>
      <c r="C272">
        <v>6000</v>
      </c>
      <c r="D272">
        <v>11000</v>
      </c>
    </row>
    <row r="273" spans="1:4" x14ac:dyDescent="0.25">
      <c r="A273">
        <v>2000</v>
      </c>
      <c r="B273">
        <v>7400</v>
      </c>
      <c r="C273">
        <v>13500</v>
      </c>
      <c r="D273">
        <v>20000</v>
      </c>
    </row>
    <row r="274" spans="1:4" x14ac:dyDescent="0.25">
      <c r="A274">
        <v>1000</v>
      </c>
      <c r="B274">
        <v>2200</v>
      </c>
      <c r="C274">
        <v>5100</v>
      </c>
      <c r="D274">
        <v>7000</v>
      </c>
    </row>
    <row r="275" spans="1:4" x14ac:dyDescent="0.25">
      <c r="A275">
        <v>600</v>
      </c>
      <c r="B275">
        <v>1600</v>
      </c>
      <c r="C275">
        <v>4200</v>
      </c>
      <c r="D275">
        <v>7000</v>
      </c>
    </row>
    <row r="276" spans="1:4" x14ac:dyDescent="0.25">
      <c r="A276">
        <v>400</v>
      </c>
      <c r="B276">
        <v>800</v>
      </c>
      <c r="C276">
        <v>3000</v>
      </c>
      <c r="D276">
        <v>4500</v>
      </c>
    </row>
    <row r="277" spans="1:4" x14ac:dyDescent="0.25">
      <c r="A277">
        <v>600</v>
      </c>
      <c r="B277">
        <v>1200</v>
      </c>
      <c r="C277">
        <v>2100</v>
      </c>
      <c r="D277">
        <v>4000</v>
      </c>
    </row>
    <row r="278" spans="1:4" x14ac:dyDescent="0.25">
      <c r="A278">
        <v>900</v>
      </c>
      <c r="B278">
        <v>3200</v>
      </c>
      <c r="C278">
        <v>8700</v>
      </c>
      <c r="D278">
        <v>13000</v>
      </c>
    </row>
    <row r="279" spans="1:4" x14ac:dyDescent="0.25">
      <c r="A279">
        <v>600</v>
      </c>
      <c r="B279">
        <v>1000</v>
      </c>
      <c r="C279">
        <v>2100</v>
      </c>
      <c r="D279">
        <v>4000</v>
      </c>
    </row>
    <row r="280" spans="1:4" x14ac:dyDescent="0.25">
      <c r="A280">
        <v>900</v>
      </c>
      <c r="B280">
        <v>2800</v>
      </c>
      <c r="C280">
        <v>7500</v>
      </c>
      <c r="D280">
        <v>12500</v>
      </c>
    </row>
    <row r="281" spans="1:4" x14ac:dyDescent="0.25">
      <c r="A281">
        <v>1000</v>
      </c>
      <c r="B281">
        <v>3800</v>
      </c>
      <c r="C281">
        <v>6300</v>
      </c>
      <c r="D281">
        <v>12000</v>
      </c>
    </row>
    <row r="282" spans="1:4" x14ac:dyDescent="0.25">
      <c r="A282">
        <v>500</v>
      </c>
      <c r="B282">
        <v>800</v>
      </c>
      <c r="C282">
        <v>2700</v>
      </c>
      <c r="D282">
        <v>4500</v>
      </c>
    </row>
    <row r="283" spans="1:4" x14ac:dyDescent="0.25">
      <c r="A283">
        <v>900</v>
      </c>
      <c r="B283">
        <v>2400</v>
      </c>
      <c r="C283">
        <v>4500</v>
      </c>
      <c r="D283">
        <v>7500</v>
      </c>
    </row>
    <row r="284" spans="1:4" x14ac:dyDescent="0.25">
      <c r="A284">
        <v>600</v>
      </c>
      <c r="B284">
        <v>1000</v>
      </c>
      <c r="C284">
        <v>2700</v>
      </c>
      <c r="D284">
        <v>5000</v>
      </c>
    </row>
    <row r="285" spans="1:4" x14ac:dyDescent="0.25">
      <c r="A285">
        <v>500</v>
      </c>
      <c r="B285">
        <v>1400</v>
      </c>
      <c r="C285">
        <v>3900</v>
      </c>
      <c r="D285">
        <v>6000</v>
      </c>
    </row>
    <row r="286" spans="1:4" x14ac:dyDescent="0.25">
      <c r="A286">
        <v>1000</v>
      </c>
      <c r="B286">
        <v>3600</v>
      </c>
      <c r="C286">
        <v>7200</v>
      </c>
      <c r="D286">
        <v>12000</v>
      </c>
    </row>
    <row r="287" spans="1:4" x14ac:dyDescent="0.25">
      <c r="A287">
        <v>1300</v>
      </c>
      <c r="B287">
        <v>3200</v>
      </c>
      <c r="C287">
        <v>8100</v>
      </c>
      <c r="D287">
        <v>12500</v>
      </c>
    </row>
    <row r="288" spans="1:4" x14ac:dyDescent="0.25">
      <c r="A288">
        <v>800</v>
      </c>
      <c r="B288">
        <v>2800</v>
      </c>
      <c r="C288">
        <v>6600</v>
      </c>
      <c r="D288">
        <v>12500</v>
      </c>
    </row>
    <row r="289" spans="1:4" x14ac:dyDescent="0.25">
      <c r="A289">
        <v>900</v>
      </c>
      <c r="B289">
        <v>2200</v>
      </c>
      <c r="C289">
        <v>3900</v>
      </c>
      <c r="D289">
        <v>7000</v>
      </c>
    </row>
    <row r="290" spans="1:4" x14ac:dyDescent="0.25">
      <c r="A290">
        <v>1400</v>
      </c>
      <c r="B290">
        <v>3800</v>
      </c>
      <c r="C290">
        <v>8100</v>
      </c>
      <c r="D290">
        <v>12000</v>
      </c>
    </row>
    <row r="291" spans="1:4" x14ac:dyDescent="0.25">
      <c r="A291">
        <v>1400</v>
      </c>
      <c r="B291">
        <v>3400</v>
      </c>
      <c r="C291">
        <v>7200</v>
      </c>
      <c r="D291">
        <v>10000</v>
      </c>
    </row>
    <row r="292" spans="1:4" x14ac:dyDescent="0.25">
      <c r="A292">
        <v>2300</v>
      </c>
      <c r="B292">
        <v>6600</v>
      </c>
      <c r="C292">
        <v>12600</v>
      </c>
      <c r="D292">
        <v>24000</v>
      </c>
    </row>
    <row r="293" spans="1:4" x14ac:dyDescent="0.25">
      <c r="A293">
        <v>1400</v>
      </c>
      <c r="B293">
        <v>2600</v>
      </c>
      <c r="C293">
        <v>9000</v>
      </c>
      <c r="D293">
        <v>10500</v>
      </c>
    </row>
    <row r="294" spans="1:4" x14ac:dyDescent="0.25">
      <c r="A294">
        <v>700</v>
      </c>
      <c r="B294">
        <v>1200</v>
      </c>
      <c r="C294">
        <v>2100</v>
      </c>
      <c r="D294">
        <v>4500</v>
      </c>
    </row>
    <row r="295" spans="1:4" x14ac:dyDescent="0.25">
      <c r="A295">
        <v>800</v>
      </c>
      <c r="B295">
        <v>1600</v>
      </c>
      <c r="C295">
        <v>3900</v>
      </c>
      <c r="D295">
        <v>6000</v>
      </c>
    </row>
    <row r="296" spans="1:4" x14ac:dyDescent="0.25">
      <c r="A296">
        <v>600</v>
      </c>
      <c r="B296">
        <v>2400</v>
      </c>
      <c r="C296">
        <v>5100</v>
      </c>
      <c r="D296">
        <v>6000</v>
      </c>
    </row>
    <row r="297" spans="1:4" x14ac:dyDescent="0.25">
      <c r="A297">
        <v>600</v>
      </c>
      <c r="B297">
        <v>1400</v>
      </c>
      <c r="C297">
        <v>2700</v>
      </c>
      <c r="D297">
        <v>4500</v>
      </c>
    </row>
    <row r="298" spans="1:4" x14ac:dyDescent="0.25">
      <c r="A298">
        <v>900</v>
      </c>
      <c r="B298">
        <v>3000</v>
      </c>
      <c r="C298">
        <v>7800</v>
      </c>
      <c r="D298">
        <v>12000</v>
      </c>
    </row>
    <row r="299" spans="1:4" x14ac:dyDescent="0.25">
      <c r="A299">
        <v>1100</v>
      </c>
      <c r="B299">
        <v>3600</v>
      </c>
      <c r="C299">
        <v>7500</v>
      </c>
      <c r="D299">
        <v>12000</v>
      </c>
    </row>
    <row r="300" spans="1:4" x14ac:dyDescent="0.25">
      <c r="A300">
        <v>1500</v>
      </c>
      <c r="B300">
        <v>3400</v>
      </c>
      <c r="C300">
        <v>6900</v>
      </c>
      <c r="D300">
        <v>13000</v>
      </c>
    </row>
    <row r="301" spans="1:4" x14ac:dyDescent="0.25">
      <c r="A301">
        <v>900</v>
      </c>
      <c r="B301">
        <v>2800</v>
      </c>
      <c r="C301">
        <v>9000</v>
      </c>
      <c r="D301">
        <v>12000</v>
      </c>
    </row>
    <row r="302" spans="1:4" x14ac:dyDescent="0.25">
      <c r="A302">
        <v>600</v>
      </c>
      <c r="B302">
        <v>1200</v>
      </c>
      <c r="C302">
        <v>2400</v>
      </c>
      <c r="D302">
        <v>4500</v>
      </c>
    </row>
    <row r="303" spans="1:4" x14ac:dyDescent="0.25">
      <c r="A303">
        <v>700</v>
      </c>
      <c r="B303">
        <v>1400</v>
      </c>
      <c r="C303">
        <v>3300</v>
      </c>
      <c r="D303">
        <v>6500</v>
      </c>
    </row>
    <row r="304" spans="1:4" x14ac:dyDescent="0.25">
      <c r="A304">
        <v>700</v>
      </c>
      <c r="B304">
        <v>2400</v>
      </c>
      <c r="C304">
        <v>4500</v>
      </c>
      <c r="D304">
        <v>7500</v>
      </c>
    </row>
    <row r="305" spans="1:4" x14ac:dyDescent="0.25">
      <c r="A305">
        <v>600</v>
      </c>
      <c r="B305">
        <v>1200</v>
      </c>
      <c r="C305">
        <v>3900</v>
      </c>
      <c r="D305">
        <v>6000</v>
      </c>
    </row>
    <row r="306" spans="1:4" x14ac:dyDescent="0.25">
      <c r="A306">
        <v>2200</v>
      </c>
      <c r="B306">
        <v>6000</v>
      </c>
      <c r="C306">
        <v>13500</v>
      </c>
      <c r="D306">
        <v>20000</v>
      </c>
    </row>
    <row r="307" spans="1:4" x14ac:dyDescent="0.25">
      <c r="A307">
        <v>1400</v>
      </c>
      <c r="B307">
        <v>2600</v>
      </c>
      <c r="C307">
        <v>6900</v>
      </c>
      <c r="D307">
        <v>12000</v>
      </c>
    </row>
    <row r="308" spans="1:4" x14ac:dyDescent="0.25">
      <c r="A308">
        <v>800</v>
      </c>
      <c r="B308">
        <v>1600</v>
      </c>
      <c r="C308">
        <v>4200</v>
      </c>
      <c r="D308">
        <v>7000</v>
      </c>
    </row>
    <row r="309" spans="1:4" x14ac:dyDescent="0.25">
      <c r="A309">
        <v>2500</v>
      </c>
      <c r="B309">
        <v>6800</v>
      </c>
      <c r="C309">
        <v>14700</v>
      </c>
      <c r="D309">
        <v>20500</v>
      </c>
    </row>
    <row r="310" spans="1:4" x14ac:dyDescent="0.25">
      <c r="A310">
        <v>1000</v>
      </c>
      <c r="B310">
        <v>3800</v>
      </c>
      <c r="C310">
        <v>6600</v>
      </c>
      <c r="D310">
        <v>10500</v>
      </c>
    </row>
    <row r="311" spans="1:4" x14ac:dyDescent="0.25">
      <c r="A311">
        <v>900</v>
      </c>
      <c r="B311">
        <v>1800</v>
      </c>
      <c r="C311">
        <v>3900</v>
      </c>
      <c r="D311">
        <v>6000</v>
      </c>
    </row>
    <row r="312" spans="1:4" x14ac:dyDescent="0.25">
      <c r="A312">
        <v>1000</v>
      </c>
      <c r="B312">
        <v>1800</v>
      </c>
      <c r="C312">
        <v>4200</v>
      </c>
      <c r="D312">
        <v>7000</v>
      </c>
    </row>
    <row r="313" spans="1:4" x14ac:dyDescent="0.25">
      <c r="A313">
        <v>1100</v>
      </c>
      <c r="B313">
        <v>3800</v>
      </c>
      <c r="C313">
        <v>6300</v>
      </c>
      <c r="D313">
        <v>12500</v>
      </c>
    </row>
    <row r="314" spans="1:4" x14ac:dyDescent="0.25">
      <c r="A314">
        <v>900</v>
      </c>
      <c r="B314">
        <v>2200</v>
      </c>
      <c r="C314">
        <v>4200</v>
      </c>
      <c r="D314">
        <v>8000</v>
      </c>
    </row>
    <row r="315" spans="1:4" x14ac:dyDescent="0.25">
      <c r="A315">
        <v>1200</v>
      </c>
      <c r="B315">
        <v>3800</v>
      </c>
      <c r="C315">
        <v>7800</v>
      </c>
      <c r="D315">
        <v>12500</v>
      </c>
    </row>
    <row r="316" spans="1:4" x14ac:dyDescent="0.25">
      <c r="A316">
        <v>1200</v>
      </c>
      <c r="B316">
        <v>2800</v>
      </c>
      <c r="C316">
        <v>7500</v>
      </c>
      <c r="D316">
        <v>10500</v>
      </c>
    </row>
    <row r="317" spans="1:4" x14ac:dyDescent="0.25">
      <c r="A317">
        <v>1500</v>
      </c>
      <c r="B317">
        <v>2800</v>
      </c>
      <c r="C317">
        <v>6000</v>
      </c>
      <c r="D317">
        <v>10000</v>
      </c>
    </row>
    <row r="318" spans="1:4" x14ac:dyDescent="0.25">
      <c r="A318">
        <v>400</v>
      </c>
      <c r="B318">
        <v>1400</v>
      </c>
      <c r="C318">
        <v>2100</v>
      </c>
      <c r="D318">
        <v>3500</v>
      </c>
    </row>
    <row r="319" spans="1:4" x14ac:dyDescent="0.25">
      <c r="A319">
        <v>700</v>
      </c>
      <c r="B319">
        <v>1800</v>
      </c>
      <c r="C319">
        <v>4200</v>
      </c>
      <c r="D319">
        <v>6000</v>
      </c>
    </row>
    <row r="320" spans="1:4" x14ac:dyDescent="0.25">
      <c r="A320">
        <v>1500</v>
      </c>
      <c r="B320">
        <v>3600</v>
      </c>
      <c r="C320">
        <v>6600</v>
      </c>
      <c r="D320">
        <v>11500</v>
      </c>
    </row>
    <row r="321" spans="1:4" x14ac:dyDescent="0.25">
      <c r="A321">
        <v>600</v>
      </c>
      <c r="B321">
        <v>1600</v>
      </c>
      <c r="C321">
        <v>3900</v>
      </c>
      <c r="D321">
        <v>6000</v>
      </c>
    </row>
    <row r="322" spans="1:4" x14ac:dyDescent="0.25">
      <c r="A322">
        <v>300</v>
      </c>
      <c r="B322">
        <v>1400</v>
      </c>
      <c r="C322">
        <v>4500</v>
      </c>
      <c r="D322">
        <v>6000</v>
      </c>
    </row>
    <row r="323" spans="1:4" x14ac:dyDescent="0.25">
      <c r="A323">
        <v>900</v>
      </c>
      <c r="B323">
        <v>2000</v>
      </c>
      <c r="C323">
        <v>4200</v>
      </c>
      <c r="D323">
        <v>7000</v>
      </c>
    </row>
    <row r="324" spans="1:4" x14ac:dyDescent="0.25">
      <c r="A324">
        <v>400</v>
      </c>
      <c r="B324">
        <v>1000</v>
      </c>
      <c r="C324">
        <v>3300</v>
      </c>
      <c r="D324">
        <v>5500</v>
      </c>
    </row>
    <row r="325" spans="1:4" x14ac:dyDescent="0.25">
      <c r="A325">
        <v>900</v>
      </c>
      <c r="B325">
        <v>1800</v>
      </c>
      <c r="C325">
        <v>3600</v>
      </c>
      <c r="D325">
        <v>6500</v>
      </c>
    </row>
    <row r="326" spans="1:4" x14ac:dyDescent="0.25">
      <c r="A326">
        <v>900</v>
      </c>
      <c r="B326">
        <v>1800</v>
      </c>
      <c r="C326">
        <v>4500</v>
      </c>
      <c r="D326">
        <v>8000</v>
      </c>
    </row>
    <row r="327" spans="1:4" x14ac:dyDescent="0.25">
      <c r="A327">
        <v>500</v>
      </c>
      <c r="B327">
        <v>1600</v>
      </c>
      <c r="C327">
        <v>3900</v>
      </c>
      <c r="D327">
        <v>7000</v>
      </c>
    </row>
    <row r="328" spans="1:4" x14ac:dyDescent="0.25">
      <c r="A328">
        <v>800</v>
      </c>
      <c r="B328">
        <v>2200</v>
      </c>
      <c r="C328">
        <v>4800</v>
      </c>
      <c r="D328">
        <v>7500</v>
      </c>
    </row>
    <row r="329" spans="1:4" x14ac:dyDescent="0.25">
      <c r="A329">
        <v>500</v>
      </c>
      <c r="B329">
        <v>1000</v>
      </c>
      <c r="C329">
        <v>2400</v>
      </c>
      <c r="D329">
        <v>5000</v>
      </c>
    </row>
    <row r="330" spans="1:4" x14ac:dyDescent="0.25">
      <c r="A330">
        <v>400</v>
      </c>
      <c r="B330">
        <v>1200</v>
      </c>
      <c r="C330">
        <v>3900</v>
      </c>
      <c r="D330">
        <v>5000</v>
      </c>
    </row>
    <row r="331" spans="1:4" x14ac:dyDescent="0.25">
      <c r="A331">
        <v>800</v>
      </c>
      <c r="B331">
        <v>1800</v>
      </c>
      <c r="C331">
        <v>4500</v>
      </c>
      <c r="D331">
        <v>6500</v>
      </c>
    </row>
    <row r="332" spans="1:4" x14ac:dyDescent="0.25">
      <c r="A332">
        <v>600</v>
      </c>
      <c r="B332">
        <v>1600</v>
      </c>
      <c r="C332">
        <v>4200</v>
      </c>
      <c r="D332">
        <v>6500</v>
      </c>
    </row>
    <row r="333" spans="1:4" x14ac:dyDescent="0.25">
      <c r="A333">
        <v>800</v>
      </c>
      <c r="B333">
        <v>2400</v>
      </c>
      <c r="C333">
        <v>3600</v>
      </c>
      <c r="D333">
        <v>6500</v>
      </c>
    </row>
    <row r="334" spans="1:4" x14ac:dyDescent="0.25">
      <c r="A334">
        <v>1000</v>
      </c>
      <c r="B334">
        <v>3800</v>
      </c>
      <c r="C334">
        <v>7200</v>
      </c>
      <c r="D334">
        <v>13000</v>
      </c>
    </row>
    <row r="335" spans="1:4" x14ac:dyDescent="0.25">
      <c r="A335">
        <v>500</v>
      </c>
      <c r="B335">
        <v>1000</v>
      </c>
      <c r="C335">
        <v>2100</v>
      </c>
      <c r="D335">
        <v>4000</v>
      </c>
    </row>
    <row r="336" spans="1:4" x14ac:dyDescent="0.25">
      <c r="A336">
        <v>1500</v>
      </c>
      <c r="B336">
        <v>3000</v>
      </c>
      <c r="C336">
        <v>6600</v>
      </c>
      <c r="D336">
        <v>12500</v>
      </c>
    </row>
    <row r="337" spans="1:4" x14ac:dyDescent="0.25">
      <c r="A337">
        <v>800</v>
      </c>
      <c r="B337">
        <v>2800</v>
      </c>
      <c r="C337">
        <v>6300</v>
      </c>
      <c r="D337">
        <v>12500</v>
      </c>
    </row>
    <row r="338" spans="1:4" x14ac:dyDescent="0.25">
      <c r="A338">
        <v>1300</v>
      </c>
      <c r="B338">
        <v>3800</v>
      </c>
      <c r="C338">
        <v>6900</v>
      </c>
      <c r="D338">
        <v>11000</v>
      </c>
    </row>
    <row r="339" spans="1:4" x14ac:dyDescent="0.25">
      <c r="A339">
        <v>900</v>
      </c>
      <c r="B339">
        <v>3000</v>
      </c>
      <c r="C339">
        <v>6900</v>
      </c>
      <c r="D339">
        <v>10000</v>
      </c>
    </row>
    <row r="340" spans="1:4" x14ac:dyDescent="0.25">
      <c r="A340">
        <v>900</v>
      </c>
      <c r="B340">
        <v>2200</v>
      </c>
      <c r="C340">
        <v>3600</v>
      </c>
      <c r="D340">
        <v>7500</v>
      </c>
    </row>
    <row r="341" spans="1:4" x14ac:dyDescent="0.25">
      <c r="A341">
        <v>600</v>
      </c>
      <c r="B341">
        <v>1200</v>
      </c>
      <c r="C341">
        <v>3300</v>
      </c>
      <c r="D341">
        <v>7000</v>
      </c>
    </row>
    <row r="342" spans="1:4" x14ac:dyDescent="0.25">
      <c r="A342">
        <v>2100</v>
      </c>
      <c r="B342">
        <v>6200</v>
      </c>
      <c r="C342">
        <v>14700</v>
      </c>
      <c r="D342">
        <v>24000</v>
      </c>
    </row>
    <row r="343" spans="1:4" x14ac:dyDescent="0.25">
      <c r="A343">
        <v>700</v>
      </c>
      <c r="B343">
        <v>1800</v>
      </c>
      <c r="C343">
        <v>3600</v>
      </c>
      <c r="D343">
        <v>6000</v>
      </c>
    </row>
    <row r="344" spans="1:4" x14ac:dyDescent="0.25">
      <c r="A344">
        <v>700</v>
      </c>
      <c r="B344">
        <v>1000</v>
      </c>
      <c r="C344">
        <v>3900</v>
      </c>
      <c r="D344">
        <v>5000</v>
      </c>
    </row>
    <row r="345" spans="1:4" x14ac:dyDescent="0.25">
      <c r="A345">
        <v>900</v>
      </c>
      <c r="B345">
        <v>2200</v>
      </c>
      <c r="C345">
        <v>4800</v>
      </c>
      <c r="D345">
        <v>6500</v>
      </c>
    </row>
    <row r="346" spans="1:4" x14ac:dyDescent="0.25">
      <c r="A346">
        <v>400</v>
      </c>
      <c r="B346">
        <v>1400</v>
      </c>
      <c r="C346">
        <v>3300</v>
      </c>
      <c r="D346">
        <v>6000</v>
      </c>
    </row>
    <row r="347" spans="1:4" x14ac:dyDescent="0.25">
      <c r="A347">
        <v>1300</v>
      </c>
      <c r="B347">
        <v>2600</v>
      </c>
      <c r="C347">
        <v>6300</v>
      </c>
      <c r="D347">
        <v>11000</v>
      </c>
    </row>
    <row r="348" spans="1:4" x14ac:dyDescent="0.25">
      <c r="A348">
        <v>500</v>
      </c>
      <c r="B348">
        <v>1000</v>
      </c>
      <c r="C348">
        <v>2100</v>
      </c>
      <c r="D348">
        <v>5000</v>
      </c>
    </row>
    <row r="349" spans="1:4" x14ac:dyDescent="0.25">
      <c r="A349">
        <v>1500</v>
      </c>
      <c r="B349">
        <v>4000</v>
      </c>
      <c r="C349">
        <v>7800</v>
      </c>
      <c r="D349">
        <v>10500</v>
      </c>
    </row>
    <row r="350" spans="1:4" x14ac:dyDescent="0.25">
      <c r="A350">
        <v>600</v>
      </c>
      <c r="B350">
        <v>1800</v>
      </c>
      <c r="C350">
        <v>4500</v>
      </c>
      <c r="D350">
        <v>6500</v>
      </c>
    </row>
    <row r="351" spans="1:4" x14ac:dyDescent="0.25">
      <c r="A351">
        <v>600</v>
      </c>
      <c r="B351">
        <v>2000</v>
      </c>
      <c r="C351">
        <v>4500</v>
      </c>
      <c r="D351">
        <v>7000</v>
      </c>
    </row>
    <row r="352" spans="1:4" x14ac:dyDescent="0.25">
      <c r="A352">
        <v>400</v>
      </c>
      <c r="B352">
        <v>800</v>
      </c>
      <c r="C352">
        <v>2700</v>
      </c>
      <c r="D352">
        <v>4000</v>
      </c>
    </row>
    <row r="353" spans="1:4" x14ac:dyDescent="0.25">
      <c r="A353">
        <v>400</v>
      </c>
      <c r="B353">
        <v>1400</v>
      </c>
      <c r="C353">
        <v>2400</v>
      </c>
      <c r="D353">
        <v>4500</v>
      </c>
    </row>
    <row r="354" spans="1:4" x14ac:dyDescent="0.25">
      <c r="A354">
        <v>1100</v>
      </c>
      <c r="B354">
        <v>3200</v>
      </c>
      <c r="C354">
        <v>7800</v>
      </c>
      <c r="D354">
        <v>13000</v>
      </c>
    </row>
    <row r="355" spans="1:4" x14ac:dyDescent="0.25">
      <c r="A355">
        <v>600</v>
      </c>
      <c r="B355">
        <v>1800</v>
      </c>
      <c r="C355">
        <v>3300</v>
      </c>
      <c r="D355">
        <v>5500</v>
      </c>
    </row>
    <row r="356" spans="1:4" x14ac:dyDescent="0.25">
      <c r="A356">
        <v>800</v>
      </c>
      <c r="B356">
        <v>1800</v>
      </c>
      <c r="C356">
        <v>3600</v>
      </c>
      <c r="D356">
        <v>6500</v>
      </c>
    </row>
    <row r="357" spans="1:4" x14ac:dyDescent="0.25">
      <c r="A357">
        <v>1000</v>
      </c>
      <c r="B357">
        <v>2200</v>
      </c>
      <c r="C357">
        <v>4500</v>
      </c>
      <c r="D357">
        <v>7500</v>
      </c>
    </row>
    <row r="358" spans="1:4" x14ac:dyDescent="0.25">
      <c r="A358">
        <v>1100</v>
      </c>
      <c r="B358">
        <v>3400</v>
      </c>
      <c r="C358">
        <v>6600</v>
      </c>
      <c r="D358">
        <v>11500</v>
      </c>
    </row>
    <row r="359" spans="1:4" x14ac:dyDescent="0.25">
      <c r="A359">
        <v>600</v>
      </c>
      <c r="B359">
        <v>2000</v>
      </c>
      <c r="C359">
        <v>4800</v>
      </c>
      <c r="D359">
        <v>6500</v>
      </c>
    </row>
    <row r="360" spans="1:4" x14ac:dyDescent="0.25">
      <c r="A360">
        <v>800</v>
      </c>
      <c r="B360">
        <v>2000</v>
      </c>
      <c r="C360">
        <v>4500</v>
      </c>
      <c r="D360">
        <v>6000</v>
      </c>
    </row>
    <row r="361" spans="1:4" x14ac:dyDescent="0.25">
      <c r="A361">
        <v>900</v>
      </c>
      <c r="B361">
        <v>3000</v>
      </c>
      <c r="C361">
        <v>6900</v>
      </c>
      <c r="D361">
        <v>12500</v>
      </c>
    </row>
    <row r="362" spans="1:4" x14ac:dyDescent="0.25">
      <c r="A362">
        <v>1100</v>
      </c>
      <c r="B362">
        <v>3200</v>
      </c>
      <c r="C362">
        <v>6000</v>
      </c>
      <c r="D362">
        <v>11000</v>
      </c>
    </row>
    <row r="363" spans="1:4" x14ac:dyDescent="0.25">
      <c r="A363">
        <v>600</v>
      </c>
      <c r="B363">
        <v>1200</v>
      </c>
      <c r="C363">
        <v>2400</v>
      </c>
      <c r="D363">
        <v>5000</v>
      </c>
    </row>
    <row r="364" spans="1:4" x14ac:dyDescent="0.25">
      <c r="A364">
        <v>500</v>
      </c>
      <c r="B364">
        <v>1600</v>
      </c>
      <c r="C364">
        <v>3600</v>
      </c>
      <c r="D364">
        <v>6500</v>
      </c>
    </row>
    <row r="365" spans="1:4" x14ac:dyDescent="0.25">
      <c r="A365">
        <v>1300</v>
      </c>
      <c r="B365">
        <v>3000</v>
      </c>
      <c r="C365">
        <v>8700</v>
      </c>
      <c r="D365">
        <v>12000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E22E-75FF-447A-B7D4-90D40951483F}">
  <dimension ref="A1:P637"/>
  <sheetViews>
    <sheetView topLeftCell="R6" zoomScale="109" zoomScaleNormal="85" workbookViewId="0">
      <selection activeCell="V40" sqref="V40"/>
    </sheetView>
  </sheetViews>
  <sheetFormatPr defaultRowHeight="15" x14ac:dyDescent="0.25"/>
  <cols>
    <col min="1" max="1" width="11.42578125" bestFit="1" customWidth="1"/>
    <col min="2" max="2" width="8.42578125" bestFit="1" customWidth="1"/>
    <col min="3" max="3" width="7.7109375" bestFit="1" customWidth="1"/>
    <col min="4" max="4" width="10.5703125" bestFit="1" customWidth="1"/>
  </cols>
  <sheetData>
    <row r="1" spans="1:16" x14ac:dyDescent="0.25">
      <c r="A1" s="1" t="s">
        <v>85</v>
      </c>
      <c r="B1" s="1" t="s">
        <v>101</v>
      </c>
      <c r="C1" s="1" t="s">
        <v>99</v>
      </c>
      <c r="D1" s="1" t="s">
        <v>100</v>
      </c>
      <c r="F1" s="36" t="s">
        <v>102</v>
      </c>
      <c r="G1" t="s">
        <v>103</v>
      </c>
      <c r="I1" s="36" t="s">
        <v>102</v>
      </c>
      <c r="J1" t="s">
        <v>104</v>
      </c>
      <c r="L1" s="36" t="s">
        <v>102</v>
      </c>
      <c r="M1" t="s">
        <v>105</v>
      </c>
      <c r="O1" s="36" t="s">
        <v>102</v>
      </c>
      <c r="P1" t="s">
        <v>106</v>
      </c>
    </row>
    <row r="2" spans="1:16" x14ac:dyDescent="0.25">
      <c r="A2">
        <v>1500</v>
      </c>
      <c r="B2">
        <v>3800</v>
      </c>
      <c r="C2">
        <v>8700</v>
      </c>
      <c r="D2">
        <v>16500</v>
      </c>
      <c r="F2" s="7">
        <v>2500</v>
      </c>
      <c r="G2" s="37">
        <v>4.7169811320754715E-3</v>
      </c>
      <c r="I2" s="7">
        <v>6000</v>
      </c>
      <c r="J2" s="37">
        <v>4.7169811320754715E-3</v>
      </c>
      <c r="L2" s="7">
        <v>2400</v>
      </c>
      <c r="M2" s="37">
        <v>7.8616352201257862E-3</v>
      </c>
      <c r="O2" s="7">
        <v>4000</v>
      </c>
      <c r="P2" s="37">
        <v>3.3018867924528301E-2</v>
      </c>
    </row>
    <row r="3" spans="1:16" x14ac:dyDescent="0.25">
      <c r="A3">
        <v>2000</v>
      </c>
      <c r="B3">
        <v>4000</v>
      </c>
      <c r="C3">
        <v>9900</v>
      </c>
      <c r="D3">
        <v>20000</v>
      </c>
      <c r="F3" s="7">
        <v>2400</v>
      </c>
      <c r="G3" s="37">
        <v>2.6729559748427674E-2</v>
      </c>
      <c r="I3" s="7">
        <v>5800</v>
      </c>
      <c r="J3" s="37">
        <v>2.0440251572327043E-2</v>
      </c>
      <c r="L3" s="7">
        <v>2700</v>
      </c>
      <c r="M3" s="37">
        <v>8.1761006289308172E-2</v>
      </c>
      <c r="O3" s="7">
        <v>4500</v>
      </c>
      <c r="P3" s="37">
        <v>8.6477987421383642E-2</v>
      </c>
    </row>
    <row r="4" spans="1:16" x14ac:dyDescent="0.25">
      <c r="A4">
        <v>800</v>
      </c>
      <c r="B4">
        <v>1800</v>
      </c>
      <c r="C4">
        <v>2700</v>
      </c>
      <c r="D4">
        <v>4500</v>
      </c>
      <c r="F4" s="7">
        <v>2300</v>
      </c>
      <c r="G4" s="37">
        <v>5.0314465408805034E-2</v>
      </c>
      <c r="I4" s="7">
        <v>5600</v>
      </c>
      <c r="J4" s="37">
        <v>4.2452830188679243E-2</v>
      </c>
      <c r="L4" s="7">
        <v>3000</v>
      </c>
      <c r="M4" s="37">
        <v>0.13679245283018868</v>
      </c>
      <c r="O4" s="7">
        <v>5000</v>
      </c>
      <c r="P4" s="37">
        <v>0.13050314465408805</v>
      </c>
    </row>
    <row r="5" spans="1:16" x14ac:dyDescent="0.25">
      <c r="A5">
        <v>1800</v>
      </c>
      <c r="B5">
        <v>3800</v>
      </c>
      <c r="C5">
        <v>8400</v>
      </c>
      <c r="D5">
        <v>14500</v>
      </c>
      <c r="F5" s="7">
        <v>2200</v>
      </c>
      <c r="G5" s="37">
        <v>5.9748427672955975E-2</v>
      </c>
      <c r="I5" s="7">
        <v>5400</v>
      </c>
      <c r="J5" s="37">
        <v>8.1761006289308172E-2</v>
      </c>
      <c r="L5" s="7">
        <v>3300</v>
      </c>
      <c r="M5" s="37">
        <v>0.18553459119496854</v>
      </c>
      <c r="O5" s="7">
        <v>5500</v>
      </c>
      <c r="P5" s="37">
        <v>0.1650943396226415</v>
      </c>
    </row>
    <row r="6" spans="1:16" x14ac:dyDescent="0.25">
      <c r="A6">
        <v>1400</v>
      </c>
      <c r="B6">
        <v>4600</v>
      </c>
      <c r="C6">
        <v>7500</v>
      </c>
      <c r="D6">
        <v>13500</v>
      </c>
      <c r="F6" s="7">
        <v>2100</v>
      </c>
      <c r="G6" s="37">
        <v>7.5471698113207544E-2</v>
      </c>
      <c r="I6" s="7">
        <v>5200</v>
      </c>
      <c r="J6" s="37">
        <v>0.11792452830188679</v>
      </c>
      <c r="L6" s="7">
        <v>3600</v>
      </c>
      <c r="M6" s="37">
        <v>0.19025157232704404</v>
      </c>
      <c r="O6" s="7">
        <v>6000</v>
      </c>
      <c r="P6" s="37">
        <v>0.19025157232704404</v>
      </c>
    </row>
    <row r="7" spans="1:16" x14ac:dyDescent="0.25">
      <c r="A7">
        <v>2000</v>
      </c>
      <c r="B7">
        <v>3600</v>
      </c>
      <c r="C7">
        <v>8400</v>
      </c>
      <c r="D7">
        <v>13000</v>
      </c>
      <c r="F7" s="7">
        <v>2000</v>
      </c>
      <c r="G7" s="37">
        <v>0.11006289308176101</v>
      </c>
      <c r="I7" s="7">
        <v>5000</v>
      </c>
      <c r="J7" s="37">
        <v>0.18081761006289307</v>
      </c>
      <c r="L7" s="7">
        <v>3900</v>
      </c>
      <c r="M7" s="37">
        <v>0.1918238993710692</v>
      </c>
      <c r="O7" s="7">
        <v>7000</v>
      </c>
      <c r="P7" s="37">
        <v>0.20283018867924529</v>
      </c>
    </row>
    <row r="8" spans="1:16" x14ac:dyDescent="0.25">
      <c r="A8">
        <v>800</v>
      </c>
      <c r="B8">
        <v>1800</v>
      </c>
      <c r="C8">
        <v>2700</v>
      </c>
      <c r="D8">
        <v>4000</v>
      </c>
      <c r="F8" s="7">
        <v>1900</v>
      </c>
      <c r="G8" s="37">
        <v>0.1650943396226415</v>
      </c>
      <c r="I8" s="7">
        <v>4800</v>
      </c>
      <c r="J8" s="37">
        <v>0.24371069182389937</v>
      </c>
      <c r="L8" s="7">
        <v>4200</v>
      </c>
      <c r="M8" s="37">
        <v>0.20440251572327045</v>
      </c>
      <c r="O8" s="7">
        <v>7500</v>
      </c>
      <c r="P8" s="37">
        <v>0.22955974842767296</v>
      </c>
    </row>
    <row r="9" spans="1:16" x14ac:dyDescent="0.25">
      <c r="A9">
        <v>1900</v>
      </c>
      <c r="B9">
        <v>4400</v>
      </c>
      <c r="C9">
        <v>9600</v>
      </c>
      <c r="D9">
        <v>18000</v>
      </c>
      <c r="F9" s="7">
        <v>1800</v>
      </c>
      <c r="G9" s="37">
        <v>0.2279874213836478</v>
      </c>
      <c r="I9" s="7">
        <v>4600</v>
      </c>
      <c r="J9" s="37">
        <v>0.29874213836477986</v>
      </c>
      <c r="L9" s="7">
        <v>4500</v>
      </c>
      <c r="M9" s="37">
        <v>0.22327044025157233</v>
      </c>
      <c r="O9" s="7">
        <v>8000</v>
      </c>
      <c r="P9" s="37">
        <v>0.25471698113207547</v>
      </c>
    </row>
    <row r="10" spans="1:16" x14ac:dyDescent="0.25">
      <c r="A10">
        <v>1300</v>
      </c>
      <c r="B10">
        <v>5000</v>
      </c>
      <c r="C10">
        <v>9900</v>
      </c>
      <c r="D10">
        <v>14500</v>
      </c>
      <c r="F10" s="7">
        <v>1700</v>
      </c>
      <c r="G10" s="37">
        <v>0.29716981132075471</v>
      </c>
      <c r="I10" s="7">
        <v>4400</v>
      </c>
      <c r="J10" s="37">
        <v>0.36477987421383645</v>
      </c>
      <c r="L10" s="7">
        <v>4800</v>
      </c>
      <c r="M10" s="37">
        <v>0.24842767295597484</v>
      </c>
      <c r="O10" s="7">
        <v>8500</v>
      </c>
      <c r="P10" s="37">
        <v>0.27987421383647798</v>
      </c>
    </row>
    <row r="11" spans="1:16" x14ac:dyDescent="0.25">
      <c r="A11">
        <v>1300</v>
      </c>
      <c r="B11">
        <v>3400</v>
      </c>
      <c r="C11">
        <v>9600</v>
      </c>
      <c r="D11">
        <v>14000</v>
      </c>
      <c r="F11" s="7">
        <v>1600</v>
      </c>
      <c r="G11" s="37">
        <v>0.36792452830188677</v>
      </c>
      <c r="I11" s="7">
        <v>4200</v>
      </c>
      <c r="J11" s="37">
        <v>0.43710691823899372</v>
      </c>
      <c r="L11" s="7">
        <v>5100</v>
      </c>
      <c r="M11" s="37">
        <v>0.27672955974842767</v>
      </c>
      <c r="O11" s="7">
        <v>9000</v>
      </c>
      <c r="P11" s="37">
        <v>0.30188679245283018</v>
      </c>
    </row>
    <row r="12" spans="1:16" x14ac:dyDescent="0.25">
      <c r="A12">
        <v>1100</v>
      </c>
      <c r="B12">
        <v>5000</v>
      </c>
      <c r="C12">
        <v>7200</v>
      </c>
      <c r="D12">
        <v>12500</v>
      </c>
      <c r="F12" s="7">
        <v>1500</v>
      </c>
      <c r="G12" s="37">
        <v>0.41823899371069184</v>
      </c>
      <c r="I12" s="7">
        <v>4000</v>
      </c>
      <c r="J12" s="37">
        <v>0.49842767295597484</v>
      </c>
      <c r="L12" s="7">
        <v>5400</v>
      </c>
      <c r="M12" s="37">
        <v>0.30188679245283018</v>
      </c>
      <c r="O12" s="7">
        <v>9500</v>
      </c>
      <c r="P12" s="37">
        <v>0.33176100628930816</v>
      </c>
    </row>
    <row r="13" spans="1:16" x14ac:dyDescent="0.25">
      <c r="A13">
        <v>1800</v>
      </c>
      <c r="B13">
        <v>5000</v>
      </c>
      <c r="C13">
        <v>8100</v>
      </c>
      <c r="D13">
        <v>14000</v>
      </c>
      <c r="F13" s="7">
        <v>1400</v>
      </c>
      <c r="G13" s="37">
        <v>0.47169811320754718</v>
      </c>
      <c r="I13" s="7">
        <v>3800</v>
      </c>
      <c r="J13" s="37">
        <v>0.54874213836477992</v>
      </c>
      <c r="L13" s="7">
        <v>5700</v>
      </c>
      <c r="M13" s="37">
        <v>0.32547169811320753</v>
      </c>
      <c r="O13" s="7">
        <v>10000</v>
      </c>
      <c r="P13" s="37">
        <v>0.3411949685534591</v>
      </c>
    </row>
    <row r="14" spans="1:16" x14ac:dyDescent="0.25">
      <c r="A14">
        <v>900</v>
      </c>
      <c r="B14">
        <v>1800</v>
      </c>
      <c r="C14">
        <v>4800</v>
      </c>
      <c r="D14">
        <v>8000</v>
      </c>
      <c r="F14" s="7">
        <v>1300</v>
      </c>
      <c r="G14" s="37">
        <v>0.52044025157232709</v>
      </c>
      <c r="I14" s="7">
        <v>3600</v>
      </c>
      <c r="J14" s="37">
        <v>0.59905660377358494</v>
      </c>
      <c r="L14" s="7">
        <v>6000</v>
      </c>
      <c r="M14" s="37">
        <v>0.3411949685534591</v>
      </c>
      <c r="O14" s="7">
        <v>12000</v>
      </c>
      <c r="P14" s="37">
        <v>0.3632075471698113</v>
      </c>
    </row>
    <row r="15" spans="1:16" x14ac:dyDescent="0.25">
      <c r="A15">
        <v>700</v>
      </c>
      <c r="B15">
        <v>1200</v>
      </c>
      <c r="C15">
        <v>2700</v>
      </c>
      <c r="D15">
        <v>5500</v>
      </c>
      <c r="F15" s="7">
        <v>1200</v>
      </c>
      <c r="G15" s="37">
        <v>0.57861635220125784</v>
      </c>
      <c r="I15" s="7">
        <v>3400</v>
      </c>
      <c r="J15" s="37">
        <v>0.62735849056603776</v>
      </c>
      <c r="L15" s="7">
        <v>7200</v>
      </c>
      <c r="M15" s="37">
        <v>0.36477987421383645</v>
      </c>
      <c r="O15" s="7">
        <v>12500</v>
      </c>
      <c r="P15" s="37">
        <v>0.40723270440251574</v>
      </c>
    </row>
    <row r="16" spans="1:16" x14ac:dyDescent="0.25">
      <c r="A16">
        <v>700</v>
      </c>
      <c r="B16">
        <v>2400</v>
      </c>
      <c r="C16">
        <v>4800</v>
      </c>
      <c r="D16">
        <v>9500</v>
      </c>
      <c r="F16" s="7">
        <v>1100</v>
      </c>
      <c r="G16" s="37">
        <v>0.62421383647798745</v>
      </c>
      <c r="I16" s="7">
        <v>3200</v>
      </c>
      <c r="J16" s="37">
        <v>0.64622641509433965</v>
      </c>
      <c r="L16" s="7">
        <v>7500</v>
      </c>
      <c r="M16" s="37">
        <v>0.38364779874213839</v>
      </c>
      <c r="O16" s="7">
        <v>13000</v>
      </c>
      <c r="P16" s="37">
        <v>0.46855345911949686</v>
      </c>
    </row>
    <row r="17" spans="1:16" x14ac:dyDescent="0.25">
      <c r="A17">
        <v>400</v>
      </c>
      <c r="B17">
        <v>1800</v>
      </c>
      <c r="C17">
        <v>3300</v>
      </c>
      <c r="D17">
        <v>5500</v>
      </c>
      <c r="F17" s="7">
        <v>1000</v>
      </c>
      <c r="G17" s="37">
        <v>0.67610062893081757</v>
      </c>
      <c r="I17" s="7">
        <v>3000</v>
      </c>
      <c r="J17" s="37">
        <v>0.6588050314465409</v>
      </c>
      <c r="L17" s="7">
        <v>7800</v>
      </c>
      <c r="M17" s="37">
        <v>0.41194968553459121</v>
      </c>
      <c r="O17" s="7">
        <v>13500</v>
      </c>
      <c r="P17" s="37">
        <v>0.53144654088050314</v>
      </c>
    </row>
    <row r="18" spans="1:16" x14ac:dyDescent="0.25">
      <c r="A18">
        <v>1500</v>
      </c>
      <c r="B18">
        <v>3400</v>
      </c>
      <c r="C18">
        <v>9600</v>
      </c>
      <c r="D18">
        <v>13000</v>
      </c>
      <c r="F18" s="7">
        <v>900</v>
      </c>
      <c r="G18" s="37">
        <v>0.71855345911949686</v>
      </c>
      <c r="I18" s="7">
        <v>2400</v>
      </c>
      <c r="J18" s="37">
        <v>0.69811320754716977</v>
      </c>
      <c r="L18" s="7">
        <v>8100</v>
      </c>
      <c r="M18" s="37">
        <v>0.45754716981132076</v>
      </c>
      <c r="O18" s="7">
        <v>14000</v>
      </c>
      <c r="P18" s="37">
        <v>0.59591194968553463</v>
      </c>
    </row>
    <row r="19" spans="1:16" x14ac:dyDescent="0.25">
      <c r="A19">
        <v>700</v>
      </c>
      <c r="B19">
        <v>2200</v>
      </c>
      <c r="C19">
        <v>4800</v>
      </c>
      <c r="D19">
        <v>8000</v>
      </c>
      <c r="F19" s="7">
        <v>800</v>
      </c>
      <c r="G19" s="37">
        <v>0.7720125786163522</v>
      </c>
      <c r="I19" s="7">
        <v>2200</v>
      </c>
      <c r="J19" s="37">
        <v>0.71698113207547165</v>
      </c>
      <c r="L19" s="7">
        <v>8400</v>
      </c>
      <c r="M19" s="37">
        <v>0.52358490566037741</v>
      </c>
      <c r="O19" s="7">
        <v>14500</v>
      </c>
      <c r="P19" s="37">
        <v>0.6588050314465409</v>
      </c>
    </row>
    <row r="20" spans="1:16" x14ac:dyDescent="0.25">
      <c r="A20">
        <v>1500</v>
      </c>
      <c r="B20">
        <v>5600</v>
      </c>
      <c r="C20">
        <v>10500</v>
      </c>
      <c r="D20">
        <v>16000</v>
      </c>
      <c r="F20" s="7">
        <v>700</v>
      </c>
      <c r="G20" s="37">
        <v>0.83805031446540879</v>
      </c>
      <c r="I20" s="7">
        <v>2000</v>
      </c>
      <c r="J20" s="37">
        <v>0.75</v>
      </c>
      <c r="L20" s="7">
        <v>8700</v>
      </c>
      <c r="M20" s="37">
        <v>0.57075471698113212</v>
      </c>
      <c r="O20" s="7">
        <v>15000</v>
      </c>
      <c r="P20" s="37">
        <v>0.70754716981132071</v>
      </c>
    </row>
    <row r="21" spans="1:16" x14ac:dyDescent="0.25">
      <c r="A21">
        <v>1200</v>
      </c>
      <c r="B21">
        <v>5000</v>
      </c>
      <c r="C21">
        <v>8100</v>
      </c>
      <c r="D21">
        <v>13500</v>
      </c>
      <c r="F21" s="7">
        <v>600</v>
      </c>
      <c r="G21" s="37">
        <v>0.91823899371069184</v>
      </c>
      <c r="I21" s="7">
        <v>1800</v>
      </c>
      <c r="J21" s="37">
        <v>0.79874213836477992</v>
      </c>
      <c r="L21" s="7">
        <v>9000</v>
      </c>
      <c r="M21" s="37">
        <v>0.63207547169811318</v>
      </c>
      <c r="O21" s="7">
        <v>15500</v>
      </c>
      <c r="P21" s="37">
        <v>0.75157232704402521</v>
      </c>
    </row>
    <row r="22" spans="1:16" x14ac:dyDescent="0.25">
      <c r="A22">
        <v>400</v>
      </c>
      <c r="B22">
        <v>1000</v>
      </c>
      <c r="C22">
        <v>3300</v>
      </c>
      <c r="D22">
        <v>6000</v>
      </c>
      <c r="F22" s="7">
        <v>500</v>
      </c>
      <c r="G22" s="37">
        <v>0.97327044025157228</v>
      </c>
      <c r="I22" s="7">
        <v>1600</v>
      </c>
      <c r="J22" s="37">
        <v>0.88207547169811318</v>
      </c>
      <c r="L22" s="7">
        <v>9300</v>
      </c>
      <c r="M22" s="37">
        <v>0.6808176100628931</v>
      </c>
      <c r="O22" s="7">
        <v>16000</v>
      </c>
      <c r="P22" s="37">
        <v>0.78930817610062898</v>
      </c>
    </row>
    <row r="23" spans="1:16" x14ac:dyDescent="0.25">
      <c r="A23">
        <v>800</v>
      </c>
      <c r="B23">
        <v>1600</v>
      </c>
      <c r="C23">
        <v>2700</v>
      </c>
      <c r="D23">
        <v>5500</v>
      </c>
      <c r="F23" s="7">
        <v>400</v>
      </c>
      <c r="G23" s="37">
        <v>1</v>
      </c>
      <c r="I23" s="7">
        <v>1400</v>
      </c>
      <c r="J23" s="37">
        <v>0.9323899371069182</v>
      </c>
      <c r="L23" s="7">
        <v>9600</v>
      </c>
      <c r="M23" s="37">
        <v>0.74685534591194969</v>
      </c>
      <c r="O23" s="7">
        <v>16500</v>
      </c>
      <c r="P23" s="37">
        <v>0.82547169811320753</v>
      </c>
    </row>
    <row r="24" spans="1:16" x14ac:dyDescent="0.25">
      <c r="A24">
        <v>1000</v>
      </c>
      <c r="B24">
        <v>3200</v>
      </c>
      <c r="C24">
        <v>7500</v>
      </c>
      <c r="D24">
        <v>13000</v>
      </c>
      <c r="I24" s="7">
        <v>1200</v>
      </c>
      <c r="J24" s="37">
        <v>0.97955974842767291</v>
      </c>
      <c r="L24" s="7">
        <v>9900</v>
      </c>
      <c r="M24" s="37">
        <v>0.80974842767295596</v>
      </c>
      <c r="O24" s="7">
        <v>17000</v>
      </c>
      <c r="P24" s="37">
        <v>0.85691823899371067</v>
      </c>
    </row>
    <row r="25" spans="1:16" x14ac:dyDescent="0.25">
      <c r="A25">
        <v>1100</v>
      </c>
      <c r="B25">
        <v>3800</v>
      </c>
      <c r="C25">
        <v>8700</v>
      </c>
      <c r="D25">
        <v>15000</v>
      </c>
      <c r="I25" s="7">
        <v>1000</v>
      </c>
      <c r="J25" s="37">
        <v>1</v>
      </c>
      <c r="L25" s="7">
        <v>10200</v>
      </c>
      <c r="M25" s="37">
        <v>0.84433962264150941</v>
      </c>
      <c r="O25" s="7">
        <v>17500</v>
      </c>
      <c r="P25" s="37">
        <v>0.90251572327044027</v>
      </c>
    </row>
    <row r="26" spans="1:16" x14ac:dyDescent="0.25">
      <c r="A26">
        <v>1400</v>
      </c>
      <c r="B26">
        <v>4400</v>
      </c>
      <c r="C26">
        <v>10500</v>
      </c>
      <c r="D26">
        <v>18000</v>
      </c>
      <c r="L26" s="7">
        <v>10500</v>
      </c>
      <c r="M26" s="37">
        <v>0.89150943396226412</v>
      </c>
      <c r="O26" s="7">
        <v>18000</v>
      </c>
      <c r="P26" s="37">
        <v>0.94182389937106914</v>
      </c>
    </row>
    <row r="27" spans="1:16" x14ac:dyDescent="0.25">
      <c r="A27">
        <v>1000</v>
      </c>
      <c r="B27">
        <v>2000</v>
      </c>
      <c r="C27">
        <v>5400</v>
      </c>
      <c r="D27">
        <v>8000</v>
      </c>
      <c r="L27" s="7">
        <v>10800</v>
      </c>
      <c r="M27" s="37">
        <v>0.9308176100628931</v>
      </c>
      <c r="O27" s="7">
        <v>18500</v>
      </c>
      <c r="P27" s="37">
        <v>0.95440251572327039</v>
      </c>
    </row>
    <row r="28" spans="1:16" x14ac:dyDescent="0.25">
      <c r="A28">
        <v>2000</v>
      </c>
      <c r="B28">
        <v>5200</v>
      </c>
      <c r="C28">
        <v>9600</v>
      </c>
      <c r="D28">
        <v>16000</v>
      </c>
      <c r="L28" s="7">
        <v>11100</v>
      </c>
      <c r="M28" s="37">
        <v>0.95440251572327039</v>
      </c>
      <c r="O28" s="7">
        <v>19000</v>
      </c>
      <c r="P28" s="37">
        <v>0.96855345911949686</v>
      </c>
    </row>
    <row r="29" spans="1:16" x14ac:dyDescent="0.25">
      <c r="A29">
        <v>1800</v>
      </c>
      <c r="B29">
        <v>4200</v>
      </c>
      <c r="C29">
        <v>7800</v>
      </c>
      <c r="D29">
        <v>14500</v>
      </c>
      <c r="L29" s="7">
        <v>11400</v>
      </c>
      <c r="M29" s="37">
        <v>0.98270440251572322</v>
      </c>
      <c r="O29" s="7">
        <v>19500</v>
      </c>
      <c r="P29" s="37">
        <v>0.98899371069182385</v>
      </c>
    </row>
    <row r="30" spans="1:16" x14ac:dyDescent="0.25">
      <c r="A30">
        <v>1300</v>
      </c>
      <c r="B30">
        <v>4400</v>
      </c>
      <c r="C30">
        <v>10800</v>
      </c>
      <c r="D30">
        <v>15000</v>
      </c>
      <c r="L30" s="7">
        <v>11700</v>
      </c>
      <c r="M30" s="37">
        <v>0.99528301886792447</v>
      </c>
      <c r="O30" s="7">
        <v>20000</v>
      </c>
      <c r="P30" s="37">
        <v>1</v>
      </c>
    </row>
    <row r="31" spans="1:16" x14ac:dyDescent="0.25">
      <c r="A31">
        <v>700</v>
      </c>
      <c r="B31">
        <v>2400</v>
      </c>
      <c r="C31">
        <v>5100</v>
      </c>
      <c r="D31">
        <v>8500</v>
      </c>
      <c r="L31" s="7">
        <v>12000</v>
      </c>
      <c r="M31" s="37">
        <v>1</v>
      </c>
    </row>
    <row r="32" spans="1:16" x14ac:dyDescent="0.25">
      <c r="A32">
        <v>800</v>
      </c>
      <c r="B32">
        <v>2200</v>
      </c>
      <c r="C32">
        <v>6000</v>
      </c>
      <c r="D32">
        <v>8500</v>
      </c>
    </row>
    <row r="33" spans="1:4" x14ac:dyDescent="0.25">
      <c r="A33">
        <v>600</v>
      </c>
      <c r="B33">
        <v>1200</v>
      </c>
      <c r="C33">
        <v>3300</v>
      </c>
      <c r="D33">
        <v>5000</v>
      </c>
    </row>
    <row r="34" spans="1:4" x14ac:dyDescent="0.25">
      <c r="A34">
        <v>600</v>
      </c>
      <c r="B34">
        <v>1600</v>
      </c>
      <c r="C34">
        <v>3000</v>
      </c>
      <c r="D34">
        <v>5000</v>
      </c>
    </row>
    <row r="35" spans="1:4" x14ac:dyDescent="0.25">
      <c r="A35">
        <v>1600</v>
      </c>
      <c r="B35">
        <v>4000</v>
      </c>
      <c r="C35">
        <v>8700</v>
      </c>
      <c r="D35">
        <v>14000</v>
      </c>
    </row>
    <row r="36" spans="1:4" x14ac:dyDescent="0.25">
      <c r="A36">
        <v>2000</v>
      </c>
      <c r="B36">
        <v>5200</v>
      </c>
      <c r="C36">
        <v>11700</v>
      </c>
      <c r="D36">
        <v>17500</v>
      </c>
    </row>
    <row r="37" spans="1:4" x14ac:dyDescent="0.25">
      <c r="A37">
        <v>1900</v>
      </c>
      <c r="B37">
        <v>5200</v>
      </c>
      <c r="C37">
        <v>8400</v>
      </c>
      <c r="D37">
        <v>14000</v>
      </c>
    </row>
    <row r="38" spans="1:4" x14ac:dyDescent="0.25">
      <c r="A38">
        <v>1500</v>
      </c>
      <c r="B38">
        <v>3600</v>
      </c>
      <c r="C38">
        <v>10500</v>
      </c>
      <c r="D38">
        <v>13500</v>
      </c>
    </row>
    <row r="39" spans="1:4" x14ac:dyDescent="0.25">
      <c r="A39">
        <v>700</v>
      </c>
      <c r="B39">
        <v>1400</v>
      </c>
      <c r="C39">
        <v>2700</v>
      </c>
      <c r="D39">
        <v>5500</v>
      </c>
    </row>
    <row r="40" spans="1:4" x14ac:dyDescent="0.25">
      <c r="A40">
        <v>1000</v>
      </c>
      <c r="B40">
        <v>4800</v>
      </c>
      <c r="C40">
        <v>8700</v>
      </c>
      <c r="D40">
        <v>15000</v>
      </c>
    </row>
    <row r="41" spans="1:4" x14ac:dyDescent="0.25">
      <c r="A41">
        <v>1600</v>
      </c>
      <c r="B41">
        <v>4400</v>
      </c>
      <c r="C41">
        <v>8100</v>
      </c>
      <c r="D41">
        <v>14000</v>
      </c>
    </row>
    <row r="42" spans="1:4" x14ac:dyDescent="0.25">
      <c r="A42">
        <v>900</v>
      </c>
      <c r="B42">
        <v>2000</v>
      </c>
      <c r="C42">
        <v>4200</v>
      </c>
      <c r="D42">
        <v>8000</v>
      </c>
    </row>
    <row r="43" spans="1:4" x14ac:dyDescent="0.25">
      <c r="A43">
        <v>800</v>
      </c>
      <c r="B43">
        <v>2400</v>
      </c>
      <c r="C43">
        <v>6000</v>
      </c>
      <c r="D43">
        <v>7500</v>
      </c>
    </row>
    <row r="44" spans="1:4" x14ac:dyDescent="0.25">
      <c r="A44">
        <v>1800</v>
      </c>
      <c r="B44">
        <v>4600</v>
      </c>
      <c r="C44">
        <v>10200</v>
      </c>
      <c r="D44">
        <v>14500</v>
      </c>
    </row>
    <row r="45" spans="1:4" x14ac:dyDescent="0.25">
      <c r="A45">
        <v>1000</v>
      </c>
      <c r="B45">
        <v>1600</v>
      </c>
      <c r="C45">
        <v>4200</v>
      </c>
      <c r="D45">
        <v>8000</v>
      </c>
    </row>
    <row r="46" spans="1:4" x14ac:dyDescent="0.25">
      <c r="A46">
        <v>500</v>
      </c>
      <c r="B46">
        <v>1600</v>
      </c>
      <c r="C46">
        <v>3300</v>
      </c>
      <c r="D46">
        <v>4000</v>
      </c>
    </row>
    <row r="47" spans="1:4" x14ac:dyDescent="0.25">
      <c r="A47">
        <v>1900</v>
      </c>
      <c r="B47">
        <v>4600</v>
      </c>
      <c r="C47">
        <v>8400</v>
      </c>
      <c r="D47">
        <v>13500</v>
      </c>
    </row>
    <row r="48" spans="1:4" x14ac:dyDescent="0.25">
      <c r="A48">
        <v>1400</v>
      </c>
      <c r="B48">
        <v>4200</v>
      </c>
      <c r="C48">
        <v>9900</v>
      </c>
      <c r="D48">
        <v>17000</v>
      </c>
    </row>
    <row r="49" spans="1:4" x14ac:dyDescent="0.25">
      <c r="A49">
        <v>1500</v>
      </c>
      <c r="B49">
        <v>4400</v>
      </c>
      <c r="C49">
        <v>11100</v>
      </c>
      <c r="D49">
        <v>15500</v>
      </c>
    </row>
    <row r="50" spans="1:4" x14ac:dyDescent="0.25">
      <c r="A50">
        <v>2000</v>
      </c>
      <c r="B50">
        <v>4000</v>
      </c>
      <c r="C50">
        <v>9000</v>
      </c>
      <c r="D50">
        <v>12500</v>
      </c>
    </row>
    <row r="51" spans="1:4" x14ac:dyDescent="0.25">
      <c r="A51">
        <v>1600</v>
      </c>
      <c r="B51">
        <v>4000</v>
      </c>
      <c r="C51">
        <v>9300</v>
      </c>
      <c r="D51">
        <v>17000</v>
      </c>
    </row>
    <row r="52" spans="1:4" x14ac:dyDescent="0.25">
      <c r="A52">
        <v>2300</v>
      </c>
      <c r="B52">
        <v>4200</v>
      </c>
      <c r="C52">
        <v>9900</v>
      </c>
      <c r="D52">
        <v>16500</v>
      </c>
    </row>
    <row r="53" spans="1:4" x14ac:dyDescent="0.25">
      <c r="A53">
        <v>2100</v>
      </c>
      <c r="B53">
        <v>5200</v>
      </c>
      <c r="C53">
        <v>9600</v>
      </c>
      <c r="D53">
        <v>18500</v>
      </c>
    </row>
    <row r="54" spans="1:4" x14ac:dyDescent="0.25">
      <c r="A54">
        <v>2300</v>
      </c>
      <c r="B54">
        <v>5600</v>
      </c>
      <c r="C54">
        <v>11100</v>
      </c>
      <c r="D54">
        <v>19500</v>
      </c>
    </row>
    <row r="55" spans="1:4" x14ac:dyDescent="0.25">
      <c r="A55">
        <v>1800</v>
      </c>
      <c r="B55">
        <v>4200</v>
      </c>
      <c r="C55">
        <v>9900</v>
      </c>
      <c r="D55">
        <v>14000</v>
      </c>
    </row>
    <row r="56" spans="1:4" x14ac:dyDescent="0.25">
      <c r="A56">
        <v>1300</v>
      </c>
      <c r="B56">
        <v>5000</v>
      </c>
      <c r="C56">
        <v>9300</v>
      </c>
      <c r="D56">
        <v>17500</v>
      </c>
    </row>
    <row r="57" spans="1:4" x14ac:dyDescent="0.25">
      <c r="A57">
        <v>800</v>
      </c>
      <c r="B57">
        <v>1000</v>
      </c>
      <c r="C57">
        <v>3300</v>
      </c>
      <c r="D57">
        <v>4500</v>
      </c>
    </row>
    <row r="58" spans="1:4" x14ac:dyDescent="0.25">
      <c r="A58">
        <v>800</v>
      </c>
      <c r="B58">
        <v>2400</v>
      </c>
      <c r="C58">
        <v>4800</v>
      </c>
      <c r="D58">
        <v>8500</v>
      </c>
    </row>
    <row r="59" spans="1:4" x14ac:dyDescent="0.25">
      <c r="A59">
        <v>600</v>
      </c>
      <c r="B59">
        <v>2400</v>
      </c>
      <c r="C59">
        <v>4800</v>
      </c>
      <c r="D59">
        <v>9000</v>
      </c>
    </row>
    <row r="60" spans="1:4" x14ac:dyDescent="0.25">
      <c r="A60">
        <v>600</v>
      </c>
      <c r="B60">
        <v>2000</v>
      </c>
      <c r="C60">
        <v>5700</v>
      </c>
      <c r="D60">
        <v>9000</v>
      </c>
    </row>
    <row r="61" spans="1:4" x14ac:dyDescent="0.25">
      <c r="A61">
        <v>1800</v>
      </c>
      <c r="B61">
        <v>5000</v>
      </c>
      <c r="C61">
        <v>10800</v>
      </c>
      <c r="D61">
        <v>19000</v>
      </c>
    </row>
    <row r="62" spans="1:4" x14ac:dyDescent="0.25">
      <c r="A62">
        <v>1500</v>
      </c>
      <c r="B62">
        <v>5200</v>
      </c>
      <c r="C62">
        <v>9000</v>
      </c>
      <c r="D62">
        <v>14000</v>
      </c>
    </row>
    <row r="63" spans="1:4" x14ac:dyDescent="0.25">
      <c r="A63">
        <v>1200</v>
      </c>
      <c r="B63">
        <v>4200</v>
      </c>
      <c r="C63">
        <v>9600</v>
      </c>
      <c r="D63">
        <v>14500</v>
      </c>
    </row>
    <row r="64" spans="1:4" x14ac:dyDescent="0.25">
      <c r="A64">
        <v>2400</v>
      </c>
      <c r="B64">
        <v>4200</v>
      </c>
      <c r="C64">
        <v>11400</v>
      </c>
      <c r="D64">
        <v>19500</v>
      </c>
    </row>
    <row r="65" spans="1:4" x14ac:dyDescent="0.25">
      <c r="A65">
        <v>1900</v>
      </c>
      <c r="B65">
        <v>5000</v>
      </c>
      <c r="C65">
        <v>11100</v>
      </c>
      <c r="D65">
        <v>16500</v>
      </c>
    </row>
    <row r="66" spans="1:4" x14ac:dyDescent="0.25">
      <c r="A66">
        <v>400</v>
      </c>
      <c r="B66">
        <v>1400</v>
      </c>
      <c r="C66">
        <v>2700</v>
      </c>
      <c r="D66">
        <v>5000</v>
      </c>
    </row>
    <row r="67" spans="1:4" x14ac:dyDescent="0.25">
      <c r="A67">
        <v>1700</v>
      </c>
      <c r="B67">
        <v>4400</v>
      </c>
      <c r="C67">
        <v>11100</v>
      </c>
      <c r="D67">
        <v>18500</v>
      </c>
    </row>
    <row r="68" spans="1:4" x14ac:dyDescent="0.25">
      <c r="A68">
        <v>500</v>
      </c>
      <c r="B68">
        <v>1000</v>
      </c>
      <c r="C68">
        <v>2700</v>
      </c>
      <c r="D68">
        <v>5000</v>
      </c>
    </row>
    <row r="69" spans="1:4" x14ac:dyDescent="0.25">
      <c r="A69">
        <v>900</v>
      </c>
      <c r="B69">
        <v>2400</v>
      </c>
      <c r="C69">
        <v>4500</v>
      </c>
      <c r="D69">
        <v>8500</v>
      </c>
    </row>
    <row r="70" spans="1:4" x14ac:dyDescent="0.25">
      <c r="A70">
        <v>1100</v>
      </c>
      <c r="B70">
        <v>5400</v>
      </c>
      <c r="C70">
        <v>10500</v>
      </c>
      <c r="D70">
        <v>16000</v>
      </c>
    </row>
    <row r="71" spans="1:4" x14ac:dyDescent="0.25">
      <c r="A71">
        <v>1700</v>
      </c>
      <c r="B71">
        <v>3000</v>
      </c>
      <c r="C71">
        <v>8100</v>
      </c>
      <c r="D71">
        <v>12500</v>
      </c>
    </row>
    <row r="72" spans="1:4" x14ac:dyDescent="0.25">
      <c r="A72">
        <v>1900</v>
      </c>
      <c r="B72">
        <v>4600</v>
      </c>
      <c r="C72">
        <v>9900</v>
      </c>
      <c r="D72">
        <v>19500</v>
      </c>
    </row>
    <row r="73" spans="1:4" x14ac:dyDescent="0.25">
      <c r="A73">
        <v>1700</v>
      </c>
      <c r="B73">
        <v>3000</v>
      </c>
      <c r="C73">
        <v>7200</v>
      </c>
      <c r="D73">
        <v>13000</v>
      </c>
    </row>
    <row r="74" spans="1:4" x14ac:dyDescent="0.25">
      <c r="A74">
        <v>700</v>
      </c>
      <c r="B74">
        <v>2200</v>
      </c>
      <c r="C74">
        <v>5100</v>
      </c>
      <c r="D74">
        <v>9500</v>
      </c>
    </row>
    <row r="75" spans="1:4" x14ac:dyDescent="0.25">
      <c r="A75">
        <v>1000</v>
      </c>
      <c r="B75">
        <v>5000</v>
      </c>
      <c r="C75">
        <v>9600</v>
      </c>
      <c r="D75">
        <v>14500</v>
      </c>
    </row>
    <row r="76" spans="1:4" x14ac:dyDescent="0.25">
      <c r="A76">
        <v>1300</v>
      </c>
      <c r="B76">
        <v>4800</v>
      </c>
      <c r="C76">
        <v>9000</v>
      </c>
      <c r="D76">
        <v>16500</v>
      </c>
    </row>
    <row r="77" spans="1:4" x14ac:dyDescent="0.25">
      <c r="A77">
        <v>1400</v>
      </c>
      <c r="B77">
        <v>3800</v>
      </c>
      <c r="C77">
        <v>9000</v>
      </c>
      <c r="D77">
        <v>13000</v>
      </c>
    </row>
    <row r="78" spans="1:4" x14ac:dyDescent="0.25">
      <c r="A78">
        <v>1100</v>
      </c>
      <c r="B78">
        <v>4400</v>
      </c>
      <c r="C78">
        <v>9300</v>
      </c>
      <c r="D78">
        <v>14000</v>
      </c>
    </row>
    <row r="79" spans="1:4" x14ac:dyDescent="0.25">
      <c r="A79">
        <v>1000</v>
      </c>
      <c r="B79">
        <v>4400</v>
      </c>
      <c r="C79">
        <v>10500</v>
      </c>
      <c r="D79">
        <v>14500</v>
      </c>
    </row>
    <row r="80" spans="1:4" x14ac:dyDescent="0.25">
      <c r="A80">
        <v>1900</v>
      </c>
      <c r="B80">
        <v>4400</v>
      </c>
      <c r="C80">
        <v>8700</v>
      </c>
      <c r="D80">
        <v>12000</v>
      </c>
    </row>
    <row r="81" spans="1:4" x14ac:dyDescent="0.25">
      <c r="A81">
        <v>1200</v>
      </c>
      <c r="B81">
        <v>4800</v>
      </c>
      <c r="C81">
        <v>10800</v>
      </c>
      <c r="D81">
        <v>13000</v>
      </c>
    </row>
    <row r="82" spans="1:4" x14ac:dyDescent="0.25">
      <c r="A82">
        <v>500</v>
      </c>
      <c r="B82">
        <v>1600</v>
      </c>
      <c r="C82">
        <v>3000</v>
      </c>
      <c r="D82">
        <v>4500</v>
      </c>
    </row>
    <row r="83" spans="1:4" x14ac:dyDescent="0.25">
      <c r="A83">
        <v>1700</v>
      </c>
      <c r="B83">
        <v>4200</v>
      </c>
      <c r="C83">
        <v>10800</v>
      </c>
      <c r="D83">
        <v>15500</v>
      </c>
    </row>
    <row r="84" spans="1:4" x14ac:dyDescent="0.25">
      <c r="A84">
        <v>1600</v>
      </c>
      <c r="B84">
        <v>4400</v>
      </c>
      <c r="C84">
        <v>10500</v>
      </c>
      <c r="D84">
        <v>14000</v>
      </c>
    </row>
    <row r="85" spans="1:4" x14ac:dyDescent="0.25">
      <c r="A85">
        <v>800</v>
      </c>
      <c r="B85">
        <v>1800</v>
      </c>
      <c r="C85">
        <v>5700</v>
      </c>
      <c r="D85">
        <v>7500</v>
      </c>
    </row>
    <row r="86" spans="1:4" x14ac:dyDescent="0.25">
      <c r="A86">
        <v>1200</v>
      </c>
      <c r="B86">
        <v>5000</v>
      </c>
      <c r="C86">
        <v>9600</v>
      </c>
      <c r="D86">
        <v>13000</v>
      </c>
    </row>
    <row r="87" spans="1:4" x14ac:dyDescent="0.25">
      <c r="A87">
        <v>1100</v>
      </c>
      <c r="B87">
        <v>3600</v>
      </c>
      <c r="C87">
        <v>9300</v>
      </c>
      <c r="D87">
        <v>13000</v>
      </c>
    </row>
    <row r="88" spans="1:4" x14ac:dyDescent="0.25">
      <c r="A88">
        <v>1700</v>
      </c>
      <c r="B88">
        <v>5400</v>
      </c>
      <c r="C88">
        <v>10500</v>
      </c>
      <c r="D88">
        <v>16500</v>
      </c>
    </row>
    <row r="89" spans="1:4" x14ac:dyDescent="0.25">
      <c r="A89">
        <v>1200</v>
      </c>
      <c r="B89">
        <v>3600</v>
      </c>
      <c r="C89">
        <v>10800</v>
      </c>
      <c r="D89">
        <v>14500</v>
      </c>
    </row>
    <row r="90" spans="1:4" x14ac:dyDescent="0.25">
      <c r="A90">
        <v>1900</v>
      </c>
      <c r="B90">
        <v>4000</v>
      </c>
      <c r="C90">
        <v>7800</v>
      </c>
      <c r="D90">
        <v>13500</v>
      </c>
    </row>
    <row r="91" spans="1:4" x14ac:dyDescent="0.25">
      <c r="A91">
        <v>1200</v>
      </c>
      <c r="B91">
        <v>4400</v>
      </c>
      <c r="C91">
        <v>7200</v>
      </c>
      <c r="D91">
        <v>14500</v>
      </c>
    </row>
    <row r="92" spans="1:4" x14ac:dyDescent="0.25">
      <c r="A92">
        <v>900</v>
      </c>
      <c r="B92">
        <v>1800</v>
      </c>
      <c r="C92">
        <v>4500</v>
      </c>
      <c r="D92">
        <v>9500</v>
      </c>
    </row>
    <row r="93" spans="1:4" x14ac:dyDescent="0.25">
      <c r="A93">
        <v>2000</v>
      </c>
      <c r="B93">
        <v>4000</v>
      </c>
      <c r="C93">
        <v>8400</v>
      </c>
      <c r="D93">
        <v>15000</v>
      </c>
    </row>
    <row r="94" spans="1:4" x14ac:dyDescent="0.25">
      <c r="A94">
        <v>1000</v>
      </c>
      <c r="B94">
        <v>2000</v>
      </c>
      <c r="C94">
        <v>5400</v>
      </c>
      <c r="D94">
        <v>10000</v>
      </c>
    </row>
    <row r="95" spans="1:4" x14ac:dyDescent="0.25">
      <c r="A95">
        <v>2300</v>
      </c>
      <c r="B95">
        <v>4800</v>
      </c>
      <c r="C95">
        <v>10200</v>
      </c>
      <c r="D95">
        <v>16500</v>
      </c>
    </row>
    <row r="96" spans="1:4" x14ac:dyDescent="0.25">
      <c r="A96">
        <v>600</v>
      </c>
      <c r="B96">
        <v>1600</v>
      </c>
      <c r="C96">
        <v>6000</v>
      </c>
      <c r="D96">
        <v>8000</v>
      </c>
    </row>
    <row r="97" spans="1:4" x14ac:dyDescent="0.25">
      <c r="A97">
        <v>800</v>
      </c>
      <c r="B97">
        <v>1800</v>
      </c>
      <c r="C97">
        <v>4800</v>
      </c>
      <c r="D97">
        <v>8500</v>
      </c>
    </row>
    <row r="98" spans="1:4" x14ac:dyDescent="0.25">
      <c r="A98">
        <v>600</v>
      </c>
      <c r="B98">
        <v>1800</v>
      </c>
      <c r="C98">
        <v>4800</v>
      </c>
      <c r="D98">
        <v>7000</v>
      </c>
    </row>
    <row r="99" spans="1:4" x14ac:dyDescent="0.25">
      <c r="A99">
        <v>500</v>
      </c>
      <c r="B99">
        <v>1600</v>
      </c>
      <c r="C99">
        <v>2700</v>
      </c>
      <c r="D99">
        <v>6000</v>
      </c>
    </row>
    <row r="100" spans="1:4" x14ac:dyDescent="0.25">
      <c r="A100">
        <v>500</v>
      </c>
      <c r="B100">
        <v>2000</v>
      </c>
      <c r="C100">
        <v>6000</v>
      </c>
      <c r="D100">
        <v>10000</v>
      </c>
    </row>
    <row r="101" spans="1:4" x14ac:dyDescent="0.25">
      <c r="A101">
        <v>1700</v>
      </c>
      <c r="B101">
        <v>4800</v>
      </c>
      <c r="C101">
        <v>9900</v>
      </c>
      <c r="D101">
        <v>13500</v>
      </c>
    </row>
    <row r="102" spans="1:4" x14ac:dyDescent="0.25">
      <c r="A102">
        <v>1200</v>
      </c>
      <c r="B102">
        <v>3200</v>
      </c>
      <c r="C102">
        <v>7800</v>
      </c>
      <c r="D102">
        <v>14500</v>
      </c>
    </row>
    <row r="103" spans="1:4" x14ac:dyDescent="0.25">
      <c r="A103">
        <v>1600</v>
      </c>
      <c r="B103">
        <v>4600</v>
      </c>
      <c r="C103">
        <v>9900</v>
      </c>
      <c r="D103">
        <v>14000</v>
      </c>
    </row>
    <row r="104" spans="1:4" x14ac:dyDescent="0.25">
      <c r="A104">
        <v>1200</v>
      </c>
      <c r="B104">
        <v>3400</v>
      </c>
      <c r="C104">
        <v>8700</v>
      </c>
      <c r="D104">
        <v>14500</v>
      </c>
    </row>
    <row r="105" spans="1:4" x14ac:dyDescent="0.25">
      <c r="A105">
        <v>1700</v>
      </c>
      <c r="B105">
        <v>4400</v>
      </c>
      <c r="C105">
        <v>11400</v>
      </c>
      <c r="D105">
        <v>19500</v>
      </c>
    </row>
    <row r="106" spans="1:4" x14ac:dyDescent="0.25">
      <c r="A106">
        <v>1400</v>
      </c>
      <c r="B106">
        <v>3800</v>
      </c>
      <c r="C106">
        <v>9000</v>
      </c>
      <c r="D106">
        <v>14500</v>
      </c>
    </row>
    <row r="107" spans="1:4" x14ac:dyDescent="0.25">
      <c r="A107">
        <v>2000</v>
      </c>
      <c r="B107">
        <v>5800</v>
      </c>
      <c r="C107">
        <v>9600</v>
      </c>
      <c r="D107">
        <v>19500</v>
      </c>
    </row>
    <row r="108" spans="1:4" x14ac:dyDescent="0.25">
      <c r="A108">
        <v>700</v>
      </c>
      <c r="B108">
        <v>1200</v>
      </c>
      <c r="C108">
        <v>3300</v>
      </c>
      <c r="D108">
        <v>5000</v>
      </c>
    </row>
    <row r="109" spans="1:4" x14ac:dyDescent="0.25">
      <c r="A109">
        <v>1500</v>
      </c>
      <c r="B109">
        <v>4000</v>
      </c>
      <c r="C109">
        <v>9300</v>
      </c>
      <c r="D109">
        <v>15000</v>
      </c>
    </row>
    <row r="110" spans="1:4" x14ac:dyDescent="0.25">
      <c r="A110">
        <v>600</v>
      </c>
      <c r="B110">
        <v>1600</v>
      </c>
      <c r="C110">
        <v>5400</v>
      </c>
      <c r="D110">
        <v>7500</v>
      </c>
    </row>
    <row r="111" spans="1:4" x14ac:dyDescent="0.25">
      <c r="A111">
        <v>1200</v>
      </c>
      <c r="B111">
        <v>4800</v>
      </c>
      <c r="C111">
        <v>9000</v>
      </c>
      <c r="D111">
        <v>12500</v>
      </c>
    </row>
    <row r="112" spans="1:4" x14ac:dyDescent="0.25">
      <c r="A112">
        <v>800</v>
      </c>
      <c r="B112">
        <v>1600</v>
      </c>
      <c r="C112">
        <v>2700</v>
      </c>
      <c r="D112">
        <v>4000</v>
      </c>
    </row>
    <row r="113" spans="1:4" x14ac:dyDescent="0.25">
      <c r="A113">
        <v>1700</v>
      </c>
      <c r="B113">
        <v>4800</v>
      </c>
      <c r="C113">
        <v>8400</v>
      </c>
      <c r="D113">
        <v>13000</v>
      </c>
    </row>
    <row r="114" spans="1:4" x14ac:dyDescent="0.25">
      <c r="A114">
        <v>1900</v>
      </c>
      <c r="B114">
        <v>4400</v>
      </c>
      <c r="C114">
        <v>9300</v>
      </c>
      <c r="D114">
        <v>13500</v>
      </c>
    </row>
    <row r="115" spans="1:4" x14ac:dyDescent="0.25">
      <c r="A115">
        <v>2500</v>
      </c>
      <c r="B115">
        <v>5600</v>
      </c>
      <c r="C115">
        <v>11700</v>
      </c>
      <c r="D115">
        <v>19000</v>
      </c>
    </row>
    <row r="116" spans="1:4" x14ac:dyDescent="0.25">
      <c r="A116">
        <v>1500</v>
      </c>
      <c r="B116">
        <v>4800</v>
      </c>
      <c r="C116">
        <v>8100</v>
      </c>
      <c r="D116">
        <v>15500</v>
      </c>
    </row>
    <row r="117" spans="1:4" x14ac:dyDescent="0.25">
      <c r="A117">
        <v>1700</v>
      </c>
      <c r="B117">
        <v>4600</v>
      </c>
      <c r="C117">
        <v>9000</v>
      </c>
      <c r="D117">
        <v>12500</v>
      </c>
    </row>
    <row r="118" spans="1:4" x14ac:dyDescent="0.25">
      <c r="A118">
        <v>700</v>
      </c>
      <c r="B118">
        <v>2200</v>
      </c>
      <c r="C118">
        <v>4200</v>
      </c>
      <c r="D118">
        <v>7500</v>
      </c>
    </row>
    <row r="119" spans="1:4" x14ac:dyDescent="0.25">
      <c r="A119">
        <v>1800</v>
      </c>
      <c r="B119">
        <v>4800</v>
      </c>
      <c r="C119">
        <v>7800</v>
      </c>
      <c r="D119">
        <v>14500</v>
      </c>
    </row>
    <row r="120" spans="1:4" x14ac:dyDescent="0.25">
      <c r="A120">
        <v>1600</v>
      </c>
      <c r="B120">
        <v>5200</v>
      </c>
      <c r="C120">
        <v>9600</v>
      </c>
      <c r="D120">
        <v>17000</v>
      </c>
    </row>
    <row r="121" spans="1:4" x14ac:dyDescent="0.25">
      <c r="A121">
        <v>1300</v>
      </c>
      <c r="B121">
        <v>5200</v>
      </c>
      <c r="C121">
        <v>10500</v>
      </c>
      <c r="D121">
        <v>14500</v>
      </c>
    </row>
    <row r="122" spans="1:4" x14ac:dyDescent="0.25">
      <c r="A122">
        <v>600</v>
      </c>
      <c r="B122">
        <v>1600</v>
      </c>
      <c r="C122">
        <v>3900</v>
      </c>
      <c r="D122">
        <v>9500</v>
      </c>
    </row>
    <row r="123" spans="1:4" x14ac:dyDescent="0.25">
      <c r="A123">
        <v>1600</v>
      </c>
      <c r="B123">
        <v>3600</v>
      </c>
      <c r="C123">
        <v>9900</v>
      </c>
      <c r="D123">
        <v>14500</v>
      </c>
    </row>
    <row r="124" spans="1:4" x14ac:dyDescent="0.25">
      <c r="A124">
        <v>700</v>
      </c>
      <c r="B124">
        <v>1400</v>
      </c>
      <c r="C124">
        <v>3000</v>
      </c>
      <c r="D124">
        <v>5000</v>
      </c>
    </row>
    <row r="125" spans="1:4" x14ac:dyDescent="0.25">
      <c r="A125">
        <v>500</v>
      </c>
      <c r="B125">
        <v>1200</v>
      </c>
      <c r="C125">
        <v>2400</v>
      </c>
      <c r="D125">
        <v>5500</v>
      </c>
    </row>
    <row r="126" spans="1:4" x14ac:dyDescent="0.25">
      <c r="A126">
        <v>1600</v>
      </c>
      <c r="B126">
        <v>4000</v>
      </c>
      <c r="C126">
        <v>9300</v>
      </c>
      <c r="D126">
        <v>14000</v>
      </c>
    </row>
    <row r="127" spans="1:4" x14ac:dyDescent="0.25">
      <c r="A127">
        <v>1800</v>
      </c>
      <c r="B127">
        <v>4800</v>
      </c>
      <c r="C127">
        <v>9000</v>
      </c>
      <c r="D127">
        <v>13500</v>
      </c>
    </row>
    <row r="128" spans="1:4" x14ac:dyDescent="0.25">
      <c r="A128">
        <v>1000</v>
      </c>
      <c r="B128">
        <v>5400</v>
      </c>
      <c r="C128">
        <v>10500</v>
      </c>
      <c r="D128">
        <v>14000</v>
      </c>
    </row>
    <row r="129" spans="1:4" x14ac:dyDescent="0.25">
      <c r="A129">
        <v>700</v>
      </c>
      <c r="B129">
        <v>1600</v>
      </c>
      <c r="C129">
        <v>4800</v>
      </c>
      <c r="D129">
        <v>9500</v>
      </c>
    </row>
    <row r="130" spans="1:4" x14ac:dyDescent="0.25">
      <c r="A130">
        <v>500</v>
      </c>
      <c r="B130">
        <v>2000</v>
      </c>
      <c r="C130">
        <v>5700</v>
      </c>
      <c r="D130">
        <v>7500</v>
      </c>
    </row>
    <row r="131" spans="1:4" x14ac:dyDescent="0.25">
      <c r="A131">
        <v>2400</v>
      </c>
      <c r="B131">
        <v>4800</v>
      </c>
      <c r="C131">
        <v>11700</v>
      </c>
      <c r="D131">
        <v>15000</v>
      </c>
    </row>
    <row r="132" spans="1:4" x14ac:dyDescent="0.25">
      <c r="A132">
        <v>1200</v>
      </c>
      <c r="B132">
        <v>3600</v>
      </c>
      <c r="C132">
        <v>11100</v>
      </c>
      <c r="D132">
        <v>17000</v>
      </c>
    </row>
    <row r="133" spans="1:4" x14ac:dyDescent="0.25">
      <c r="A133">
        <v>1700</v>
      </c>
      <c r="B133">
        <v>4600</v>
      </c>
      <c r="C133">
        <v>9000</v>
      </c>
      <c r="D133">
        <v>13500</v>
      </c>
    </row>
    <row r="134" spans="1:4" x14ac:dyDescent="0.25">
      <c r="A134">
        <v>2400</v>
      </c>
      <c r="B134">
        <v>5800</v>
      </c>
      <c r="C134">
        <v>11100</v>
      </c>
      <c r="D134">
        <v>15500</v>
      </c>
    </row>
    <row r="135" spans="1:4" x14ac:dyDescent="0.25">
      <c r="A135">
        <v>1200</v>
      </c>
      <c r="B135">
        <v>4200</v>
      </c>
      <c r="C135">
        <v>7800</v>
      </c>
      <c r="D135">
        <v>14000</v>
      </c>
    </row>
    <row r="136" spans="1:4" x14ac:dyDescent="0.25">
      <c r="A136">
        <v>1600</v>
      </c>
      <c r="B136">
        <v>3600</v>
      </c>
      <c r="C136">
        <v>10200</v>
      </c>
      <c r="D136">
        <v>13000</v>
      </c>
    </row>
    <row r="137" spans="1:4" x14ac:dyDescent="0.25">
      <c r="A137">
        <v>500</v>
      </c>
      <c r="B137">
        <v>1200</v>
      </c>
      <c r="C137">
        <v>2400</v>
      </c>
      <c r="D137">
        <v>6000</v>
      </c>
    </row>
    <row r="138" spans="1:4" x14ac:dyDescent="0.25">
      <c r="A138">
        <v>1800</v>
      </c>
      <c r="B138">
        <v>3800</v>
      </c>
      <c r="C138">
        <v>8100</v>
      </c>
      <c r="D138">
        <v>12500</v>
      </c>
    </row>
    <row r="139" spans="1:4" x14ac:dyDescent="0.25">
      <c r="A139">
        <v>600</v>
      </c>
      <c r="B139">
        <v>1600</v>
      </c>
      <c r="C139">
        <v>3300</v>
      </c>
      <c r="D139">
        <v>5000</v>
      </c>
    </row>
    <row r="140" spans="1:4" x14ac:dyDescent="0.25">
      <c r="A140">
        <v>1800</v>
      </c>
      <c r="B140">
        <v>5200</v>
      </c>
      <c r="C140">
        <v>9900</v>
      </c>
      <c r="D140">
        <v>15000</v>
      </c>
    </row>
    <row r="141" spans="1:4" x14ac:dyDescent="0.25">
      <c r="A141">
        <v>1800</v>
      </c>
      <c r="B141">
        <v>4800</v>
      </c>
      <c r="C141">
        <v>8400</v>
      </c>
      <c r="D141">
        <v>13500</v>
      </c>
    </row>
    <row r="142" spans="1:4" x14ac:dyDescent="0.25">
      <c r="A142">
        <v>2400</v>
      </c>
      <c r="B142">
        <v>5400</v>
      </c>
      <c r="C142">
        <v>11100</v>
      </c>
      <c r="D142">
        <v>15500</v>
      </c>
    </row>
    <row r="143" spans="1:4" x14ac:dyDescent="0.25">
      <c r="A143">
        <v>2000</v>
      </c>
      <c r="B143">
        <v>3600</v>
      </c>
      <c r="C143">
        <v>8100</v>
      </c>
      <c r="D143">
        <v>13500</v>
      </c>
    </row>
    <row r="144" spans="1:4" x14ac:dyDescent="0.25">
      <c r="A144">
        <v>900</v>
      </c>
      <c r="B144">
        <v>2200</v>
      </c>
      <c r="C144">
        <v>4500</v>
      </c>
      <c r="D144">
        <v>8000</v>
      </c>
    </row>
    <row r="145" spans="1:4" x14ac:dyDescent="0.25">
      <c r="A145">
        <v>1500</v>
      </c>
      <c r="B145">
        <v>5200</v>
      </c>
      <c r="C145">
        <v>10800</v>
      </c>
      <c r="D145">
        <v>17500</v>
      </c>
    </row>
    <row r="146" spans="1:4" x14ac:dyDescent="0.25">
      <c r="A146">
        <v>1900</v>
      </c>
      <c r="B146">
        <v>4000</v>
      </c>
      <c r="C146">
        <v>10500</v>
      </c>
      <c r="D146">
        <v>13500</v>
      </c>
    </row>
    <row r="147" spans="1:4" x14ac:dyDescent="0.25">
      <c r="A147">
        <v>400</v>
      </c>
      <c r="B147">
        <v>1600</v>
      </c>
      <c r="C147">
        <v>3600</v>
      </c>
      <c r="D147">
        <v>5500</v>
      </c>
    </row>
    <row r="148" spans="1:4" x14ac:dyDescent="0.25">
      <c r="A148">
        <v>900</v>
      </c>
      <c r="B148">
        <v>1800</v>
      </c>
      <c r="C148">
        <v>6000</v>
      </c>
      <c r="D148">
        <v>7500</v>
      </c>
    </row>
    <row r="149" spans="1:4" x14ac:dyDescent="0.25">
      <c r="A149">
        <v>2000</v>
      </c>
      <c r="B149">
        <v>3000</v>
      </c>
      <c r="C149">
        <v>9300</v>
      </c>
      <c r="D149">
        <v>14500</v>
      </c>
    </row>
    <row r="150" spans="1:4" x14ac:dyDescent="0.25">
      <c r="A150">
        <v>1000</v>
      </c>
      <c r="B150">
        <v>4400</v>
      </c>
      <c r="C150">
        <v>8400</v>
      </c>
      <c r="D150">
        <v>15000</v>
      </c>
    </row>
    <row r="151" spans="1:4" x14ac:dyDescent="0.25">
      <c r="A151">
        <v>2100</v>
      </c>
      <c r="B151">
        <v>4400</v>
      </c>
      <c r="C151">
        <v>10200</v>
      </c>
      <c r="D151">
        <v>19500</v>
      </c>
    </row>
    <row r="152" spans="1:4" x14ac:dyDescent="0.25">
      <c r="A152">
        <v>800</v>
      </c>
      <c r="B152">
        <v>1200</v>
      </c>
      <c r="C152">
        <v>2700</v>
      </c>
      <c r="D152">
        <v>5000</v>
      </c>
    </row>
    <row r="153" spans="1:4" x14ac:dyDescent="0.25">
      <c r="A153">
        <v>1100</v>
      </c>
      <c r="B153">
        <v>4000</v>
      </c>
      <c r="C153">
        <v>7500</v>
      </c>
      <c r="D153">
        <v>15000</v>
      </c>
    </row>
    <row r="154" spans="1:4" x14ac:dyDescent="0.25">
      <c r="A154">
        <v>1800</v>
      </c>
      <c r="B154">
        <v>5000</v>
      </c>
      <c r="C154">
        <v>11400</v>
      </c>
      <c r="D154">
        <v>17000</v>
      </c>
    </row>
    <row r="155" spans="1:4" x14ac:dyDescent="0.25">
      <c r="A155">
        <v>900</v>
      </c>
      <c r="B155">
        <v>2400</v>
      </c>
      <c r="C155">
        <v>6000</v>
      </c>
      <c r="D155">
        <v>8000</v>
      </c>
    </row>
    <row r="156" spans="1:4" x14ac:dyDescent="0.25">
      <c r="A156">
        <v>1600</v>
      </c>
      <c r="B156">
        <v>3200</v>
      </c>
      <c r="C156">
        <v>9600</v>
      </c>
      <c r="D156">
        <v>12500</v>
      </c>
    </row>
    <row r="157" spans="1:4" x14ac:dyDescent="0.25">
      <c r="A157">
        <v>1200</v>
      </c>
      <c r="B157">
        <v>5000</v>
      </c>
      <c r="C157">
        <v>9300</v>
      </c>
      <c r="D157">
        <v>16000</v>
      </c>
    </row>
    <row r="158" spans="1:4" x14ac:dyDescent="0.25">
      <c r="A158">
        <v>1700</v>
      </c>
      <c r="B158">
        <v>4800</v>
      </c>
      <c r="C158">
        <v>9000</v>
      </c>
      <c r="D158">
        <v>14000</v>
      </c>
    </row>
    <row r="159" spans="1:4" x14ac:dyDescent="0.25">
      <c r="A159">
        <v>1300</v>
      </c>
      <c r="B159">
        <v>3600</v>
      </c>
      <c r="C159">
        <v>9300</v>
      </c>
      <c r="D159">
        <v>13000</v>
      </c>
    </row>
    <row r="160" spans="1:4" x14ac:dyDescent="0.25">
      <c r="A160">
        <v>1900</v>
      </c>
      <c r="B160">
        <v>5400</v>
      </c>
      <c r="C160">
        <v>9000</v>
      </c>
      <c r="D160">
        <v>17500</v>
      </c>
    </row>
    <row r="161" spans="1:4" x14ac:dyDescent="0.25">
      <c r="A161">
        <v>1300</v>
      </c>
      <c r="B161">
        <v>5200</v>
      </c>
      <c r="C161">
        <v>9900</v>
      </c>
      <c r="D161">
        <v>13500</v>
      </c>
    </row>
    <row r="162" spans="1:4" x14ac:dyDescent="0.25">
      <c r="A162">
        <v>800</v>
      </c>
      <c r="B162">
        <v>2400</v>
      </c>
      <c r="C162">
        <v>5100</v>
      </c>
      <c r="D162">
        <v>9500</v>
      </c>
    </row>
    <row r="163" spans="1:4" x14ac:dyDescent="0.25">
      <c r="A163">
        <v>1100</v>
      </c>
      <c r="B163">
        <v>4200</v>
      </c>
      <c r="C163">
        <v>8400</v>
      </c>
      <c r="D163">
        <v>14000</v>
      </c>
    </row>
    <row r="164" spans="1:4" x14ac:dyDescent="0.25">
      <c r="A164">
        <v>800</v>
      </c>
      <c r="B164">
        <v>2000</v>
      </c>
      <c r="C164">
        <v>4500</v>
      </c>
      <c r="D164">
        <v>9000</v>
      </c>
    </row>
    <row r="165" spans="1:4" x14ac:dyDescent="0.25">
      <c r="A165">
        <v>1700</v>
      </c>
      <c r="B165">
        <v>3600</v>
      </c>
      <c r="C165">
        <v>9000</v>
      </c>
      <c r="D165">
        <v>12000</v>
      </c>
    </row>
    <row r="166" spans="1:4" x14ac:dyDescent="0.25">
      <c r="A166">
        <v>700</v>
      </c>
      <c r="B166">
        <v>1200</v>
      </c>
      <c r="C166">
        <v>2700</v>
      </c>
      <c r="D166">
        <v>5500</v>
      </c>
    </row>
    <row r="167" spans="1:4" x14ac:dyDescent="0.25">
      <c r="A167">
        <v>1400</v>
      </c>
      <c r="B167">
        <v>4200</v>
      </c>
      <c r="C167">
        <v>9600</v>
      </c>
      <c r="D167">
        <v>18000</v>
      </c>
    </row>
    <row r="168" spans="1:4" x14ac:dyDescent="0.25">
      <c r="A168">
        <v>2400</v>
      </c>
      <c r="B168">
        <v>5400</v>
      </c>
      <c r="C168">
        <v>10800</v>
      </c>
      <c r="D168">
        <v>17500</v>
      </c>
    </row>
    <row r="169" spans="1:4" x14ac:dyDescent="0.25">
      <c r="A169">
        <v>800</v>
      </c>
      <c r="B169">
        <v>1000</v>
      </c>
      <c r="C169">
        <v>3300</v>
      </c>
      <c r="D169">
        <v>5000</v>
      </c>
    </row>
    <row r="170" spans="1:4" x14ac:dyDescent="0.25">
      <c r="A170">
        <v>500</v>
      </c>
      <c r="B170">
        <v>1600</v>
      </c>
      <c r="C170">
        <v>3000</v>
      </c>
      <c r="D170">
        <v>6000</v>
      </c>
    </row>
    <row r="171" spans="1:4" x14ac:dyDescent="0.25">
      <c r="A171">
        <v>1600</v>
      </c>
      <c r="B171">
        <v>4400</v>
      </c>
      <c r="C171">
        <v>8700</v>
      </c>
      <c r="D171">
        <v>12500</v>
      </c>
    </row>
    <row r="172" spans="1:4" x14ac:dyDescent="0.25">
      <c r="A172">
        <v>1500</v>
      </c>
      <c r="B172">
        <v>4600</v>
      </c>
      <c r="C172">
        <v>9000</v>
      </c>
      <c r="D172">
        <v>13500</v>
      </c>
    </row>
    <row r="173" spans="1:4" x14ac:dyDescent="0.25">
      <c r="A173">
        <v>2100</v>
      </c>
      <c r="B173">
        <v>4200</v>
      </c>
      <c r="C173">
        <v>11700</v>
      </c>
      <c r="D173">
        <v>15500</v>
      </c>
    </row>
    <row r="174" spans="1:4" x14ac:dyDescent="0.25">
      <c r="A174">
        <v>2100</v>
      </c>
      <c r="B174">
        <v>4400</v>
      </c>
      <c r="C174">
        <v>11400</v>
      </c>
      <c r="D174">
        <v>16500</v>
      </c>
    </row>
    <row r="175" spans="1:4" x14ac:dyDescent="0.25">
      <c r="A175">
        <v>1600</v>
      </c>
      <c r="B175">
        <v>5800</v>
      </c>
      <c r="C175">
        <v>10500</v>
      </c>
      <c r="D175">
        <v>17500</v>
      </c>
    </row>
    <row r="176" spans="1:4" x14ac:dyDescent="0.25">
      <c r="A176">
        <v>600</v>
      </c>
      <c r="B176">
        <v>1600</v>
      </c>
      <c r="C176">
        <v>6000</v>
      </c>
      <c r="D176">
        <v>9500</v>
      </c>
    </row>
    <row r="177" spans="1:4" x14ac:dyDescent="0.25">
      <c r="A177">
        <v>1800</v>
      </c>
      <c r="B177">
        <v>3800</v>
      </c>
      <c r="C177">
        <v>8700</v>
      </c>
      <c r="D177">
        <v>17500</v>
      </c>
    </row>
    <row r="178" spans="1:4" x14ac:dyDescent="0.25">
      <c r="A178">
        <v>1400</v>
      </c>
      <c r="B178">
        <v>4000</v>
      </c>
      <c r="C178">
        <v>10200</v>
      </c>
      <c r="D178">
        <v>14500</v>
      </c>
    </row>
    <row r="179" spans="1:4" x14ac:dyDescent="0.25">
      <c r="A179">
        <v>1300</v>
      </c>
      <c r="B179">
        <v>5000</v>
      </c>
      <c r="C179">
        <v>10800</v>
      </c>
      <c r="D179">
        <v>18000</v>
      </c>
    </row>
    <row r="180" spans="1:4" x14ac:dyDescent="0.25">
      <c r="A180">
        <v>1200</v>
      </c>
      <c r="B180">
        <v>4600</v>
      </c>
      <c r="C180">
        <v>8700</v>
      </c>
      <c r="D180">
        <v>17500</v>
      </c>
    </row>
    <row r="181" spans="1:4" x14ac:dyDescent="0.25">
      <c r="A181">
        <v>2000</v>
      </c>
      <c r="B181">
        <v>4400</v>
      </c>
      <c r="C181">
        <v>10800</v>
      </c>
      <c r="D181">
        <v>16500</v>
      </c>
    </row>
    <row r="182" spans="1:4" x14ac:dyDescent="0.25">
      <c r="A182">
        <v>2000</v>
      </c>
      <c r="B182">
        <v>5000</v>
      </c>
      <c r="C182">
        <v>11100</v>
      </c>
      <c r="D182">
        <v>16000</v>
      </c>
    </row>
    <row r="183" spans="1:4" x14ac:dyDescent="0.25">
      <c r="A183">
        <v>1800</v>
      </c>
      <c r="B183">
        <v>4600</v>
      </c>
      <c r="C183">
        <v>11100</v>
      </c>
      <c r="D183">
        <v>16000</v>
      </c>
    </row>
    <row r="184" spans="1:4" x14ac:dyDescent="0.25">
      <c r="A184">
        <v>1900</v>
      </c>
      <c r="B184">
        <v>3600</v>
      </c>
      <c r="C184">
        <v>9300</v>
      </c>
      <c r="D184">
        <v>16500</v>
      </c>
    </row>
    <row r="185" spans="1:4" x14ac:dyDescent="0.25">
      <c r="A185">
        <v>700</v>
      </c>
      <c r="B185">
        <v>2400</v>
      </c>
      <c r="C185">
        <v>4800</v>
      </c>
      <c r="D185">
        <v>8500</v>
      </c>
    </row>
    <row r="186" spans="1:4" x14ac:dyDescent="0.25">
      <c r="A186">
        <v>700</v>
      </c>
      <c r="B186">
        <v>1200</v>
      </c>
      <c r="C186">
        <v>2700</v>
      </c>
      <c r="D186">
        <v>4500</v>
      </c>
    </row>
    <row r="187" spans="1:4" x14ac:dyDescent="0.25">
      <c r="A187">
        <v>500</v>
      </c>
      <c r="B187">
        <v>1200</v>
      </c>
      <c r="C187">
        <v>3000</v>
      </c>
      <c r="D187">
        <v>4000</v>
      </c>
    </row>
    <row r="188" spans="1:4" x14ac:dyDescent="0.25">
      <c r="A188">
        <v>1000</v>
      </c>
      <c r="B188">
        <v>1800</v>
      </c>
      <c r="C188">
        <v>5100</v>
      </c>
      <c r="D188">
        <v>7500</v>
      </c>
    </row>
    <row r="189" spans="1:4" x14ac:dyDescent="0.25">
      <c r="A189">
        <v>700</v>
      </c>
      <c r="B189">
        <v>1800</v>
      </c>
      <c r="C189">
        <v>2700</v>
      </c>
      <c r="D189">
        <v>5500</v>
      </c>
    </row>
    <row r="190" spans="1:4" x14ac:dyDescent="0.25">
      <c r="A190">
        <v>1000</v>
      </c>
      <c r="B190">
        <v>4600</v>
      </c>
      <c r="C190">
        <v>10200</v>
      </c>
      <c r="D190">
        <v>13500</v>
      </c>
    </row>
    <row r="191" spans="1:4" x14ac:dyDescent="0.25">
      <c r="A191">
        <v>1200</v>
      </c>
      <c r="B191">
        <v>3400</v>
      </c>
      <c r="C191">
        <v>8700</v>
      </c>
      <c r="D191">
        <v>13000</v>
      </c>
    </row>
    <row r="192" spans="1:4" x14ac:dyDescent="0.25">
      <c r="A192">
        <v>500</v>
      </c>
      <c r="B192">
        <v>1400</v>
      </c>
      <c r="C192">
        <v>3300</v>
      </c>
      <c r="D192">
        <v>5000</v>
      </c>
    </row>
    <row r="193" spans="1:4" x14ac:dyDescent="0.25">
      <c r="A193">
        <v>2400</v>
      </c>
      <c r="B193">
        <v>5800</v>
      </c>
      <c r="C193">
        <v>10500</v>
      </c>
      <c r="D193">
        <v>18500</v>
      </c>
    </row>
    <row r="194" spans="1:4" x14ac:dyDescent="0.25">
      <c r="A194">
        <v>1400</v>
      </c>
      <c r="B194">
        <v>3800</v>
      </c>
      <c r="C194">
        <v>9900</v>
      </c>
      <c r="D194">
        <v>13500</v>
      </c>
    </row>
    <row r="195" spans="1:4" x14ac:dyDescent="0.25">
      <c r="A195">
        <v>600</v>
      </c>
      <c r="B195">
        <v>1200</v>
      </c>
      <c r="C195">
        <v>3000</v>
      </c>
      <c r="D195">
        <v>4500</v>
      </c>
    </row>
    <row r="196" spans="1:4" x14ac:dyDescent="0.25">
      <c r="A196">
        <v>700</v>
      </c>
      <c r="B196">
        <v>1200</v>
      </c>
      <c r="C196">
        <v>3000</v>
      </c>
      <c r="D196">
        <v>5000</v>
      </c>
    </row>
    <row r="197" spans="1:4" x14ac:dyDescent="0.25">
      <c r="A197">
        <v>500</v>
      </c>
      <c r="B197">
        <v>1800</v>
      </c>
      <c r="C197">
        <v>2700</v>
      </c>
      <c r="D197">
        <v>4000</v>
      </c>
    </row>
    <row r="198" spans="1:4" x14ac:dyDescent="0.25">
      <c r="A198">
        <v>2400</v>
      </c>
      <c r="B198">
        <v>5600</v>
      </c>
      <c r="C198">
        <v>10500</v>
      </c>
      <c r="D198">
        <v>16500</v>
      </c>
    </row>
    <row r="199" spans="1:4" x14ac:dyDescent="0.25">
      <c r="A199">
        <v>900</v>
      </c>
      <c r="B199">
        <v>2000</v>
      </c>
      <c r="C199">
        <v>4200</v>
      </c>
      <c r="D199">
        <v>9000</v>
      </c>
    </row>
    <row r="200" spans="1:4" x14ac:dyDescent="0.25">
      <c r="A200">
        <v>2300</v>
      </c>
      <c r="B200">
        <v>4200</v>
      </c>
      <c r="C200">
        <v>9900</v>
      </c>
      <c r="D200">
        <v>17500</v>
      </c>
    </row>
    <row r="201" spans="1:4" x14ac:dyDescent="0.25">
      <c r="A201">
        <v>700</v>
      </c>
      <c r="B201">
        <v>2400</v>
      </c>
      <c r="C201">
        <v>5700</v>
      </c>
      <c r="D201">
        <v>9000</v>
      </c>
    </row>
    <row r="202" spans="1:4" x14ac:dyDescent="0.25">
      <c r="A202">
        <v>1400</v>
      </c>
      <c r="B202">
        <v>5400</v>
      </c>
      <c r="C202">
        <v>8700</v>
      </c>
      <c r="D202">
        <v>18000</v>
      </c>
    </row>
    <row r="203" spans="1:4" x14ac:dyDescent="0.25">
      <c r="A203">
        <v>2200</v>
      </c>
      <c r="B203">
        <v>6000</v>
      </c>
      <c r="C203">
        <v>9000</v>
      </c>
      <c r="D203">
        <v>19500</v>
      </c>
    </row>
    <row r="204" spans="1:4" x14ac:dyDescent="0.25">
      <c r="A204">
        <v>1900</v>
      </c>
      <c r="B204">
        <v>3800</v>
      </c>
      <c r="C204">
        <v>9300</v>
      </c>
      <c r="D204">
        <v>13500</v>
      </c>
    </row>
    <row r="205" spans="1:4" x14ac:dyDescent="0.25">
      <c r="A205">
        <v>1300</v>
      </c>
      <c r="B205">
        <v>3800</v>
      </c>
      <c r="C205">
        <v>8100</v>
      </c>
      <c r="D205">
        <v>14500</v>
      </c>
    </row>
    <row r="206" spans="1:4" x14ac:dyDescent="0.25">
      <c r="A206">
        <v>800</v>
      </c>
      <c r="B206">
        <v>2000</v>
      </c>
      <c r="C206">
        <v>4800</v>
      </c>
      <c r="D206">
        <v>9000</v>
      </c>
    </row>
    <row r="207" spans="1:4" x14ac:dyDescent="0.25">
      <c r="A207">
        <v>600</v>
      </c>
      <c r="B207">
        <v>1600</v>
      </c>
      <c r="C207">
        <v>3000</v>
      </c>
      <c r="D207">
        <v>4500</v>
      </c>
    </row>
    <row r="208" spans="1:4" x14ac:dyDescent="0.25">
      <c r="A208">
        <v>1700</v>
      </c>
      <c r="B208">
        <v>4000</v>
      </c>
      <c r="C208">
        <v>11400</v>
      </c>
      <c r="D208">
        <v>18000</v>
      </c>
    </row>
    <row r="209" spans="1:4" x14ac:dyDescent="0.25">
      <c r="A209">
        <v>500</v>
      </c>
      <c r="B209">
        <v>1600</v>
      </c>
      <c r="C209">
        <v>5700</v>
      </c>
      <c r="D209">
        <v>7500</v>
      </c>
    </row>
    <row r="210" spans="1:4" x14ac:dyDescent="0.25">
      <c r="A210">
        <v>1100</v>
      </c>
      <c r="B210">
        <v>3800</v>
      </c>
      <c r="C210">
        <v>8400</v>
      </c>
      <c r="D210">
        <v>15000</v>
      </c>
    </row>
    <row r="211" spans="1:4" x14ac:dyDescent="0.25">
      <c r="A211">
        <v>2300</v>
      </c>
      <c r="B211">
        <v>5000</v>
      </c>
      <c r="C211">
        <v>9300</v>
      </c>
      <c r="D211">
        <v>17000</v>
      </c>
    </row>
    <row r="212" spans="1:4" x14ac:dyDescent="0.25">
      <c r="A212">
        <v>600</v>
      </c>
      <c r="B212">
        <v>1600</v>
      </c>
      <c r="C212">
        <v>3600</v>
      </c>
      <c r="D212">
        <v>5500</v>
      </c>
    </row>
    <row r="213" spans="1:4" x14ac:dyDescent="0.25">
      <c r="A213">
        <v>500</v>
      </c>
      <c r="B213">
        <v>1600</v>
      </c>
      <c r="C213">
        <v>3000</v>
      </c>
      <c r="D213">
        <v>4000</v>
      </c>
    </row>
    <row r="214" spans="1:4" x14ac:dyDescent="0.25">
      <c r="A214">
        <v>1900</v>
      </c>
      <c r="B214">
        <v>4200</v>
      </c>
      <c r="C214">
        <v>8100</v>
      </c>
      <c r="D214">
        <v>12500</v>
      </c>
    </row>
    <row r="215" spans="1:4" x14ac:dyDescent="0.25">
      <c r="A215">
        <v>1900</v>
      </c>
      <c r="B215">
        <v>4800</v>
      </c>
      <c r="C215">
        <v>10500</v>
      </c>
      <c r="D215">
        <v>19000</v>
      </c>
    </row>
    <row r="216" spans="1:4" x14ac:dyDescent="0.25">
      <c r="A216">
        <v>1600</v>
      </c>
      <c r="B216">
        <v>3600</v>
      </c>
      <c r="C216">
        <v>7200</v>
      </c>
      <c r="D216">
        <v>14500</v>
      </c>
    </row>
    <row r="217" spans="1:4" x14ac:dyDescent="0.25">
      <c r="A217">
        <v>1800</v>
      </c>
      <c r="B217">
        <v>3800</v>
      </c>
      <c r="C217">
        <v>9000</v>
      </c>
      <c r="D217">
        <v>14500</v>
      </c>
    </row>
    <row r="218" spans="1:4" x14ac:dyDescent="0.25">
      <c r="A218">
        <v>1600</v>
      </c>
      <c r="B218">
        <v>5800</v>
      </c>
      <c r="C218">
        <v>11400</v>
      </c>
      <c r="D218">
        <v>18500</v>
      </c>
    </row>
    <row r="219" spans="1:4" x14ac:dyDescent="0.25">
      <c r="A219">
        <v>1900</v>
      </c>
      <c r="B219">
        <v>4600</v>
      </c>
      <c r="C219">
        <v>7500</v>
      </c>
      <c r="D219">
        <v>14000</v>
      </c>
    </row>
    <row r="220" spans="1:4" x14ac:dyDescent="0.25">
      <c r="A220">
        <v>800</v>
      </c>
      <c r="B220">
        <v>1400</v>
      </c>
      <c r="C220">
        <v>2400</v>
      </c>
      <c r="D220">
        <v>4000</v>
      </c>
    </row>
    <row r="221" spans="1:4" x14ac:dyDescent="0.25">
      <c r="A221">
        <v>700</v>
      </c>
      <c r="B221">
        <v>1400</v>
      </c>
      <c r="C221">
        <v>2700</v>
      </c>
      <c r="D221">
        <v>4500</v>
      </c>
    </row>
    <row r="222" spans="1:4" x14ac:dyDescent="0.25">
      <c r="A222">
        <v>1600</v>
      </c>
      <c r="B222">
        <v>4000</v>
      </c>
      <c r="C222">
        <v>9900</v>
      </c>
      <c r="D222">
        <v>17000</v>
      </c>
    </row>
    <row r="223" spans="1:4" x14ac:dyDescent="0.25">
      <c r="A223">
        <v>1500</v>
      </c>
      <c r="B223">
        <v>3200</v>
      </c>
      <c r="C223">
        <v>9600</v>
      </c>
      <c r="D223">
        <v>12500</v>
      </c>
    </row>
    <row r="224" spans="1:4" x14ac:dyDescent="0.25">
      <c r="A224">
        <v>500</v>
      </c>
      <c r="B224">
        <v>1000</v>
      </c>
      <c r="C224">
        <v>3000</v>
      </c>
      <c r="D224">
        <v>4500</v>
      </c>
    </row>
    <row r="225" spans="1:4" x14ac:dyDescent="0.25">
      <c r="A225">
        <v>1600</v>
      </c>
      <c r="B225">
        <v>4800</v>
      </c>
      <c r="C225">
        <v>10800</v>
      </c>
      <c r="D225">
        <v>17500</v>
      </c>
    </row>
    <row r="226" spans="1:4" x14ac:dyDescent="0.25">
      <c r="A226">
        <v>600</v>
      </c>
      <c r="B226">
        <v>1600</v>
      </c>
      <c r="C226">
        <v>3000</v>
      </c>
      <c r="D226">
        <v>5000</v>
      </c>
    </row>
    <row r="227" spans="1:4" x14ac:dyDescent="0.25">
      <c r="A227">
        <v>600</v>
      </c>
      <c r="B227">
        <v>1400</v>
      </c>
      <c r="C227">
        <v>3000</v>
      </c>
      <c r="D227">
        <v>4000</v>
      </c>
    </row>
    <row r="228" spans="1:4" x14ac:dyDescent="0.25">
      <c r="A228">
        <v>1300</v>
      </c>
      <c r="B228">
        <v>3800</v>
      </c>
      <c r="C228">
        <v>8400</v>
      </c>
      <c r="D228">
        <v>17000</v>
      </c>
    </row>
    <row r="229" spans="1:4" x14ac:dyDescent="0.25">
      <c r="A229">
        <v>1800</v>
      </c>
      <c r="B229">
        <v>5200</v>
      </c>
      <c r="C229">
        <v>10200</v>
      </c>
      <c r="D229">
        <v>15500</v>
      </c>
    </row>
    <row r="230" spans="1:4" x14ac:dyDescent="0.25">
      <c r="A230">
        <v>1000</v>
      </c>
      <c r="B230">
        <v>3800</v>
      </c>
      <c r="C230">
        <v>8100</v>
      </c>
      <c r="D230">
        <v>14500</v>
      </c>
    </row>
    <row r="231" spans="1:4" x14ac:dyDescent="0.25">
      <c r="A231">
        <v>1800</v>
      </c>
      <c r="B231">
        <v>4600</v>
      </c>
      <c r="C231">
        <v>11700</v>
      </c>
      <c r="D231">
        <v>17500</v>
      </c>
    </row>
    <row r="232" spans="1:4" x14ac:dyDescent="0.25">
      <c r="A232">
        <v>900</v>
      </c>
      <c r="B232">
        <v>1800</v>
      </c>
      <c r="C232">
        <v>4500</v>
      </c>
      <c r="D232">
        <v>8000</v>
      </c>
    </row>
    <row r="233" spans="1:4" x14ac:dyDescent="0.25">
      <c r="A233">
        <v>1300</v>
      </c>
      <c r="B233">
        <v>4200</v>
      </c>
      <c r="C233">
        <v>9900</v>
      </c>
      <c r="D233">
        <v>13000</v>
      </c>
    </row>
    <row r="234" spans="1:4" x14ac:dyDescent="0.25">
      <c r="A234">
        <v>1600</v>
      </c>
      <c r="B234">
        <v>4400</v>
      </c>
      <c r="C234">
        <v>9000</v>
      </c>
      <c r="D234">
        <v>17500</v>
      </c>
    </row>
    <row r="235" spans="1:4" x14ac:dyDescent="0.25">
      <c r="A235">
        <v>600</v>
      </c>
      <c r="B235">
        <v>1600</v>
      </c>
      <c r="C235">
        <v>5100</v>
      </c>
      <c r="D235">
        <v>7000</v>
      </c>
    </row>
    <row r="236" spans="1:4" x14ac:dyDescent="0.25">
      <c r="A236">
        <v>1200</v>
      </c>
      <c r="B236">
        <v>5000</v>
      </c>
      <c r="C236">
        <v>9300</v>
      </c>
      <c r="D236">
        <v>14000</v>
      </c>
    </row>
    <row r="237" spans="1:4" x14ac:dyDescent="0.25">
      <c r="A237">
        <v>2100</v>
      </c>
      <c r="B237">
        <v>4400</v>
      </c>
      <c r="C237">
        <v>9900</v>
      </c>
      <c r="D237">
        <v>18000</v>
      </c>
    </row>
    <row r="238" spans="1:4" x14ac:dyDescent="0.25">
      <c r="A238">
        <v>500</v>
      </c>
      <c r="B238">
        <v>1200</v>
      </c>
      <c r="C238">
        <v>2400</v>
      </c>
      <c r="D238">
        <v>4500</v>
      </c>
    </row>
    <row r="239" spans="1:4" x14ac:dyDescent="0.25">
      <c r="A239">
        <v>1700</v>
      </c>
      <c r="B239">
        <v>4000</v>
      </c>
      <c r="C239">
        <v>9600</v>
      </c>
      <c r="D239">
        <v>15000</v>
      </c>
    </row>
    <row r="240" spans="1:4" x14ac:dyDescent="0.25">
      <c r="A240">
        <v>2300</v>
      </c>
      <c r="B240">
        <v>5800</v>
      </c>
      <c r="C240">
        <v>9900</v>
      </c>
      <c r="D240">
        <v>17500</v>
      </c>
    </row>
    <row r="241" spans="1:4" x14ac:dyDescent="0.25">
      <c r="A241">
        <v>1600</v>
      </c>
      <c r="B241">
        <v>4800</v>
      </c>
      <c r="C241">
        <v>10800</v>
      </c>
      <c r="D241">
        <v>17500</v>
      </c>
    </row>
    <row r="242" spans="1:4" x14ac:dyDescent="0.25">
      <c r="A242">
        <v>700</v>
      </c>
      <c r="B242">
        <v>1600</v>
      </c>
      <c r="C242">
        <v>5100</v>
      </c>
      <c r="D242">
        <v>9500</v>
      </c>
    </row>
    <row r="243" spans="1:4" x14ac:dyDescent="0.25">
      <c r="A243">
        <v>1400</v>
      </c>
      <c r="B243">
        <v>4600</v>
      </c>
      <c r="C243">
        <v>8400</v>
      </c>
      <c r="D243">
        <v>12500</v>
      </c>
    </row>
    <row r="244" spans="1:4" x14ac:dyDescent="0.25">
      <c r="A244">
        <v>2400</v>
      </c>
      <c r="B244">
        <v>5200</v>
      </c>
      <c r="C244">
        <v>10500</v>
      </c>
      <c r="D244">
        <v>17500</v>
      </c>
    </row>
    <row r="245" spans="1:4" x14ac:dyDescent="0.25">
      <c r="A245">
        <v>1600</v>
      </c>
      <c r="B245">
        <v>4200</v>
      </c>
      <c r="C245">
        <v>8700</v>
      </c>
      <c r="D245">
        <v>16000</v>
      </c>
    </row>
    <row r="246" spans="1:4" x14ac:dyDescent="0.25">
      <c r="A246">
        <v>1600</v>
      </c>
      <c r="B246">
        <v>4600</v>
      </c>
      <c r="C246">
        <v>10500</v>
      </c>
      <c r="D246">
        <v>18000</v>
      </c>
    </row>
    <row r="247" spans="1:4" x14ac:dyDescent="0.25">
      <c r="A247">
        <v>900</v>
      </c>
      <c r="B247">
        <v>1800</v>
      </c>
      <c r="C247">
        <v>4500</v>
      </c>
      <c r="D247">
        <v>9000</v>
      </c>
    </row>
    <row r="248" spans="1:4" x14ac:dyDescent="0.25">
      <c r="A248">
        <v>1000</v>
      </c>
      <c r="B248">
        <v>5400</v>
      </c>
      <c r="C248">
        <v>10200</v>
      </c>
      <c r="D248">
        <v>16500</v>
      </c>
    </row>
    <row r="249" spans="1:4" x14ac:dyDescent="0.25">
      <c r="A249">
        <v>1300</v>
      </c>
      <c r="B249">
        <v>5400</v>
      </c>
      <c r="C249">
        <v>10500</v>
      </c>
      <c r="D249">
        <v>16500</v>
      </c>
    </row>
    <row r="250" spans="1:4" x14ac:dyDescent="0.25">
      <c r="A250">
        <v>1800</v>
      </c>
      <c r="B250">
        <v>5400</v>
      </c>
      <c r="C250">
        <v>10800</v>
      </c>
      <c r="D250">
        <v>17500</v>
      </c>
    </row>
    <row r="251" spans="1:4" x14ac:dyDescent="0.25">
      <c r="A251">
        <v>1800</v>
      </c>
      <c r="B251">
        <v>4200</v>
      </c>
      <c r="C251">
        <v>10500</v>
      </c>
      <c r="D251">
        <v>15500</v>
      </c>
    </row>
    <row r="252" spans="1:4" x14ac:dyDescent="0.25">
      <c r="A252">
        <v>1900</v>
      </c>
      <c r="B252">
        <v>4800</v>
      </c>
      <c r="C252">
        <v>9900</v>
      </c>
      <c r="D252">
        <v>13500</v>
      </c>
    </row>
    <row r="253" spans="1:4" x14ac:dyDescent="0.25">
      <c r="A253">
        <v>1000</v>
      </c>
      <c r="B253">
        <v>3800</v>
      </c>
      <c r="C253">
        <v>8400</v>
      </c>
      <c r="D253">
        <v>15500</v>
      </c>
    </row>
    <row r="254" spans="1:4" x14ac:dyDescent="0.25">
      <c r="A254">
        <v>800</v>
      </c>
      <c r="B254">
        <v>2400</v>
      </c>
      <c r="C254">
        <v>5100</v>
      </c>
      <c r="D254">
        <v>9000</v>
      </c>
    </row>
    <row r="255" spans="1:4" x14ac:dyDescent="0.25">
      <c r="A255">
        <v>1500</v>
      </c>
      <c r="B255">
        <v>4400</v>
      </c>
      <c r="C255">
        <v>8100</v>
      </c>
      <c r="D255">
        <v>16000</v>
      </c>
    </row>
    <row r="256" spans="1:4" x14ac:dyDescent="0.25">
      <c r="A256">
        <v>1200</v>
      </c>
      <c r="B256">
        <v>3600</v>
      </c>
      <c r="C256">
        <v>9900</v>
      </c>
      <c r="D256">
        <v>16000</v>
      </c>
    </row>
    <row r="257" spans="1:4" x14ac:dyDescent="0.25">
      <c r="A257">
        <v>600</v>
      </c>
      <c r="B257">
        <v>1600</v>
      </c>
      <c r="C257">
        <v>4500</v>
      </c>
      <c r="D257">
        <v>7500</v>
      </c>
    </row>
    <row r="258" spans="1:4" x14ac:dyDescent="0.25">
      <c r="A258">
        <v>1300</v>
      </c>
      <c r="B258">
        <v>5000</v>
      </c>
      <c r="C258">
        <v>8700</v>
      </c>
      <c r="D258">
        <v>14000</v>
      </c>
    </row>
    <row r="259" spans="1:4" x14ac:dyDescent="0.25">
      <c r="A259">
        <v>1200</v>
      </c>
      <c r="B259">
        <v>3600</v>
      </c>
      <c r="C259">
        <v>9600</v>
      </c>
      <c r="D259">
        <v>17000</v>
      </c>
    </row>
    <row r="260" spans="1:4" x14ac:dyDescent="0.25">
      <c r="A260">
        <v>800</v>
      </c>
      <c r="B260">
        <v>1000</v>
      </c>
      <c r="C260">
        <v>3300</v>
      </c>
      <c r="D260">
        <v>5500</v>
      </c>
    </row>
    <row r="261" spans="1:4" x14ac:dyDescent="0.25">
      <c r="A261">
        <v>500</v>
      </c>
      <c r="B261">
        <v>1800</v>
      </c>
      <c r="C261">
        <v>6000</v>
      </c>
      <c r="D261">
        <v>8500</v>
      </c>
    </row>
    <row r="262" spans="1:4" x14ac:dyDescent="0.25">
      <c r="A262">
        <v>500</v>
      </c>
      <c r="B262">
        <v>2000</v>
      </c>
      <c r="C262">
        <v>5100</v>
      </c>
      <c r="D262">
        <v>7500</v>
      </c>
    </row>
    <row r="263" spans="1:4" x14ac:dyDescent="0.25">
      <c r="A263">
        <v>2000</v>
      </c>
      <c r="B263">
        <v>5600</v>
      </c>
      <c r="C263">
        <v>9600</v>
      </c>
      <c r="D263">
        <v>18000</v>
      </c>
    </row>
    <row r="264" spans="1:4" x14ac:dyDescent="0.25">
      <c r="A264">
        <v>1600</v>
      </c>
      <c r="B264">
        <v>4200</v>
      </c>
      <c r="C264">
        <v>9900</v>
      </c>
      <c r="D264">
        <v>18000</v>
      </c>
    </row>
    <row r="265" spans="1:4" x14ac:dyDescent="0.25">
      <c r="A265">
        <v>1600</v>
      </c>
      <c r="B265">
        <v>5400</v>
      </c>
      <c r="C265">
        <v>12000</v>
      </c>
      <c r="D265">
        <v>18000</v>
      </c>
    </row>
    <row r="266" spans="1:4" x14ac:dyDescent="0.25">
      <c r="A266">
        <v>400</v>
      </c>
      <c r="B266">
        <v>1800</v>
      </c>
      <c r="C266">
        <v>2700</v>
      </c>
      <c r="D266">
        <v>5000</v>
      </c>
    </row>
    <row r="267" spans="1:4" x14ac:dyDescent="0.25">
      <c r="A267">
        <v>1300</v>
      </c>
      <c r="B267">
        <v>4200</v>
      </c>
      <c r="C267">
        <v>9900</v>
      </c>
      <c r="D267">
        <v>16500</v>
      </c>
    </row>
    <row r="268" spans="1:4" x14ac:dyDescent="0.25">
      <c r="A268">
        <v>1800</v>
      </c>
      <c r="B268">
        <v>3600</v>
      </c>
      <c r="C268">
        <v>9300</v>
      </c>
      <c r="D268">
        <v>12000</v>
      </c>
    </row>
    <row r="269" spans="1:4" x14ac:dyDescent="0.25">
      <c r="A269">
        <v>1500</v>
      </c>
      <c r="B269">
        <v>3200</v>
      </c>
      <c r="C269">
        <v>9000</v>
      </c>
      <c r="D269">
        <v>14500</v>
      </c>
    </row>
    <row r="270" spans="1:4" x14ac:dyDescent="0.25">
      <c r="A270">
        <v>2100</v>
      </c>
      <c r="B270">
        <v>5600</v>
      </c>
      <c r="C270">
        <v>11400</v>
      </c>
      <c r="D270">
        <v>18000</v>
      </c>
    </row>
    <row r="271" spans="1:4" x14ac:dyDescent="0.25">
      <c r="A271">
        <v>500</v>
      </c>
      <c r="B271">
        <v>1400</v>
      </c>
      <c r="C271">
        <v>3000</v>
      </c>
      <c r="D271">
        <v>4500</v>
      </c>
    </row>
    <row r="272" spans="1:4" x14ac:dyDescent="0.25">
      <c r="A272">
        <v>2400</v>
      </c>
      <c r="B272">
        <v>5200</v>
      </c>
      <c r="C272">
        <v>10800</v>
      </c>
      <c r="D272">
        <v>18000</v>
      </c>
    </row>
    <row r="273" spans="1:4" x14ac:dyDescent="0.25">
      <c r="A273">
        <v>1100</v>
      </c>
      <c r="B273">
        <v>5400</v>
      </c>
      <c r="C273">
        <v>10200</v>
      </c>
      <c r="D273">
        <v>17500</v>
      </c>
    </row>
    <row r="274" spans="1:4" x14ac:dyDescent="0.25">
      <c r="A274">
        <v>1700</v>
      </c>
      <c r="B274">
        <v>4600</v>
      </c>
      <c r="C274">
        <v>9900</v>
      </c>
      <c r="D274">
        <v>15500</v>
      </c>
    </row>
    <row r="275" spans="1:4" x14ac:dyDescent="0.25">
      <c r="A275">
        <v>1100</v>
      </c>
      <c r="B275">
        <v>4400</v>
      </c>
      <c r="C275">
        <v>9300</v>
      </c>
      <c r="D275">
        <v>14000</v>
      </c>
    </row>
    <row r="276" spans="1:4" x14ac:dyDescent="0.25">
      <c r="A276">
        <v>1300</v>
      </c>
      <c r="B276">
        <v>5000</v>
      </c>
      <c r="C276">
        <v>9600</v>
      </c>
      <c r="D276">
        <v>14500</v>
      </c>
    </row>
    <row r="277" spans="1:4" x14ac:dyDescent="0.25">
      <c r="A277">
        <v>2400</v>
      </c>
      <c r="B277">
        <v>4600</v>
      </c>
      <c r="C277">
        <v>10800</v>
      </c>
      <c r="D277">
        <v>15500</v>
      </c>
    </row>
    <row r="278" spans="1:4" x14ac:dyDescent="0.25">
      <c r="A278">
        <v>2300</v>
      </c>
      <c r="B278">
        <v>4400</v>
      </c>
      <c r="C278">
        <v>9300</v>
      </c>
      <c r="D278">
        <v>15500</v>
      </c>
    </row>
    <row r="279" spans="1:4" x14ac:dyDescent="0.25">
      <c r="A279">
        <v>400</v>
      </c>
      <c r="B279">
        <v>1400</v>
      </c>
      <c r="C279">
        <v>2700</v>
      </c>
      <c r="D279">
        <v>5500</v>
      </c>
    </row>
    <row r="280" spans="1:4" x14ac:dyDescent="0.25">
      <c r="A280">
        <v>1100</v>
      </c>
      <c r="B280">
        <v>5400</v>
      </c>
      <c r="C280">
        <v>8700</v>
      </c>
      <c r="D280">
        <v>16000</v>
      </c>
    </row>
    <row r="281" spans="1:4" x14ac:dyDescent="0.25">
      <c r="A281">
        <v>1000</v>
      </c>
      <c r="B281">
        <v>4400</v>
      </c>
      <c r="C281">
        <v>8100</v>
      </c>
      <c r="D281">
        <v>13000</v>
      </c>
    </row>
    <row r="282" spans="1:4" x14ac:dyDescent="0.25">
      <c r="A282">
        <v>1800</v>
      </c>
      <c r="B282">
        <v>3800</v>
      </c>
      <c r="C282">
        <v>9000</v>
      </c>
      <c r="D282">
        <v>15000</v>
      </c>
    </row>
    <row r="283" spans="1:4" x14ac:dyDescent="0.25">
      <c r="A283">
        <v>1500</v>
      </c>
      <c r="B283">
        <v>4000</v>
      </c>
      <c r="C283">
        <v>7800</v>
      </c>
      <c r="D283">
        <v>14500</v>
      </c>
    </row>
    <row r="284" spans="1:4" x14ac:dyDescent="0.25">
      <c r="A284">
        <v>1700</v>
      </c>
      <c r="B284">
        <v>5600</v>
      </c>
      <c r="C284">
        <v>11700</v>
      </c>
      <c r="D284">
        <v>18500</v>
      </c>
    </row>
    <row r="285" spans="1:4" x14ac:dyDescent="0.25">
      <c r="A285">
        <v>600</v>
      </c>
      <c r="B285">
        <v>1600</v>
      </c>
      <c r="C285">
        <v>3000</v>
      </c>
      <c r="D285">
        <v>4500</v>
      </c>
    </row>
    <row r="286" spans="1:4" x14ac:dyDescent="0.25">
      <c r="A286">
        <v>600</v>
      </c>
      <c r="B286">
        <v>2400</v>
      </c>
      <c r="C286">
        <v>4800</v>
      </c>
      <c r="D286">
        <v>8500</v>
      </c>
    </row>
    <row r="287" spans="1:4" x14ac:dyDescent="0.25">
      <c r="A287">
        <v>1700</v>
      </c>
      <c r="B287">
        <v>3800</v>
      </c>
      <c r="C287">
        <v>10800</v>
      </c>
      <c r="D287">
        <v>13000</v>
      </c>
    </row>
    <row r="288" spans="1:4" x14ac:dyDescent="0.25">
      <c r="A288">
        <v>1400</v>
      </c>
      <c r="B288">
        <v>4600</v>
      </c>
      <c r="C288">
        <v>7200</v>
      </c>
      <c r="D288">
        <v>12000</v>
      </c>
    </row>
    <row r="289" spans="1:4" x14ac:dyDescent="0.25">
      <c r="A289">
        <v>1600</v>
      </c>
      <c r="B289">
        <v>4000</v>
      </c>
      <c r="C289">
        <v>10200</v>
      </c>
      <c r="D289">
        <v>13000</v>
      </c>
    </row>
    <row r="290" spans="1:4" x14ac:dyDescent="0.25">
      <c r="A290">
        <v>700</v>
      </c>
      <c r="B290">
        <v>1400</v>
      </c>
      <c r="C290">
        <v>2700</v>
      </c>
      <c r="D290">
        <v>4000</v>
      </c>
    </row>
    <row r="291" spans="1:4" x14ac:dyDescent="0.25">
      <c r="A291">
        <v>500</v>
      </c>
      <c r="B291">
        <v>1600</v>
      </c>
      <c r="C291">
        <v>3300</v>
      </c>
      <c r="D291">
        <v>4500</v>
      </c>
    </row>
    <row r="292" spans="1:4" x14ac:dyDescent="0.25">
      <c r="A292">
        <v>800</v>
      </c>
      <c r="B292">
        <v>1200</v>
      </c>
      <c r="C292">
        <v>2700</v>
      </c>
      <c r="D292">
        <v>4500</v>
      </c>
    </row>
    <row r="293" spans="1:4" x14ac:dyDescent="0.25">
      <c r="A293">
        <v>700</v>
      </c>
      <c r="B293">
        <v>1600</v>
      </c>
      <c r="C293">
        <v>2700</v>
      </c>
      <c r="D293">
        <v>4500</v>
      </c>
    </row>
    <row r="294" spans="1:4" x14ac:dyDescent="0.25">
      <c r="A294">
        <v>2200</v>
      </c>
      <c r="B294">
        <v>4400</v>
      </c>
      <c r="C294">
        <v>10800</v>
      </c>
      <c r="D294">
        <v>15000</v>
      </c>
    </row>
    <row r="295" spans="1:4" x14ac:dyDescent="0.25">
      <c r="A295">
        <v>600</v>
      </c>
      <c r="B295">
        <v>1000</v>
      </c>
      <c r="C295">
        <v>2700</v>
      </c>
      <c r="D295">
        <v>4500</v>
      </c>
    </row>
    <row r="296" spans="1:4" x14ac:dyDescent="0.25">
      <c r="A296">
        <v>600</v>
      </c>
      <c r="B296">
        <v>1000</v>
      </c>
      <c r="C296">
        <v>3000</v>
      </c>
      <c r="D296">
        <v>6000</v>
      </c>
    </row>
    <row r="297" spans="1:4" x14ac:dyDescent="0.25">
      <c r="A297">
        <v>1900</v>
      </c>
      <c r="B297">
        <v>4800</v>
      </c>
      <c r="C297">
        <v>9900</v>
      </c>
      <c r="D297">
        <v>16000</v>
      </c>
    </row>
    <row r="298" spans="1:4" x14ac:dyDescent="0.25">
      <c r="A298">
        <v>600</v>
      </c>
      <c r="B298">
        <v>1800</v>
      </c>
      <c r="C298">
        <v>4800</v>
      </c>
      <c r="D298">
        <v>7000</v>
      </c>
    </row>
    <row r="299" spans="1:4" x14ac:dyDescent="0.25">
      <c r="A299">
        <v>1400</v>
      </c>
      <c r="B299">
        <v>4200</v>
      </c>
      <c r="C299">
        <v>9000</v>
      </c>
      <c r="D299">
        <v>16000</v>
      </c>
    </row>
    <row r="300" spans="1:4" x14ac:dyDescent="0.25">
      <c r="A300">
        <v>1500</v>
      </c>
      <c r="B300">
        <v>5000</v>
      </c>
      <c r="C300">
        <v>9900</v>
      </c>
      <c r="D300">
        <v>14500</v>
      </c>
    </row>
    <row r="301" spans="1:4" x14ac:dyDescent="0.25">
      <c r="A301">
        <v>500</v>
      </c>
      <c r="B301">
        <v>1800</v>
      </c>
      <c r="C301">
        <v>3300</v>
      </c>
      <c r="D301">
        <v>4500</v>
      </c>
    </row>
    <row r="302" spans="1:4" x14ac:dyDescent="0.25">
      <c r="A302">
        <v>600</v>
      </c>
      <c r="B302">
        <v>2200</v>
      </c>
      <c r="C302">
        <v>4500</v>
      </c>
      <c r="D302">
        <v>9500</v>
      </c>
    </row>
    <row r="303" spans="1:4" x14ac:dyDescent="0.25">
      <c r="A303">
        <v>1400</v>
      </c>
      <c r="B303">
        <v>3400</v>
      </c>
      <c r="C303">
        <v>9000</v>
      </c>
      <c r="D303">
        <v>14500</v>
      </c>
    </row>
    <row r="304" spans="1:4" x14ac:dyDescent="0.25">
      <c r="A304">
        <v>800</v>
      </c>
      <c r="B304">
        <v>1400</v>
      </c>
      <c r="C304">
        <v>3300</v>
      </c>
      <c r="D304">
        <v>5000</v>
      </c>
    </row>
    <row r="305" spans="1:4" x14ac:dyDescent="0.25">
      <c r="A305">
        <v>2200</v>
      </c>
      <c r="B305">
        <v>5600</v>
      </c>
      <c r="C305">
        <v>9600</v>
      </c>
      <c r="D305">
        <v>19000</v>
      </c>
    </row>
    <row r="306" spans="1:4" x14ac:dyDescent="0.25">
      <c r="A306">
        <v>600</v>
      </c>
      <c r="B306">
        <v>1800</v>
      </c>
      <c r="C306">
        <v>3000</v>
      </c>
      <c r="D306">
        <v>4500</v>
      </c>
    </row>
    <row r="307" spans="1:4" x14ac:dyDescent="0.25">
      <c r="A307">
        <v>900</v>
      </c>
      <c r="B307">
        <v>2200</v>
      </c>
      <c r="C307">
        <v>5100</v>
      </c>
      <c r="D307">
        <v>9500</v>
      </c>
    </row>
    <row r="308" spans="1:4" x14ac:dyDescent="0.25">
      <c r="A308">
        <v>1900</v>
      </c>
      <c r="B308">
        <v>5200</v>
      </c>
      <c r="C308">
        <v>8400</v>
      </c>
      <c r="D308">
        <v>16500</v>
      </c>
    </row>
    <row r="309" spans="1:4" x14ac:dyDescent="0.25">
      <c r="A309">
        <v>2300</v>
      </c>
      <c r="B309">
        <v>5000</v>
      </c>
      <c r="C309">
        <v>11400</v>
      </c>
      <c r="D309">
        <v>19000</v>
      </c>
    </row>
    <row r="310" spans="1:4" x14ac:dyDescent="0.25">
      <c r="A310">
        <v>1500</v>
      </c>
      <c r="B310">
        <v>4400</v>
      </c>
      <c r="C310">
        <v>9600</v>
      </c>
      <c r="D310">
        <v>15000</v>
      </c>
    </row>
    <row r="311" spans="1:4" x14ac:dyDescent="0.25">
      <c r="A311">
        <v>1900</v>
      </c>
      <c r="B311">
        <v>3600</v>
      </c>
      <c r="C311">
        <v>9000</v>
      </c>
      <c r="D311">
        <v>17000</v>
      </c>
    </row>
    <row r="312" spans="1:4" x14ac:dyDescent="0.25">
      <c r="A312">
        <v>1200</v>
      </c>
      <c r="B312">
        <v>4200</v>
      </c>
      <c r="C312">
        <v>10200</v>
      </c>
      <c r="D312">
        <v>17500</v>
      </c>
    </row>
    <row r="313" spans="1:4" x14ac:dyDescent="0.25">
      <c r="A313">
        <v>1400</v>
      </c>
      <c r="B313">
        <v>3600</v>
      </c>
      <c r="C313">
        <v>10800</v>
      </c>
      <c r="D313">
        <v>16500</v>
      </c>
    </row>
    <row r="314" spans="1:4" x14ac:dyDescent="0.25">
      <c r="A314">
        <v>1800</v>
      </c>
      <c r="B314">
        <v>5000</v>
      </c>
      <c r="C314">
        <v>11400</v>
      </c>
      <c r="D314">
        <v>18000</v>
      </c>
    </row>
    <row r="315" spans="1:4" x14ac:dyDescent="0.25">
      <c r="A315">
        <v>600</v>
      </c>
      <c r="B315">
        <v>1200</v>
      </c>
      <c r="C315">
        <v>2700</v>
      </c>
      <c r="D315">
        <v>5000</v>
      </c>
    </row>
    <row r="316" spans="1:4" x14ac:dyDescent="0.25">
      <c r="A316">
        <v>1900</v>
      </c>
      <c r="B316">
        <v>4600</v>
      </c>
      <c r="C316">
        <v>9600</v>
      </c>
      <c r="D316">
        <v>14000</v>
      </c>
    </row>
    <row r="317" spans="1:4" x14ac:dyDescent="0.25">
      <c r="A317">
        <v>1400</v>
      </c>
      <c r="B317">
        <v>4000</v>
      </c>
      <c r="C317">
        <v>10800</v>
      </c>
      <c r="D317">
        <v>15500</v>
      </c>
    </row>
    <row r="318" spans="1:4" x14ac:dyDescent="0.25">
      <c r="A318">
        <v>1200</v>
      </c>
      <c r="B318">
        <v>4200</v>
      </c>
      <c r="C318">
        <v>8100</v>
      </c>
      <c r="D318">
        <v>17000</v>
      </c>
    </row>
    <row r="319" spans="1:4" x14ac:dyDescent="0.25">
      <c r="A319">
        <v>1000</v>
      </c>
      <c r="B319">
        <v>4000</v>
      </c>
      <c r="C319">
        <v>7200</v>
      </c>
      <c r="D319">
        <v>13000</v>
      </c>
    </row>
    <row r="320" spans="1:4" x14ac:dyDescent="0.25">
      <c r="A320">
        <v>700</v>
      </c>
      <c r="B320">
        <v>1800</v>
      </c>
      <c r="C320">
        <v>3000</v>
      </c>
      <c r="D320">
        <v>5000</v>
      </c>
    </row>
    <row r="321" spans="1:4" x14ac:dyDescent="0.25">
      <c r="A321">
        <v>1300</v>
      </c>
      <c r="B321">
        <v>4800</v>
      </c>
      <c r="C321">
        <v>10800</v>
      </c>
      <c r="D321">
        <v>14000</v>
      </c>
    </row>
    <row r="322" spans="1:4" x14ac:dyDescent="0.25">
      <c r="A322">
        <v>1700</v>
      </c>
      <c r="B322">
        <v>4800</v>
      </c>
      <c r="C322">
        <v>9600</v>
      </c>
      <c r="D322">
        <v>17000</v>
      </c>
    </row>
    <row r="323" spans="1:4" x14ac:dyDescent="0.25">
      <c r="A323">
        <v>900</v>
      </c>
      <c r="B323">
        <v>2400</v>
      </c>
      <c r="C323">
        <v>5700</v>
      </c>
      <c r="D323">
        <v>9000</v>
      </c>
    </row>
    <row r="324" spans="1:4" x14ac:dyDescent="0.25">
      <c r="A324">
        <v>1900</v>
      </c>
      <c r="B324">
        <v>4000</v>
      </c>
      <c r="C324">
        <v>9000</v>
      </c>
      <c r="D324">
        <v>13500</v>
      </c>
    </row>
    <row r="325" spans="1:4" x14ac:dyDescent="0.25">
      <c r="A325">
        <v>1600</v>
      </c>
      <c r="B325">
        <v>4600</v>
      </c>
      <c r="C325">
        <v>8100</v>
      </c>
      <c r="D325">
        <v>15000</v>
      </c>
    </row>
    <row r="326" spans="1:4" x14ac:dyDescent="0.25">
      <c r="A326">
        <v>700</v>
      </c>
      <c r="B326">
        <v>1400</v>
      </c>
      <c r="C326">
        <v>2700</v>
      </c>
      <c r="D326">
        <v>4000</v>
      </c>
    </row>
    <row r="327" spans="1:4" x14ac:dyDescent="0.25">
      <c r="A327">
        <v>2300</v>
      </c>
      <c r="B327">
        <v>5400</v>
      </c>
      <c r="C327">
        <v>10500</v>
      </c>
      <c r="D327">
        <v>18000</v>
      </c>
    </row>
    <row r="328" spans="1:4" x14ac:dyDescent="0.25">
      <c r="A328">
        <v>1500</v>
      </c>
      <c r="B328">
        <v>4400</v>
      </c>
      <c r="C328">
        <v>9600</v>
      </c>
      <c r="D328">
        <v>15000</v>
      </c>
    </row>
    <row r="329" spans="1:4" x14ac:dyDescent="0.25">
      <c r="A329">
        <v>1800</v>
      </c>
      <c r="B329">
        <v>5400</v>
      </c>
      <c r="C329">
        <v>9000</v>
      </c>
      <c r="D329">
        <v>13500</v>
      </c>
    </row>
    <row r="330" spans="1:4" x14ac:dyDescent="0.25">
      <c r="A330">
        <v>1100</v>
      </c>
      <c r="B330">
        <v>4200</v>
      </c>
      <c r="C330">
        <v>9000</v>
      </c>
      <c r="D330">
        <v>15000</v>
      </c>
    </row>
    <row r="331" spans="1:4" x14ac:dyDescent="0.25">
      <c r="A331">
        <v>1200</v>
      </c>
      <c r="B331">
        <v>3400</v>
      </c>
      <c r="C331">
        <v>8400</v>
      </c>
      <c r="D331">
        <v>15000</v>
      </c>
    </row>
    <row r="332" spans="1:4" x14ac:dyDescent="0.25">
      <c r="A332">
        <v>1400</v>
      </c>
      <c r="B332">
        <v>5400</v>
      </c>
      <c r="C332">
        <v>8100</v>
      </c>
      <c r="D332">
        <v>16000</v>
      </c>
    </row>
    <row r="333" spans="1:4" x14ac:dyDescent="0.25">
      <c r="A333">
        <v>800</v>
      </c>
      <c r="B333">
        <v>1600</v>
      </c>
      <c r="C333">
        <v>2700</v>
      </c>
      <c r="D333">
        <v>6000</v>
      </c>
    </row>
    <row r="334" spans="1:4" x14ac:dyDescent="0.25">
      <c r="A334">
        <v>1100</v>
      </c>
      <c r="B334">
        <v>4800</v>
      </c>
      <c r="C334">
        <v>9900</v>
      </c>
      <c r="D334">
        <v>13500</v>
      </c>
    </row>
    <row r="335" spans="1:4" x14ac:dyDescent="0.25">
      <c r="A335">
        <v>600</v>
      </c>
      <c r="B335">
        <v>1400</v>
      </c>
      <c r="C335">
        <v>3000</v>
      </c>
      <c r="D335">
        <v>5000</v>
      </c>
    </row>
    <row r="336" spans="1:4" x14ac:dyDescent="0.25">
      <c r="A336">
        <v>1100</v>
      </c>
      <c r="B336">
        <v>4200</v>
      </c>
      <c r="C336">
        <v>7800</v>
      </c>
      <c r="D336">
        <v>14000</v>
      </c>
    </row>
    <row r="337" spans="1:4" x14ac:dyDescent="0.25">
      <c r="A337">
        <v>800</v>
      </c>
      <c r="B337">
        <v>1400</v>
      </c>
      <c r="C337">
        <v>3000</v>
      </c>
      <c r="D337">
        <v>4500</v>
      </c>
    </row>
    <row r="338" spans="1:4" x14ac:dyDescent="0.25">
      <c r="A338">
        <v>2400</v>
      </c>
      <c r="B338">
        <v>4200</v>
      </c>
      <c r="C338">
        <v>11400</v>
      </c>
      <c r="D338">
        <v>18000</v>
      </c>
    </row>
    <row r="339" spans="1:4" x14ac:dyDescent="0.25">
      <c r="A339">
        <v>700</v>
      </c>
      <c r="B339">
        <v>1000</v>
      </c>
      <c r="C339">
        <v>2700</v>
      </c>
      <c r="D339">
        <v>6000</v>
      </c>
    </row>
    <row r="340" spans="1:4" x14ac:dyDescent="0.25">
      <c r="A340">
        <v>1800</v>
      </c>
      <c r="B340">
        <v>3800</v>
      </c>
      <c r="C340">
        <v>9000</v>
      </c>
      <c r="D340">
        <v>15500</v>
      </c>
    </row>
    <row r="341" spans="1:4" x14ac:dyDescent="0.25">
      <c r="A341">
        <v>600</v>
      </c>
      <c r="B341">
        <v>1200</v>
      </c>
      <c r="C341">
        <v>3300</v>
      </c>
      <c r="D341">
        <v>5000</v>
      </c>
    </row>
    <row r="342" spans="1:4" x14ac:dyDescent="0.25">
      <c r="A342">
        <v>400</v>
      </c>
      <c r="B342">
        <v>1600</v>
      </c>
      <c r="C342">
        <v>3000</v>
      </c>
      <c r="D342">
        <v>6000</v>
      </c>
    </row>
    <row r="343" spans="1:4" x14ac:dyDescent="0.25">
      <c r="A343">
        <v>1200</v>
      </c>
      <c r="B343">
        <v>4200</v>
      </c>
      <c r="C343">
        <v>10800</v>
      </c>
      <c r="D343">
        <v>14500</v>
      </c>
    </row>
    <row r="344" spans="1:4" x14ac:dyDescent="0.25">
      <c r="A344">
        <v>1800</v>
      </c>
      <c r="B344">
        <v>3400</v>
      </c>
      <c r="C344">
        <v>9600</v>
      </c>
      <c r="D344">
        <v>13500</v>
      </c>
    </row>
    <row r="345" spans="1:4" x14ac:dyDescent="0.25">
      <c r="A345">
        <v>2500</v>
      </c>
      <c r="B345">
        <v>5000</v>
      </c>
      <c r="C345">
        <v>9900</v>
      </c>
      <c r="D345">
        <v>18000</v>
      </c>
    </row>
    <row r="346" spans="1:4" x14ac:dyDescent="0.25">
      <c r="A346">
        <v>600</v>
      </c>
      <c r="B346">
        <v>1000</v>
      </c>
      <c r="C346">
        <v>3300</v>
      </c>
      <c r="D346">
        <v>5000</v>
      </c>
    </row>
    <row r="347" spans="1:4" x14ac:dyDescent="0.25">
      <c r="A347">
        <v>1800</v>
      </c>
      <c r="B347">
        <v>5600</v>
      </c>
      <c r="C347">
        <v>11400</v>
      </c>
      <c r="D347">
        <v>17500</v>
      </c>
    </row>
    <row r="348" spans="1:4" x14ac:dyDescent="0.25">
      <c r="A348">
        <v>1400</v>
      </c>
      <c r="B348">
        <v>3400</v>
      </c>
      <c r="C348">
        <v>7800</v>
      </c>
      <c r="D348">
        <v>12500</v>
      </c>
    </row>
    <row r="349" spans="1:4" x14ac:dyDescent="0.25">
      <c r="A349">
        <v>1200</v>
      </c>
      <c r="B349">
        <v>5000</v>
      </c>
      <c r="C349">
        <v>7200</v>
      </c>
      <c r="D349">
        <v>13500</v>
      </c>
    </row>
    <row r="350" spans="1:4" x14ac:dyDescent="0.25">
      <c r="A350">
        <v>600</v>
      </c>
      <c r="B350">
        <v>1600</v>
      </c>
      <c r="C350">
        <v>3300</v>
      </c>
      <c r="D350">
        <v>5000</v>
      </c>
    </row>
    <row r="351" spans="1:4" x14ac:dyDescent="0.25">
      <c r="A351">
        <v>1800</v>
      </c>
      <c r="B351">
        <v>4400</v>
      </c>
      <c r="C351">
        <v>9900</v>
      </c>
      <c r="D351">
        <v>17500</v>
      </c>
    </row>
    <row r="352" spans="1:4" x14ac:dyDescent="0.25">
      <c r="A352">
        <v>1000</v>
      </c>
      <c r="B352">
        <v>2400</v>
      </c>
      <c r="C352">
        <v>4500</v>
      </c>
      <c r="D352">
        <v>9500</v>
      </c>
    </row>
    <row r="353" spans="1:4" x14ac:dyDescent="0.25">
      <c r="A353">
        <v>2300</v>
      </c>
      <c r="B353">
        <v>5600</v>
      </c>
      <c r="C353">
        <v>10200</v>
      </c>
      <c r="D353">
        <v>18000</v>
      </c>
    </row>
    <row r="354" spans="1:4" x14ac:dyDescent="0.25">
      <c r="A354">
        <v>500</v>
      </c>
      <c r="B354">
        <v>1200</v>
      </c>
      <c r="C354">
        <v>2700</v>
      </c>
      <c r="D354">
        <v>4500</v>
      </c>
    </row>
    <row r="355" spans="1:4" x14ac:dyDescent="0.25">
      <c r="A355">
        <v>1700</v>
      </c>
      <c r="B355">
        <v>3600</v>
      </c>
      <c r="C355">
        <v>10500</v>
      </c>
      <c r="D355">
        <v>17500</v>
      </c>
    </row>
    <row r="356" spans="1:4" x14ac:dyDescent="0.25">
      <c r="A356">
        <v>1100</v>
      </c>
      <c r="B356">
        <v>5200</v>
      </c>
      <c r="C356">
        <v>10200</v>
      </c>
      <c r="D356">
        <v>13000</v>
      </c>
    </row>
    <row r="357" spans="1:4" x14ac:dyDescent="0.25">
      <c r="A357">
        <v>1100</v>
      </c>
      <c r="B357">
        <v>4000</v>
      </c>
      <c r="C357">
        <v>7800</v>
      </c>
      <c r="D357">
        <v>13500</v>
      </c>
    </row>
    <row r="358" spans="1:4" x14ac:dyDescent="0.25">
      <c r="A358">
        <v>1500</v>
      </c>
      <c r="B358">
        <v>4400</v>
      </c>
      <c r="C358">
        <v>10200</v>
      </c>
      <c r="D358">
        <v>16000</v>
      </c>
    </row>
    <row r="359" spans="1:4" x14ac:dyDescent="0.25">
      <c r="A359">
        <v>900</v>
      </c>
      <c r="B359">
        <v>1600</v>
      </c>
      <c r="C359">
        <v>5400</v>
      </c>
      <c r="D359">
        <v>8500</v>
      </c>
    </row>
    <row r="360" spans="1:4" x14ac:dyDescent="0.25">
      <c r="A360">
        <v>700</v>
      </c>
      <c r="B360">
        <v>2000</v>
      </c>
      <c r="C360">
        <v>5400</v>
      </c>
      <c r="D360">
        <v>7500</v>
      </c>
    </row>
    <row r="361" spans="1:4" x14ac:dyDescent="0.25">
      <c r="A361">
        <v>1700</v>
      </c>
      <c r="B361">
        <v>5000</v>
      </c>
      <c r="C361">
        <v>7500</v>
      </c>
      <c r="D361">
        <v>14500</v>
      </c>
    </row>
    <row r="362" spans="1:4" x14ac:dyDescent="0.25">
      <c r="A362">
        <v>1600</v>
      </c>
      <c r="B362">
        <v>3200</v>
      </c>
      <c r="C362">
        <v>9300</v>
      </c>
      <c r="D362">
        <v>13000</v>
      </c>
    </row>
    <row r="363" spans="1:4" x14ac:dyDescent="0.25">
      <c r="A363">
        <v>1200</v>
      </c>
      <c r="B363">
        <v>3000</v>
      </c>
      <c r="C363">
        <v>7800</v>
      </c>
      <c r="D363">
        <v>14500</v>
      </c>
    </row>
    <row r="364" spans="1:4" x14ac:dyDescent="0.25">
      <c r="A364">
        <v>1500</v>
      </c>
      <c r="B364">
        <v>3600</v>
      </c>
      <c r="C364">
        <v>8700</v>
      </c>
      <c r="D364">
        <v>12500</v>
      </c>
    </row>
    <row r="365" spans="1:4" x14ac:dyDescent="0.25">
      <c r="A365">
        <v>1200</v>
      </c>
      <c r="B365">
        <v>3400</v>
      </c>
      <c r="C365">
        <v>8400</v>
      </c>
      <c r="D365">
        <v>12000</v>
      </c>
    </row>
    <row r="366" spans="1:4" x14ac:dyDescent="0.25">
      <c r="A366">
        <v>1600</v>
      </c>
      <c r="B366">
        <v>4800</v>
      </c>
      <c r="C366">
        <v>7500</v>
      </c>
      <c r="D366">
        <v>14000</v>
      </c>
    </row>
    <row r="367" spans="1:4" x14ac:dyDescent="0.25">
      <c r="A367">
        <v>500</v>
      </c>
      <c r="B367">
        <v>1800</v>
      </c>
      <c r="C367">
        <v>4800</v>
      </c>
      <c r="D367">
        <v>9500</v>
      </c>
    </row>
    <row r="368" spans="1:4" x14ac:dyDescent="0.25">
      <c r="A368">
        <v>1800</v>
      </c>
      <c r="B368">
        <v>4800</v>
      </c>
      <c r="C368">
        <v>8400</v>
      </c>
      <c r="D368">
        <v>14500</v>
      </c>
    </row>
    <row r="369" spans="1:4" x14ac:dyDescent="0.25">
      <c r="A369">
        <v>1300</v>
      </c>
      <c r="B369">
        <v>3400</v>
      </c>
      <c r="C369">
        <v>8100</v>
      </c>
      <c r="D369">
        <v>13000</v>
      </c>
    </row>
    <row r="370" spans="1:4" x14ac:dyDescent="0.25">
      <c r="A370">
        <v>1100</v>
      </c>
      <c r="B370">
        <v>3400</v>
      </c>
      <c r="C370">
        <v>9000</v>
      </c>
      <c r="D370">
        <v>15000</v>
      </c>
    </row>
    <row r="371" spans="1:4" x14ac:dyDescent="0.25">
      <c r="A371">
        <v>1200</v>
      </c>
      <c r="B371">
        <v>4200</v>
      </c>
      <c r="C371">
        <v>8400</v>
      </c>
      <c r="D371">
        <v>13000</v>
      </c>
    </row>
    <row r="372" spans="1:4" x14ac:dyDescent="0.25">
      <c r="A372">
        <v>700</v>
      </c>
      <c r="B372">
        <v>1600</v>
      </c>
      <c r="C372">
        <v>4200</v>
      </c>
      <c r="D372">
        <v>8500</v>
      </c>
    </row>
    <row r="373" spans="1:4" x14ac:dyDescent="0.25">
      <c r="A373">
        <v>1100</v>
      </c>
      <c r="B373">
        <v>4000</v>
      </c>
      <c r="C373">
        <v>8100</v>
      </c>
      <c r="D373">
        <v>15000</v>
      </c>
    </row>
    <row r="374" spans="1:4" x14ac:dyDescent="0.25">
      <c r="A374">
        <v>1500</v>
      </c>
      <c r="B374">
        <v>3400</v>
      </c>
      <c r="C374">
        <v>9000</v>
      </c>
      <c r="D374">
        <v>13500</v>
      </c>
    </row>
    <row r="375" spans="1:4" x14ac:dyDescent="0.25">
      <c r="A375">
        <v>1000</v>
      </c>
      <c r="B375">
        <v>3600</v>
      </c>
      <c r="C375">
        <v>9300</v>
      </c>
      <c r="D375">
        <v>12500</v>
      </c>
    </row>
    <row r="376" spans="1:4" x14ac:dyDescent="0.25">
      <c r="A376">
        <v>2300</v>
      </c>
      <c r="B376">
        <v>5000</v>
      </c>
      <c r="C376">
        <v>10500</v>
      </c>
      <c r="D376">
        <v>17000</v>
      </c>
    </row>
    <row r="377" spans="1:4" x14ac:dyDescent="0.25">
      <c r="A377">
        <v>1700</v>
      </c>
      <c r="B377">
        <v>5000</v>
      </c>
      <c r="C377">
        <v>12000</v>
      </c>
      <c r="D377">
        <v>19000</v>
      </c>
    </row>
    <row r="378" spans="1:4" x14ac:dyDescent="0.25">
      <c r="A378">
        <v>400</v>
      </c>
      <c r="B378">
        <v>1600</v>
      </c>
      <c r="C378">
        <v>3300</v>
      </c>
      <c r="D378">
        <v>5500</v>
      </c>
    </row>
    <row r="379" spans="1:4" x14ac:dyDescent="0.25">
      <c r="A379">
        <v>1700</v>
      </c>
      <c r="B379">
        <v>5400</v>
      </c>
      <c r="C379">
        <v>10200</v>
      </c>
      <c r="D379">
        <v>14500</v>
      </c>
    </row>
    <row r="380" spans="1:4" x14ac:dyDescent="0.25">
      <c r="A380">
        <v>1500</v>
      </c>
      <c r="B380">
        <v>5200</v>
      </c>
      <c r="C380">
        <v>9600</v>
      </c>
      <c r="D380">
        <v>16000</v>
      </c>
    </row>
    <row r="381" spans="1:4" x14ac:dyDescent="0.25">
      <c r="A381">
        <v>500</v>
      </c>
      <c r="B381">
        <v>2000</v>
      </c>
      <c r="C381">
        <v>5100</v>
      </c>
      <c r="D381">
        <v>7000</v>
      </c>
    </row>
    <row r="382" spans="1:4" x14ac:dyDescent="0.25">
      <c r="A382">
        <v>1400</v>
      </c>
      <c r="B382">
        <v>4000</v>
      </c>
      <c r="C382">
        <v>8400</v>
      </c>
      <c r="D382">
        <v>13000</v>
      </c>
    </row>
    <row r="383" spans="1:4" x14ac:dyDescent="0.25">
      <c r="A383">
        <v>1800</v>
      </c>
      <c r="B383">
        <v>6000</v>
      </c>
      <c r="C383">
        <v>10800</v>
      </c>
      <c r="D383">
        <v>20000</v>
      </c>
    </row>
    <row r="384" spans="1:4" x14ac:dyDescent="0.25">
      <c r="A384">
        <v>1700</v>
      </c>
      <c r="B384">
        <v>5000</v>
      </c>
      <c r="C384">
        <v>9000</v>
      </c>
      <c r="D384">
        <v>12500</v>
      </c>
    </row>
    <row r="385" spans="1:4" x14ac:dyDescent="0.25">
      <c r="A385">
        <v>1000</v>
      </c>
      <c r="B385">
        <v>4000</v>
      </c>
      <c r="C385">
        <v>7200</v>
      </c>
      <c r="D385">
        <v>12500</v>
      </c>
    </row>
    <row r="386" spans="1:4" x14ac:dyDescent="0.25">
      <c r="A386">
        <v>800</v>
      </c>
      <c r="B386">
        <v>1200</v>
      </c>
      <c r="C386">
        <v>3000</v>
      </c>
      <c r="D386">
        <v>6000</v>
      </c>
    </row>
    <row r="387" spans="1:4" x14ac:dyDescent="0.25">
      <c r="A387">
        <v>1500</v>
      </c>
      <c r="B387">
        <v>4000</v>
      </c>
      <c r="C387">
        <v>10800</v>
      </c>
      <c r="D387">
        <v>19500</v>
      </c>
    </row>
    <row r="388" spans="1:4" x14ac:dyDescent="0.25">
      <c r="A388">
        <v>700</v>
      </c>
      <c r="B388">
        <v>2400</v>
      </c>
      <c r="C388">
        <v>5700</v>
      </c>
      <c r="D388">
        <v>9500</v>
      </c>
    </row>
    <row r="389" spans="1:4" x14ac:dyDescent="0.25">
      <c r="A389">
        <v>1600</v>
      </c>
      <c r="B389">
        <v>5000</v>
      </c>
      <c r="C389">
        <v>10200</v>
      </c>
      <c r="D389">
        <v>15500</v>
      </c>
    </row>
    <row r="390" spans="1:4" x14ac:dyDescent="0.25">
      <c r="A390">
        <v>1900</v>
      </c>
      <c r="B390">
        <v>4200</v>
      </c>
      <c r="C390">
        <v>8400</v>
      </c>
      <c r="D390">
        <v>15000</v>
      </c>
    </row>
    <row r="391" spans="1:4" x14ac:dyDescent="0.25">
      <c r="A391">
        <v>600</v>
      </c>
      <c r="B391">
        <v>1400</v>
      </c>
      <c r="C391">
        <v>3300</v>
      </c>
      <c r="D391">
        <v>5000</v>
      </c>
    </row>
    <row r="392" spans="1:4" x14ac:dyDescent="0.25">
      <c r="A392">
        <v>700</v>
      </c>
      <c r="B392">
        <v>1000</v>
      </c>
      <c r="C392">
        <v>2700</v>
      </c>
      <c r="D392">
        <v>5500</v>
      </c>
    </row>
    <row r="393" spans="1:4" x14ac:dyDescent="0.25">
      <c r="A393">
        <v>2000</v>
      </c>
      <c r="B393">
        <v>4400</v>
      </c>
      <c r="C393">
        <v>7200</v>
      </c>
      <c r="D393">
        <v>12500</v>
      </c>
    </row>
    <row r="394" spans="1:4" x14ac:dyDescent="0.25">
      <c r="A394">
        <v>900</v>
      </c>
      <c r="B394">
        <v>2200</v>
      </c>
      <c r="C394">
        <v>5700</v>
      </c>
      <c r="D394">
        <v>8000</v>
      </c>
    </row>
    <row r="395" spans="1:4" x14ac:dyDescent="0.25">
      <c r="A395">
        <v>600</v>
      </c>
      <c r="B395">
        <v>2200</v>
      </c>
      <c r="C395">
        <v>5700</v>
      </c>
      <c r="D395">
        <v>8000</v>
      </c>
    </row>
    <row r="396" spans="1:4" x14ac:dyDescent="0.25">
      <c r="A396">
        <v>1800</v>
      </c>
      <c r="B396">
        <v>4000</v>
      </c>
      <c r="C396">
        <v>8400</v>
      </c>
      <c r="D396">
        <v>13500</v>
      </c>
    </row>
    <row r="397" spans="1:4" x14ac:dyDescent="0.25">
      <c r="A397">
        <v>700</v>
      </c>
      <c r="B397">
        <v>1800</v>
      </c>
      <c r="C397">
        <v>5700</v>
      </c>
      <c r="D397">
        <v>7000</v>
      </c>
    </row>
    <row r="398" spans="1:4" x14ac:dyDescent="0.25">
      <c r="A398">
        <v>1200</v>
      </c>
      <c r="B398">
        <v>4200</v>
      </c>
      <c r="C398">
        <v>8400</v>
      </c>
      <c r="D398">
        <v>14000</v>
      </c>
    </row>
    <row r="399" spans="1:4" x14ac:dyDescent="0.25">
      <c r="A399">
        <v>1200</v>
      </c>
      <c r="B399">
        <v>4000</v>
      </c>
      <c r="C399">
        <v>9900</v>
      </c>
      <c r="D399">
        <v>15500</v>
      </c>
    </row>
    <row r="400" spans="1:4" x14ac:dyDescent="0.25">
      <c r="A400">
        <v>700</v>
      </c>
      <c r="B400">
        <v>1400</v>
      </c>
      <c r="C400">
        <v>3000</v>
      </c>
      <c r="D400">
        <v>5500</v>
      </c>
    </row>
    <row r="401" spans="1:4" x14ac:dyDescent="0.25">
      <c r="A401">
        <v>1700</v>
      </c>
      <c r="B401">
        <v>5400</v>
      </c>
      <c r="C401">
        <v>11100</v>
      </c>
      <c r="D401">
        <v>20000</v>
      </c>
    </row>
    <row r="402" spans="1:4" x14ac:dyDescent="0.25">
      <c r="A402">
        <v>600</v>
      </c>
      <c r="B402">
        <v>1200</v>
      </c>
      <c r="C402">
        <v>3000</v>
      </c>
      <c r="D402">
        <v>4500</v>
      </c>
    </row>
    <row r="403" spans="1:4" x14ac:dyDescent="0.25">
      <c r="A403">
        <v>600</v>
      </c>
      <c r="B403">
        <v>1400</v>
      </c>
      <c r="C403">
        <v>3300</v>
      </c>
      <c r="D403">
        <v>5000</v>
      </c>
    </row>
    <row r="404" spans="1:4" x14ac:dyDescent="0.25">
      <c r="A404">
        <v>2200</v>
      </c>
      <c r="B404">
        <v>4800</v>
      </c>
      <c r="C404">
        <v>11400</v>
      </c>
      <c r="D404">
        <v>16000</v>
      </c>
    </row>
    <row r="405" spans="1:4" x14ac:dyDescent="0.25">
      <c r="A405">
        <v>1400</v>
      </c>
      <c r="B405">
        <v>3800</v>
      </c>
      <c r="C405">
        <v>7500</v>
      </c>
      <c r="D405">
        <v>15000</v>
      </c>
    </row>
    <row r="406" spans="1:4" x14ac:dyDescent="0.25">
      <c r="A406">
        <v>900</v>
      </c>
      <c r="B406">
        <v>1800</v>
      </c>
      <c r="C406">
        <v>5400</v>
      </c>
      <c r="D406">
        <v>8500</v>
      </c>
    </row>
    <row r="407" spans="1:4" x14ac:dyDescent="0.25">
      <c r="A407">
        <v>700</v>
      </c>
      <c r="B407">
        <v>1600</v>
      </c>
      <c r="C407">
        <v>3300</v>
      </c>
      <c r="D407">
        <v>5500</v>
      </c>
    </row>
    <row r="408" spans="1:4" x14ac:dyDescent="0.25">
      <c r="A408">
        <v>600</v>
      </c>
      <c r="B408">
        <v>1400</v>
      </c>
      <c r="C408">
        <v>2400</v>
      </c>
      <c r="D408">
        <v>4000</v>
      </c>
    </row>
    <row r="409" spans="1:4" x14ac:dyDescent="0.25">
      <c r="A409">
        <v>1700</v>
      </c>
      <c r="B409">
        <v>4400</v>
      </c>
      <c r="C409">
        <v>9300</v>
      </c>
      <c r="D409">
        <v>13500</v>
      </c>
    </row>
    <row r="410" spans="1:4" x14ac:dyDescent="0.25">
      <c r="A410">
        <v>1100</v>
      </c>
      <c r="B410">
        <v>4400</v>
      </c>
      <c r="C410">
        <v>9000</v>
      </c>
      <c r="D410">
        <v>14000</v>
      </c>
    </row>
    <row r="411" spans="1:4" x14ac:dyDescent="0.25">
      <c r="A411">
        <v>1200</v>
      </c>
      <c r="B411">
        <v>4800</v>
      </c>
      <c r="C411">
        <v>7800</v>
      </c>
      <c r="D411">
        <v>14500</v>
      </c>
    </row>
    <row r="412" spans="1:4" x14ac:dyDescent="0.25">
      <c r="A412">
        <v>1000</v>
      </c>
      <c r="B412">
        <v>3400</v>
      </c>
      <c r="C412">
        <v>7200</v>
      </c>
      <c r="D412">
        <v>15000</v>
      </c>
    </row>
    <row r="413" spans="1:4" x14ac:dyDescent="0.25">
      <c r="A413">
        <v>2000</v>
      </c>
      <c r="B413">
        <v>4800</v>
      </c>
      <c r="C413">
        <v>9600</v>
      </c>
      <c r="D413">
        <v>13000</v>
      </c>
    </row>
    <row r="414" spans="1:4" x14ac:dyDescent="0.25">
      <c r="A414">
        <v>900</v>
      </c>
      <c r="B414">
        <v>1800</v>
      </c>
      <c r="C414">
        <v>5400</v>
      </c>
      <c r="D414">
        <v>10000</v>
      </c>
    </row>
    <row r="415" spans="1:4" x14ac:dyDescent="0.25">
      <c r="A415">
        <v>1600</v>
      </c>
      <c r="B415">
        <v>4800</v>
      </c>
      <c r="C415">
        <v>8400</v>
      </c>
      <c r="D415">
        <v>12500</v>
      </c>
    </row>
    <row r="416" spans="1:4" x14ac:dyDescent="0.25">
      <c r="A416">
        <v>1400</v>
      </c>
      <c r="B416">
        <v>3800</v>
      </c>
      <c r="C416">
        <v>8400</v>
      </c>
      <c r="D416">
        <v>16500</v>
      </c>
    </row>
    <row r="417" spans="1:4" x14ac:dyDescent="0.25">
      <c r="A417">
        <v>700</v>
      </c>
      <c r="B417">
        <v>1600</v>
      </c>
      <c r="C417">
        <v>3000</v>
      </c>
      <c r="D417">
        <v>4000</v>
      </c>
    </row>
    <row r="418" spans="1:4" x14ac:dyDescent="0.25">
      <c r="A418">
        <v>1100</v>
      </c>
      <c r="B418">
        <v>4600</v>
      </c>
      <c r="C418">
        <v>8400</v>
      </c>
      <c r="D418">
        <v>15000</v>
      </c>
    </row>
    <row r="419" spans="1:4" x14ac:dyDescent="0.25">
      <c r="A419">
        <v>1600</v>
      </c>
      <c r="B419">
        <v>4000</v>
      </c>
      <c r="C419">
        <v>9600</v>
      </c>
      <c r="D419">
        <v>13000</v>
      </c>
    </row>
    <row r="420" spans="1:4" x14ac:dyDescent="0.25">
      <c r="A420">
        <v>1200</v>
      </c>
      <c r="B420">
        <v>5000</v>
      </c>
      <c r="C420">
        <v>9900</v>
      </c>
      <c r="D420">
        <v>17000</v>
      </c>
    </row>
    <row r="421" spans="1:4" x14ac:dyDescent="0.25">
      <c r="A421">
        <v>900</v>
      </c>
      <c r="B421">
        <v>1800</v>
      </c>
      <c r="C421">
        <v>5400</v>
      </c>
      <c r="D421">
        <v>7500</v>
      </c>
    </row>
    <row r="422" spans="1:4" x14ac:dyDescent="0.25">
      <c r="A422">
        <v>1700</v>
      </c>
      <c r="B422">
        <v>4000</v>
      </c>
      <c r="C422">
        <v>8100</v>
      </c>
      <c r="D422">
        <v>13000</v>
      </c>
    </row>
    <row r="423" spans="1:4" x14ac:dyDescent="0.25">
      <c r="A423">
        <v>1500</v>
      </c>
      <c r="B423">
        <v>5200</v>
      </c>
      <c r="C423">
        <v>9000</v>
      </c>
      <c r="D423">
        <v>17000</v>
      </c>
    </row>
    <row r="424" spans="1:4" x14ac:dyDescent="0.25">
      <c r="A424">
        <v>400</v>
      </c>
      <c r="B424">
        <v>1400</v>
      </c>
      <c r="C424">
        <v>3300</v>
      </c>
      <c r="D424">
        <v>5000</v>
      </c>
    </row>
    <row r="425" spans="1:4" x14ac:dyDescent="0.25">
      <c r="A425">
        <v>600</v>
      </c>
      <c r="B425">
        <v>1000</v>
      </c>
      <c r="C425">
        <v>2700</v>
      </c>
      <c r="D425">
        <v>4500</v>
      </c>
    </row>
    <row r="426" spans="1:4" x14ac:dyDescent="0.25">
      <c r="A426">
        <v>1000</v>
      </c>
      <c r="B426">
        <v>2400</v>
      </c>
      <c r="C426">
        <v>5100</v>
      </c>
      <c r="D426">
        <v>9500</v>
      </c>
    </row>
    <row r="427" spans="1:4" x14ac:dyDescent="0.25">
      <c r="A427">
        <v>1600</v>
      </c>
      <c r="B427">
        <v>4200</v>
      </c>
      <c r="C427">
        <v>11400</v>
      </c>
      <c r="D427">
        <v>15500</v>
      </c>
    </row>
    <row r="428" spans="1:4" x14ac:dyDescent="0.25">
      <c r="A428">
        <v>1900</v>
      </c>
      <c r="B428">
        <v>3600</v>
      </c>
      <c r="C428">
        <v>8100</v>
      </c>
      <c r="D428">
        <v>14500</v>
      </c>
    </row>
    <row r="429" spans="1:4" x14ac:dyDescent="0.25">
      <c r="A429">
        <v>600</v>
      </c>
      <c r="B429">
        <v>1600</v>
      </c>
      <c r="C429">
        <v>5100</v>
      </c>
      <c r="D429">
        <v>9500</v>
      </c>
    </row>
    <row r="430" spans="1:4" x14ac:dyDescent="0.25">
      <c r="A430">
        <v>1100</v>
      </c>
      <c r="B430">
        <v>4800</v>
      </c>
      <c r="C430">
        <v>8700</v>
      </c>
      <c r="D430">
        <v>12500</v>
      </c>
    </row>
    <row r="431" spans="1:4" x14ac:dyDescent="0.25">
      <c r="A431">
        <v>1400</v>
      </c>
      <c r="B431">
        <v>4600</v>
      </c>
      <c r="C431">
        <v>7500</v>
      </c>
      <c r="D431">
        <v>13000</v>
      </c>
    </row>
    <row r="432" spans="1:4" x14ac:dyDescent="0.25">
      <c r="A432">
        <v>400</v>
      </c>
      <c r="B432">
        <v>1400</v>
      </c>
      <c r="C432">
        <v>2700</v>
      </c>
      <c r="D432">
        <v>4500</v>
      </c>
    </row>
    <row r="433" spans="1:4" x14ac:dyDescent="0.25">
      <c r="A433">
        <v>700</v>
      </c>
      <c r="B433">
        <v>1600</v>
      </c>
      <c r="C433">
        <v>5700</v>
      </c>
      <c r="D433">
        <v>9000</v>
      </c>
    </row>
    <row r="434" spans="1:4" x14ac:dyDescent="0.25">
      <c r="A434">
        <v>600</v>
      </c>
      <c r="B434">
        <v>1200</v>
      </c>
      <c r="C434">
        <v>3000</v>
      </c>
      <c r="D434">
        <v>4500</v>
      </c>
    </row>
    <row r="435" spans="1:4" x14ac:dyDescent="0.25">
      <c r="A435">
        <v>1700</v>
      </c>
      <c r="B435">
        <v>3200</v>
      </c>
      <c r="C435">
        <v>8700</v>
      </c>
      <c r="D435">
        <v>12500</v>
      </c>
    </row>
    <row r="436" spans="1:4" x14ac:dyDescent="0.25">
      <c r="A436">
        <v>500</v>
      </c>
      <c r="B436">
        <v>1200</v>
      </c>
      <c r="C436">
        <v>3000</v>
      </c>
      <c r="D436">
        <v>5500</v>
      </c>
    </row>
    <row r="437" spans="1:4" x14ac:dyDescent="0.25">
      <c r="A437">
        <v>600</v>
      </c>
      <c r="B437">
        <v>2400</v>
      </c>
      <c r="C437">
        <v>5100</v>
      </c>
      <c r="D437">
        <v>8500</v>
      </c>
    </row>
    <row r="438" spans="1:4" x14ac:dyDescent="0.25">
      <c r="A438">
        <v>1300</v>
      </c>
      <c r="B438">
        <v>3000</v>
      </c>
      <c r="C438">
        <v>7800</v>
      </c>
      <c r="D438">
        <v>13500</v>
      </c>
    </row>
    <row r="439" spans="1:4" x14ac:dyDescent="0.25">
      <c r="A439">
        <v>800</v>
      </c>
      <c r="B439">
        <v>2400</v>
      </c>
      <c r="C439">
        <v>4500</v>
      </c>
      <c r="D439">
        <v>10000</v>
      </c>
    </row>
    <row r="440" spans="1:4" x14ac:dyDescent="0.25">
      <c r="A440">
        <v>2000</v>
      </c>
      <c r="B440">
        <v>5000</v>
      </c>
      <c r="C440">
        <v>9600</v>
      </c>
      <c r="D440">
        <v>16500</v>
      </c>
    </row>
    <row r="441" spans="1:4" x14ac:dyDescent="0.25">
      <c r="A441">
        <v>600</v>
      </c>
      <c r="B441">
        <v>1800</v>
      </c>
      <c r="C441">
        <v>5400</v>
      </c>
      <c r="D441">
        <v>8500</v>
      </c>
    </row>
    <row r="442" spans="1:4" x14ac:dyDescent="0.25">
      <c r="A442">
        <v>1700</v>
      </c>
      <c r="B442">
        <v>5600</v>
      </c>
      <c r="C442">
        <v>9000</v>
      </c>
      <c r="D442">
        <v>19500</v>
      </c>
    </row>
    <row r="443" spans="1:4" x14ac:dyDescent="0.25">
      <c r="A443">
        <v>1700</v>
      </c>
      <c r="B443">
        <v>5000</v>
      </c>
      <c r="C443">
        <v>11100</v>
      </c>
      <c r="D443">
        <v>15500</v>
      </c>
    </row>
    <row r="444" spans="1:4" x14ac:dyDescent="0.25">
      <c r="A444">
        <v>500</v>
      </c>
      <c r="B444">
        <v>1400</v>
      </c>
      <c r="C444">
        <v>2700</v>
      </c>
      <c r="D444">
        <v>5500</v>
      </c>
    </row>
    <row r="445" spans="1:4" x14ac:dyDescent="0.25">
      <c r="A445">
        <v>900</v>
      </c>
      <c r="B445">
        <v>2000</v>
      </c>
      <c r="C445">
        <v>5400</v>
      </c>
      <c r="D445">
        <v>9000</v>
      </c>
    </row>
    <row r="446" spans="1:4" x14ac:dyDescent="0.25">
      <c r="A446">
        <v>1900</v>
      </c>
      <c r="B446">
        <v>4200</v>
      </c>
      <c r="C446">
        <v>9900</v>
      </c>
      <c r="D446">
        <v>17500</v>
      </c>
    </row>
    <row r="447" spans="1:4" x14ac:dyDescent="0.25">
      <c r="A447">
        <v>1300</v>
      </c>
      <c r="B447">
        <v>4400</v>
      </c>
      <c r="C447">
        <v>9600</v>
      </c>
      <c r="D447">
        <v>16000</v>
      </c>
    </row>
    <row r="448" spans="1:4" x14ac:dyDescent="0.25">
      <c r="A448">
        <v>1300</v>
      </c>
      <c r="B448">
        <v>4000</v>
      </c>
      <c r="C448">
        <v>9300</v>
      </c>
      <c r="D448">
        <v>14500</v>
      </c>
    </row>
    <row r="449" spans="1:4" x14ac:dyDescent="0.25">
      <c r="A449">
        <v>1900</v>
      </c>
      <c r="B449">
        <v>4600</v>
      </c>
      <c r="C449">
        <v>12000</v>
      </c>
      <c r="D449">
        <v>16500</v>
      </c>
    </row>
    <row r="450" spans="1:4" x14ac:dyDescent="0.25">
      <c r="A450">
        <v>1700</v>
      </c>
      <c r="B450">
        <v>3600</v>
      </c>
      <c r="C450">
        <v>9900</v>
      </c>
      <c r="D450">
        <v>16500</v>
      </c>
    </row>
    <row r="451" spans="1:4" x14ac:dyDescent="0.25">
      <c r="A451">
        <v>1900</v>
      </c>
      <c r="B451">
        <v>4800</v>
      </c>
      <c r="C451">
        <v>7800</v>
      </c>
      <c r="D451">
        <v>13500</v>
      </c>
    </row>
    <row r="452" spans="1:4" x14ac:dyDescent="0.25">
      <c r="A452">
        <v>2400</v>
      </c>
      <c r="B452">
        <v>5400</v>
      </c>
      <c r="C452">
        <v>10200</v>
      </c>
      <c r="D452">
        <v>20000</v>
      </c>
    </row>
    <row r="453" spans="1:4" x14ac:dyDescent="0.25">
      <c r="A453">
        <v>700</v>
      </c>
      <c r="B453">
        <v>1600</v>
      </c>
      <c r="C453">
        <v>2700</v>
      </c>
      <c r="D453">
        <v>4500</v>
      </c>
    </row>
    <row r="454" spans="1:4" x14ac:dyDescent="0.25">
      <c r="A454">
        <v>1500</v>
      </c>
      <c r="B454">
        <v>4600</v>
      </c>
      <c r="C454">
        <v>8400</v>
      </c>
      <c r="D454">
        <v>15000</v>
      </c>
    </row>
    <row r="455" spans="1:4" x14ac:dyDescent="0.25">
      <c r="A455">
        <v>1800</v>
      </c>
      <c r="B455">
        <v>3600</v>
      </c>
      <c r="C455">
        <v>8700</v>
      </c>
      <c r="D455">
        <v>12000</v>
      </c>
    </row>
    <row r="456" spans="1:4" x14ac:dyDescent="0.25">
      <c r="A456">
        <v>2000</v>
      </c>
      <c r="B456">
        <v>4200</v>
      </c>
      <c r="C456">
        <v>11100</v>
      </c>
      <c r="D456">
        <v>18500</v>
      </c>
    </row>
    <row r="457" spans="1:4" x14ac:dyDescent="0.25">
      <c r="A457">
        <v>1700</v>
      </c>
      <c r="B457">
        <v>3800</v>
      </c>
      <c r="C457">
        <v>8100</v>
      </c>
      <c r="D457">
        <v>13000</v>
      </c>
    </row>
    <row r="458" spans="1:4" x14ac:dyDescent="0.25">
      <c r="A458">
        <v>1100</v>
      </c>
      <c r="B458">
        <v>5000</v>
      </c>
      <c r="C458">
        <v>8400</v>
      </c>
      <c r="D458">
        <v>14000</v>
      </c>
    </row>
    <row r="459" spans="1:4" x14ac:dyDescent="0.25">
      <c r="A459">
        <v>2000</v>
      </c>
      <c r="B459">
        <v>3200</v>
      </c>
      <c r="C459">
        <v>9600</v>
      </c>
      <c r="D459">
        <v>12500</v>
      </c>
    </row>
    <row r="460" spans="1:4" x14ac:dyDescent="0.25">
      <c r="A460">
        <v>1900</v>
      </c>
      <c r="B460">
        <v>5200</v>
      </c>
      <c r="C460">
        <v>8100</v>
      </c>
      <c r="D460">
        <v>18000</v>
      </c>
    </row>
    <row r="461" spans="1:4" x14ac:dyDescent="0.25">
      <c r="A461">
        <v>400</v>
      </c>
      <c r="B461">
        <v>1400</v>
      </c>
      <c r="C461">
        <v>3300</v>
      </c>
      <c r="D461">
        <v>4000</v>
      </c>
    </row>
    <row r="462" spans="1:4" x14ac:dyDescent="0.25">
      <c r="A462">
        <v>1500</v>
      </c>
      <c r="B462">
        <v>4200</v>
      </c>
      <c r="C462">
        <v>8400</v>
      </c>
      <c r="D462">
        <v>15500</v>
      </c>
    </row>
    <row r="463" spans="1:4" x14ac:dyDescent="0.25">
      <c r="A463">
        <v>1400</v>
      </c>
      <c r="B463">
        <v>4800</v>
      </c>
      <c r="C463">
        <v>8400</v>
      </c>
      <c r="D463">
        <v>13000</v>
      </c>
    </row>
    <row r="464" spans="1:4" x14ac:dyDescent="0.25">
      <c r="A464">
        <v>900</v>
      </c>
      <c r="B464">
        <v>2200</v>
      </c>
      <c r="C464">
        <v>5400</v>
      </c>
      <c r="D464">
        <v>7500</v>
      </c>
    </row>
    <row r="465" spans="1:4" x14ac:dyDescent="0.25">
      <c r="A465">
        <v>1800</v>
      </c>
      <c r="B465">
        <v>4200</v>
      </c>
      <c r="C465">
        <v>10800</v>
      </c>
      <c r="D465">
        <v>15500</v>
      </c>
    </row>
    <row r="466" spans="1:4" x14ac:dyDescent="0.25">
      <c r="A466">
        <v>1700</v>
      </c>
      <c r="B466">
        <v>4200</v>
      </c>
      <c r="C466">
        <v>7200</v>
      </c>
      <c r="D466">
        <v>12500</v>
      </c>
    </row>
    <row r="467" spans="1:4" x14ac:dyDescent="0.25">
      <c r="A467">
        <v>1900</v>
      </c>
      <c r="B467">
        <v>4200</v>
      </c>
      <c r="C467">
        <v>9000</v>
      </c>
      <c r="D467">
        <v>16500</v>
      </c>
    </row>
    <row r="468" spans="1:4" x14ac:dyDescent="0.25">
      <c r="A468">
        <v>800</v>
      </c>
      <c r="B468">
        <v>1400</v>
      </c>
      <c r="C468">
        <v>2700</v>
      </c>
      <c r="D468">
        <v>4000</v>
      </c>
    </row>
    <row r="469" spans="1:4" x14ac:dyDescent="0.25">
      <c r="A469">
        <v>1000</v>
      </c>
      <c r="B469">
        <v>3800</v>
      </c>
      <c r="C469">
        <v>9600</v>
      </c>
      <c r="D469">
        <v>16000</v>
      </c>
    </row>
    <row r="470" spans="1:4" x14ac:dyDescent="0.25">
      <c r="A470">
        <v>500</v>
      </c>
      <c r="B470">
        <v>1200</v>
      </c>
      <c r="C470">
        <v>2700</v>
      </c>
      <c r="D470">
        <v>5500</v>
      </c>
    </row>
    <row r="471" spans="1:4" x14ac:dyDescent="0.25">
      <c r="A471">
        <v>1600</v>
      </c>
      <c r="B471">
        <v>4200</v>
      </c>
      <c r="C471">
        <v>9300</v>
      </c>
      <c r="D471">
        <v>13000</v>
      </c>
    </row>
    <row r="472" spans="1:4" x14ac:dyDescent="0.25">
      <c r="A472">
        <v>1500</v>
      </c>
      <c r="B472">
        <v>5400</v>
      </c>
      <c r="C472">
        <v>8400</v>
      </c>
      <c r="D472">
        <v>14000</v>
      </c>
    </row>
    <row r="473" spans="1:4" x14ac:dyDescent="0.25">
      <c r="A473">
        <v>700</v>
      </c>
      <c r="B473">
        <v>1600</v>
      </c>
      <c r="C473">
        <v>2700</v>
      </c>
      <c r="D473">
        <v>4500</v>
      </c>
    </row>
    <row r="474" spans="1:4" x14ac:dyDescent="0.25">
      <c r="A474">
        <v>1000</v>
      </c>
      <c r="B474">
        <v>1800</v>
      </c>
      <c r="C474">
        <v>4800</v>
      </c>
      <c r="D474">
        <v>8000</v>
      </c>
    </row>
    <row r="475" spans="1:4" x14ac:dyDescent="0.25">
      <c r="A475">
        <v>1000</v>
      </c>
      <c r="B475">
        <v>3600</v>
      </c>
      <c r="C475">
        <v>8100</v>
      </c>
      <c r="D475">
        <v>14000</v>
      </c>
    </row>
    <row r="476" spans="1:4" x14ac:dyDescent="0.25">
      <c r="A476">
        <v>2300</v>
      </c>
      <c r="B476">
        <v>5200</v>
      </c>
      <c r="C476">
        <v>10200</v>
      </c>
      <c r="D476">
        <v>16500</v>
      </c>
    </row>
    <row r="477" spans="1:4" x14ac:dyDescent="0.25">
      <c r="A477">
        <v>600</v>
      </c>
      <c r="B477">
        <v>1000</v>
      </c>
      <c r="C477">
        <v>3000</v>
      </c>
      <c r="D477">
        <v>4500</v>
      </c>
    </row>
    <row r="478" spans="1:4" x14ac:dyDescent="0.25">
      <c r="A478">
        <v>600</v>
      </c>
      <c r="B478">
        <v>1400</v>
      </c>
      <c r="C478">
        <v>2700</v>
      </c>
      <c r="D478">
        <v>5000</v>
      </c>
    </row>
    <row r="479" spans="1:4" x14ac:dyDescent="0.25">
      <c r="A479">
        <v>1800</v>
      </c>
      <c r="B479">
        <v>4800</v>
      </c>
      <c r="C479">
        <v>9900</v>
      </c>
      <c r="D479">
        <v>13500</v>
      </c>
    </row>
    <row r="480" spans="1:4" x14ac:dyDescent="0.25">
      <c r="A480">
        <v>2200</v>
      </c>
      <c r="B480">
        <v>4400</v>
      </c>
      <c r="C480">
        <v>11400</v>
      </c>
      <c r="D480">
        <v>19000</v>
      </c>
    </row>
    <row r="481" spans="1:4" x14ac:dyDescent="0.25">
      <c r="A481">
        <v>1700</v>
      </c>
      <c r="B481">
        <v>4400</v>
      </c>
      <c r="C481">
        <v>7500</v>
      </c>
      <c r="D481">
        <v>12000</v>
      </c>
    </row>
    <row r="482" spans="1:4" x14ac:dyDescent="0.25">
      <c r="A482">
        <v>800</v>
      </c>
      <c r="B482">
        <v>2000</v>
      </c>
      <c r="C482">
        <v>5100</v>
      </c>
      <c r="D482">
        <v>9000</v>
      </c>
    </row>
    <row r="483" spans="1:4" x14ac:dyDescent="0.25">
      <c r="A483">
        <v>1500</v>
      </c>
      <c r="B483">
        <v>3800</v>
      </c>
      <c r="C483">
        <v>8400</v>
      </c>
      <c r="D483">
        <v>13500</v>
      </c>
    </row>
    <row r="484" spans="1:4" x14ac:dyDescent="0.25">
      <c r="A484">
        <v>1700</v>
      </c>
      <c r="B484">
        <v>5800</v>
      </c>
      <c r="C484">
        <v>9300</v>
      </c>
      <c r="D484">
        <v>20000</v>
      </c>
    </row>
    <row r="485" spans="1:4" x14ac:dyDescent="0.25">
      <c r="A485">
        <v>400</v>
      </c>
      <c r="B485">
        <v>1600</v>
      </c>
      <c r="C485">
        <v>3000</v>
      </c>
      <c r="D485">
        <v>4000</v>
      </c>
    </row>
    <row r="486" spans="1:4" x14ac:dyDescent="0.25">
      <c r="A486">
        <v>1600</v>
      </c>
      <c r="B486">
        <v>5200</v>
      </c>
      <c r="C486">
        <v>11400</v>
      </c>
      <c r="D486">
        <v>17000</v>
      </c>
    </row>
    <row r="487" spans="1:4" x14ac:dyDescent="0.25">
      <c r="A487">
        <v>1800</v>
      </c>
      <c r="B487">
        <v>4400</v>
      </c>
      <c r="C487">
        <v>8400</v>
      </c>
      <c r="D487">
        <v>15000</v>
      </c>
    </row>
    <row r="488" spans="1:4" x14ac:dyDescent="0.25">
      <c r="A488">
        <v>700</v>
      </c>
      <c r="B488">
        <v>1800</v>
      </c>
      <c r="C488">
        <v>5100</v>
      </c>
      <c r="D488">
        <v>7500</v>
      </c>
    </row>
    <row r="489" spans="1:4" x14ac:dyDescent="0.25">
      <c r="A489">
        <v>1300</v>
      </c>
      <c r="B489">
        <v>5000</v>
      </c>
      <c r="C489">
        <v>10500</v>
      </c>
      <c r="D489">
        <v>15500</v>
      </c>
    </row>
    <row r="490" spans="1:4" x14ac:dyDescent="0.25">
      <c r="A490">
        <v>1500</v>
      </c>
      <c r="B490">
        <v>3200</v>
      </c>
      <c r="C490">
        <v>7500</v>
      </c>
      <c r="D490">
        <v>14000</v>
      </c>
    </row>
    <row r="491" spans="1:4" x14ac:dyDescent="0.25">
      <c r="A491">
        <v>2000</v>
      </c>
      <c r="B491">
        <v>3800</v>
      </c>
      <c r="C491">
        <v>10500</v>
      </c>
      <c r="D491">
        <v>14500</v>
      </c>
    </row>
    <row r="492" spans="1:4" x14ac:dyDescent="0.25">
      <c r="A492">
        <v>1400</v>
      </c>
      <c r="B492">
        <v>4800</v>
      </c>
      <c r="C492">
        <v>9000</v>
      </c>
      <c r="D492">
        <v>12500</v>
      </c>
    </row>
    <row r="493" spans="1:4" x14ac:dyDescent="0.25">
      <c r="A493">
        <v>1800</v>
      </c>
      <c r="B493">
        <v>5000</v>
      </c>
      <c r="C493">
        <v>9900</v>
      </c>
      <c r="D493">
        <v>15500</v>
      </c>
    </row>
    <row r="494" spans="1:4" x14ac:dyDescent="0.25">
      <c r="A494">
        <v>1700</v>
      </c>
      <c r="B494">
        <v>3000</v>
      </c>
      <c r="C494">
        <v>8700</v>
      </c>
      <c r="D494">
        <v>14000</v>
      </c>
    </row>
    <row r="495" spans="1:4" x14ac:dyDescent="0.25">
      <c r="A495">
        <v>1600</v>
      </c>
      <c r="B495">
        <v>3400</v>
      </c>
      <c r="C495">
        <v>8400</v>
      </c>
      <c r="D495">
        <v>13000</v>
      </c>
    </row>
    <row r="496" spans="1:4" x14ac:dyDescent="0.25">
      <c r="A496">
        <v>1600</v>
      </c>
      <c r="B496">
        <v>4600</v>
      </c>
      <c r="C496">
        <v>11100</v>
      </c>
      <c r="D496">
        <v>18500</v>
      </c>
    </row>
    <row r="497" spans="1:4" x14ac:dyDescent="0.25">
      <c r="A497">
        <v>1700</v>
      </c>
      <c r="B497">
        <v>4200</v>
      </c>
      <c r="C497">
        <v>9300</v>
      </c>
      <c r="D497">
        <v>19500</v>
      </c>
    </row>
    <row r="498" spans="1:4" x14ac:dyDescent="0.25">
      <c r="A498">
        <v>1700</v>
      </c>
      <c r="B498">
        <v>4200</v>
      </c>
      <c r="C498">
        <v>10500</v>
      </c>
      <c r="D498">
        <v>19500</v>
      </c>
    </row>
    <row r="499" spans="1:4" x14ac:dyDescent="0.25">
      <c r="A499">
        <v>800</v>
      </c>
      <c r="B499">
        <v>1400</v>
      </c>
      <c r="C499">
        <v>3300</v>
      </c>
      <c r="D499">
        <v>5000</v>
      </c>
    </row>
    <row r="500" spans="1:4" x14ac:dyDescent="0.25">
      <c r="A500">
        <v>900</v>
      </c>
      <c r="B500">
        <v>2400</v>
      </c>
      <c r="C500">
        <v>5400</v>
      </c>
      <c r="D500">
        <v>9500</v>
      </c>
    </row>
    <row r="501" spans="1:4" x14ac:dyDescent="0.25">
      <c r="A501">
        <v>900</v>
      </c>
      <c r="B501">
        <v>2400</v>
      </c>
      <c r="C501">
        <v>4800</v>
      </c>
      <c r="D501">
        <v>7000</v>
      </c>
    </row>
    <row r="502" spans="1:4" x14ac:dyDescent="0.25">
      <c r="A502">
        <v>2000</v>
      </c>
      <c r="B502">
        <v>4800</v>
      </c>
      <c r="C502">
        <v>7800</v>
      </c>
      <c r="D502">
        <v>12500</v>
      </c>
    </row>
    <row r="503" spans="1:4" x14ac:dyDescent="0.25">
      <c r="A503">
        <v>1500</v>
      </c>
      <c r="B503">
        <v>4800</v>
      </c>
      <c r="C503">
        <v>10200</v>
      </c>
      <c r="D503">
        <v>16500</v>
      </c>
    </row>
    <row r="504" spans="1:4" x14ac:dyDescent="0.25">
      <c r="A504">
        <v>600</v>
      </c>
      <c r="B504">
        <v>1200</v>
      </c>
      <c r="C504">
        <v>3000</v>
      </c>
      <c r="D504">
        <v>6000</v>
      </c>
    </row>
    <row r="505" spans="1:4" x14ac:dyDescent="0.25">
      <c r="A505">
        <v>1900</v>
      </c>
      <c r="B505">
        <v>5000</v>
      </c>
      <c r="C505">
        <v>8400</v>
      </c>
      <c r="D505">
        <v>13000</v>
      </c>
    </row>
    <row r="506" spans="1:4" x14ac:dyDescent="0.25">
      <c r="A506">
        <v>1600</v>
      </c>
      <c r="B506">
        <v>3600</v>
      </c>
      <c r="C506">
        <v>8700</v>
      </c>
      <c r="D506">
        <v>14000</v>
      </c>
    </row>
    <row r="507" spans="1:4" x14ac:dyDescent="0.25">
      <c r="A507">
        <v>600</v>
      </c>
      <c r="B507">
        <v>1400</v>
      </c>
      <c r="C507">
        <v>2700</v>
      </c>
      <c r="D507">
        <v>6000</v>
      </c>
    </row>
    <row r="508" spans="1:4" x14ac:dyDescent="0.25">
      <c r="A508">
        <v>500</v>
      </c>
      <c r="B508">
        <v>1200</v>
      </c>
      <c r="C508">
        <v>3300</v>
      </c>
      <c r="D508">
        <v>5000</v>
      </c>
    </row>
    <row r="509" spans="1:4" x14ac:dyDescent="0.25">
      <c r="A509">
        <v>1300</v>
      </c>
      <c r="B509">
        <v>4000</v>
      </c>
      <c r="C509">
        <v>9300</v>
      </c>
      <c r="D509">
        <v>17500</v>
      </c>
    </row>
    <row r="510" spans="1:4" x14ac:dyDescent="0.25">
      <c r="A510">
        <v>1100</v>
      </c>
      <c r="B510">
        <v>4400</v>
      </c>
      <c r="C510">
        <v>8400</v>
      </c>
      <c r="D510">
        <v>15500</v>
      </c>
    </row>
    <row r="511" spans="1:4" x14ac:dyDescent="0.25">
      <c r="A511">
        <v>500</v>
      </c>
      <c r="B511">
        <v>1600</v>
      </c>
      <c r="C511">
        <v>3300</v>
      </c>
      <c r="D511">
        <v>5500</v>
      </c>
    </row>
    <row r="512" spans="1:4" x14ac:dyDescent="0.25">
      <c r="A512">
        <v>2200</v>
      </c>
      <c r="B512">
        <v>5400</v>
      </c>
      <c r="C512">
        <v>11100</v>
      </c>
      <c r="D512">
        <v>17500</v>
      </c>
    </row>
    <row r="513" spans="1:4" x14ac:dyDescent="0.25">
      <c r="A513">
        <v>1700</v>
      </c>
      <c r="B513">
        <v>4000</v>
      </c>
      <c r="C513">
        <v>10500</v>
      </c>
      <c r="D513">
        <v>15000</v>
      </c>
    </row>
    <row r="514" spans="1:4" x14ac:dyDescent="0.25">
      <c r="A514">
        <v>2100</v>
      </c>
      <c r="B514">
        <v>5000</v>
      </c>
      <c r="C514">
        <v>11400</v>
      </c>
      <c r="D514">
        <v>16000</v>
      </c>
    </row>
    <row r="515" spans="1:4" x14ac:dyDescent="0.25">
      <c r="A515">
        <v>1200</v>
      </c>
      <c r="B515">
        <v>3600</v>
      </c>
      <c r="C515">
        <v>8700</v>
      </c>
      <c r="D515">
        <v>13000</v>
      </c>
    </row>
    <row r="516" spans="1:4" x14ac:dyDescent="0.25">
      <c r="A516">
        <v>600</v>
      </c>
      <c r="B516">
        <v>1600</v>
      </c>
      <c r="C516">
        <v>3300</v>
      </c>
      <c r="D516">
        <v>6000</v>
      </c>
    </row>
    <row r="517" spans="1:4" x14ac:dyDescent="0.25">
      <c r="A517">
        <v>500</v>
      </c>
      <c r="B517">
        <v>1600</v>
      </c>
      <c r="C517">
        <v>2700</v>
      </c>
      <c r="D517">
        <v>5500</v>
      </c>
    </row>
    <row r="518" spans="1:4" x14ac:dyDescent="0.25">
      <c r="A518">
        <v>2300</v>
      </c>
      <c r="B518">
        <v>5600</v>
      </c>
      <c r="C518">
        <v>11400</v>
      </c>
      <c r="D518">
        <v>16000</v>
      </c>
    </row>
    <row r="519" spans="1:4" x14ac:dyDescent="0.25">
      <c r="A519">
        <v>1200</v>
      </c>
      <c r="B519">
        <v>4000</v>
      </c>
      <c r="C519">
        <v>8100</v>
      </c>
      <c r="D519">
        <v>17500</v>
      </c>
    </row>
    <row r="520" spans="1:4" x14ac:dyDescent="0.25">
      <c r="A520">
        <v>1600</v>
      </c>
      <c r="B520">
        <v>4200</v>
      </c>
      <c r="C520">
        <v>8700</v>
      </c>
      <c r="D520">
        <v>15500</v>
      </c>
    </row>
    <row r="521" spans="1:4" x14ac:dyDescent="0.25">
      <c r="A521">
        <v>1300</v>
      </c>
      <c r="B521">
        <v>3600</v>
      </c>
      <c r="C521">
        <v>7800</v>
      </c>
      <c r="D521">
        <v>13000</v>
      </c>
    </row>
    <row r="522" spans="1:4" x14ac:dyDescent="0.25">
      <c r="A522">
        <v>1100</v>
      </c>
      <c r="B522">
        <v>4600</v>
      </c>
      <c r="C522">
        <v>8100</v>
      </c>
      <c r="D522">
        <v>13500</v>
      </c>
    </row>
    <row r="523" spans="1:4" x14ac:dyDescent="0.25">
      <c r="A523">
        <v>1600</v>
      </c>
      <c r="B523">
        <v>3200</v>
      </c>
      <c r="C523">
        <v>9300</v>
      </c>
      <c r="D523">
        <v>12000</v>
      </c>
    </row>
    <row r="524" spans="1:4" x14ac:dyDescent="0.25">
      <c r="A524">
        <v>1500</v>
      </c>
      <c r="B524">
        <v>4400</v>
      </c>
      <c r="C524">
        <v>9900</v>
      </c>
      <c r="D524">
        <v>18000</v>
      </c>
    </row>
    <row r="525" spans="1:4" x14ac:dyDescent="0.25">
      <c r="A525">
        <v>1400</v>
      </c>
      <c r="B525">
        <v>3800</v>
      </c>
      <c r="C525">
        <v>9600</v>
      </c>
      <c r="D525">
        <v>14500</v>
      </c>
    </row>
    <row r="526" spans="1:4" x14ac:dyDescent="0.25">
      <c r="A526">
        <v>700</v>
      </c>
      <c r="B526">
        <v>1600</v>
      </c>
      <c r="C526">
        <v>3300</v>
      </c>
      <c r="D526">
        <v>5000</v>
      </c>
    </row>
    <row r="527" spans="1:4" x14ac:dyDescent="0.25">
      <c r="A527">
        <v>900</v>
      </c>
      <c r="B527">
        <v>1600</v>
      </c>
      <c r="C527">
        <v>5400</v>
      </c>
      <c r="D527">
        <v>8500</v>
      </c>
    </row>
    <row r="528" spans="1:4" x14ac:dyDescent="0.25">
      <c r="A528">
        <v>1200</v>
      </c>
      <c r="B528">
        <v>4600</v>
      </c>
      <c r="C528">
        <v>8400</v>
      </c>
      <c r="D528">
        <v>16000</v>
      </c>
    </row>
    <row r="529" spans="1:4" x14ac:dyDescent="0.25">
      <c r="A529">
        <v>800</v>
      </c>
      <c r="B529">
        <v>2000</v>
      </c>
      <c r="C529">
        <v>5100</v>
      </c>
      <c r="D529">
        <v>7500</v>
      </c>
    </row>
    <row r="530" spans="1:4" x14ac:dyDescent="0.25">
      <c r="A530">
        <v>500</v>
      </c>
      <c r="B530">
        <v>1800</v>
      </c>
      <c r="C530">
        <v>3000</v>
      </c>
      <c r="D530">
        <v>4000</v>
      </c>
    </row>
    <row r="531" spans="1:4" x14ac:dyDescent="0.25">
      <c r="A531">
        <v>1300</v>
      </c>
      <c r="B531">
        <v>3800</v>
      </c>
      <c r="C531">
        <v>9300</v>
      </c>
      <c r="D531">
        <v>14500</v>
      </c>
    </row>
    <row r="532" spans="1:4" x14ac:dyDescent="0.25">
      <c r="A532">
        <v>800</v>
      </c>
      <c r="B532">
        <v>2400</v>
      </c>
      <c r="C532">
        <v>5400</v>
      </c>
      <c r="D532">
        <v>8500</v>
      </c>
    </row>
    <row r="533" spans="1:4" x14ac:dyDescent="0.25">
      <c r="A533">
        <v>700</v>
      </c>
      <c r="B533">
        <v>2000</v>
      </c>
      <c r="C533">
        <v>5400</v>
      </c>
      <c r="D533">
        <v>7000</v>
      </c>
    </row>
    <row r="534" spans="1:4" x14ac:dyDescent="0.25">
      <c r="A534">
        <v>1800</v>
      </c>
      <c r="B534">
        <v>5000</v>
      </c>
      <c r="C534">
        <v>9600</v>
      </c>
      <c r="D534">
        <v>19500</v>
      </c>
    </row>
    <row r="535" spans="1:4" x14ac:dyDescent="0.25">
      <c r="A535">
        <v>1400</v>
      </c>
      <c r="B535">
        <v>4000</v>
      </c>
      <c r="C535">
        <v>9600</v>
      </c>
      <c r="D535">
        <v>12000</v>
      </c>
    </row>
    <row r="536" spans="1:4" x14ac:dyDescent="0.25">
      <c r="A536">
        <v>1900</v>
      </c>
      <c r="B536">
        <v>4200</v>
      </c>
      <c r="C536">
        <v>7500</v>
      </c>
      <c r="D536">
        <v>13500</v>
      </c>
    </row>
    <row r="537" spans="1:4" x14ac:dyDescent="0.25">
      <c r="A537">
        <v>1000</v>
      </c>
      <c r="B537">
        <v>3800</v>
      </c>
      <c r="C537">
        <v>8700</v>
      </c>
      <c r="D537">
        <v>12500</v>
      </c>
    </row>
    <row r="538" spans="1:4" x14ac:dyDescent="0.25">
      <c r="A538">
        <v>1300</v>
      </c>
      <c r="B538">
        <v>4400</v>
      </c>
      <c r="C538">
        <v>8700</v>
      </c>
      <c r="D538">
        <v>17500</v>
      </c>
    </row>
    <row r="539" spans="1:4" x14ac:dyDescent="0.25">
      <c r="A539">
        <v>600</v>
      </c>
      <c r="B539">
        <v>1600</v>
      </c>
      <c r="C539">
        <v>3000</v>
      </c>
      <c r="D539">
        <v>4000</v>
      </c>
    </row>
    <row r="540" spans="1:4" x14ac:dyDescent="0.25">
      <c r="A540">
        <v>1100</v>
      </c>
      <c r="B540">
        <v>3600</v>
      </c>
      <c r="C540">
        <v>9000</v>
      </c>
      <c r="D540">
        <v>13500</v>
      </c>
    </row>
    <row r="541" spans="1:4" x14ac:dyDescent="0.25">
      <c r="A541">
        <v>1400</v>
      </c>
      <c r="B541">
        <v>4000</v>
      </c>
      <c r="C541">
        <v>9900</v>
      </c>
      <c r="D541">
        <v>13000</v>
      </c>
    </row>
    <row r="542" spans="1:4" x14ac:dyDescent="0.25">
      <c r="A542">
        <v>500</v>
      </c>
      <c r="B542">
        <v>1600</v>
      </c>
      <c r="C542">
        <v>3300</v>
      </c>
      <c r="D542">
        <v>5500</v>
      </c>
    </row>
    <row r="543" spans="1:4" x14ac:dyDescent="0.25">
      <c r="A543">
        <v>2400</v>
      </c>
      <c r="B543">
        <v>4600</v>
      </c>
      <c r="C543">
        <v>10500</v>
      </c>
      <c r="D543">
        <v>18000</v>
      </c>
    </row>
    <row r="544" spans="1:4" x14ac:dyDescent="0.25">
      <c r="A544">
        <v>1300</v>
      </c>
      <c r="B544">
        <v>4200</v>
      </c>
      <c r="C544">
        <v>8700</v>
      </c>
      <c r="D544">
        <v>15000</v>
      </c>
    </row>
    <row r="545" spans="1:4" x14ac:dyDescent="0.25">
      <c r="A545">
        <v>1900</v>
      </c>
      <c r="B545">
        <v>5000</v>
      </c>
      <c r="C545">
        <v>8100</v>
      </c>
      <c r="D545">
        <v>13000</v>
      </c>
    </row>
    <row r="546" spans="1:4" x14ac:dyDescent="0.25">
      <c r="A546">
        <v>1300</v>
      </c>
      <c r="B546">
        <v>3000</v>
      </c>
      <c r="C546">
        <v>9600</v>
      </c>
      <c r="D546">
        <v>15000</v>
      </c>
    </row>
    <row r="547" spans="1:4" x14ac:dyDescent="0.25">
      <c r="A547">
        <v>1100</v>
      </c>
      <c r="B547">
        <v>3600</v>
      </c>
      <c r="C547">
        <v>9600</v>
      </c>
      <c r="D547">
        <v>14500</v>
      </c>
    </row>
    <row r="548" spans="1:4" x14ac:dyDescent="0.25">
      <c r="A548">
        <v>700</v>
      </c>
      <c r="B548">
        <v>1200</v>
      </c>
      <c r="C548">
        <v>3300</v>
      </c>
      <c r="D548">
        <v>4500</v>
      </c>
    </row>
    <row r="549" spans="1:4" x14ac:dyDescent="0.25">
      <c r="A549">
        <v>2300</v>
      </c>
      <c r="B549">
        <v>5800</v>
      </c>
      <c r="C549">
        <v>10800</v>
      </c>
      <c r="D549">
        <v>18000</v>
      </c>
    </row>
    <row r="550" spans="1:4" x14ac:dyDescent="0.25">
      <c r="A550">
        <v>600</v>
      </c>
      <c r="B550">
        <v>1600</v>
      </c>
      <c r="C550">
        <v>2700</v>
      </c>
      <c r="D550">
        <v>5000</v>
      </c>
    </row>
    <row r="551" spans="1:4" x14ac:dyDescent="0.25">
      <c r="A551">
        <v>800</v>
      </c>
      <c r="B551">
        <v>1400</v>
      </c>
      <c r="C551">
        <v>3000</v>
      </c>
      <c r="D551">
        <v>4500</v>
      </c>
    </row>
    <row r="552" spans="1:4" x14ac:dyDescent="0.25">
      <c r="A552">
        <v>1100</v>
      </c>
      <c r="B552">
        <v>4600</v>
      </c>
      <c r="C552">
        <v>8100</v>
      </c>
      <c r="D552">
        <v>13000</v>
      </c>
    </row>
    <row r="553" spans="1:4" x14ac:dyDescent="0.25">
      <c r="A553">
        <v>1400</v>
      </c>
      <c r="B553">
        <v>4800</v>
      </c>
      <c r="C553">
        <v>7200</v>
      </c>
      <c r="D553">
        <v>12000</v>
      </c>
    </row>
    <row r="554" spans="1:4" x14ac:dyDescent="0.25">
      <c r="A554">
        <v>1000</v>
      </c>
      <c r="B554">
        <v>4400</v>
      </c>
      <c r="C554">
        <v>8700</v>
      </c>
      <c r="D554">
        <v>18000</v>
      </c>
    </row>
    <row r="555" spans="1:4" x14ac:dyDescent="0.25">
      <c r="A555">
        <v>1400</v>
      </c>
      <c r="B555">
        <v>3600</v>
      </c>
      <c r="C555">
        <v>8700</v>
      </c>
      <c r="D555">
        <v>14500</v>
      </c>
    </row>
    <row r="556" spans="1:4" x14ac:dyDescent="0.25">
      <c r="A556">
        <v>900</v>
      </c>
      <c r="B556">
        <v>1800</v>
      </c>
      <c r="C556">
        <v>5100</v>
      </c>
      <c r="D556">
        <v>9500</v>
      </c>
    </row>
    <row r="557" spans="1:4" x14ac:dyDescent="0.25">
      <c r="A557">
        <v>1200</v>
      </c>
      <c r="B557">
        <v>3400</v>
      </c>
      <c r="C557">
        <v>8100</v>
      </c>
      <c r="D557">
        <v>13000</v>
      </c>
    </row>
    <row r="558" spans="1:4" x14ac:dyDescent="0.25">
      <c r="A558">
        <v>2300</v>
      </c>
      <c r="B558">
        <v>5600</v>
      </c>
      <c r="C558">
        <v>9600</v>
      </c>
      <c r="D558">
        <v>18000</v>
      </c>
    </row>
    <row r="559" spans="1:4" x14ac:dyDescent="0.25">
      <c r="A559">
        <v>1600</v>
      </c>
      <c r="B559">
        <v>4400</v>
      </c>
      <c r="C559">
        <v>8400</v>
      </c>
      <c r="D559">
        <v>14000</v>
      </c>
    </row>
    <row r="560" spans="1:4" x14ac:dyDescent="0.25">
      <c r="A560">
        <v>1200</v>
      </c>
      <c r="B560">
        <v>5000</v>
      </c>
      <c r="C560">
        <v>7200</v>
      </c>
      <c r="D560">
        <v>14000</v>
      </c>
    </row>
    <row r="561" spans="1:4" x14ac:dyDescent="0.25">
      <c r="A561">
        <v>1800</v>
      </c>
      <c r="B561">
        <v>4000</v>
      </c>
      <c r="C561">
        <v>9900</v>
      </c>
      <c r="D561">
        <v>18000</v>
      </c>
    </row>
    <row r="562" spans="1:4" x14ac:dyDescent="0.25">
      <c r="A562">
        <v>1400</v>
      </c>
      <c r="B562">
        <v>4600</v>
      </c>
      <c r="C562">
        <v>8400</v>
      </c>
      <c r="D562">
        <v>13500</v>
      </c>
    </row>
    <row r="563" spans="1:4" x14ac:dyDescent="0.25">
      <c r="A563">
        <v>1100</v>
      </c>
      <c r="B563">
        <v>3000</v>
      </c>
      <c r="C563">
        <v>9600</v>
      </c>
      <c r="D563">
        <v>14500</v>
      </c>
    </row>
    <row r="564" spans="1:4" x14ac:dyDescent="0.25">
      <c r="A564">
        <v>1400</v>
      </c>
      <c r="B564">
        <v>3200</v>
      </c>
      <c r="C564">
        <v>8400</v>
      </c>
      <c r="D564">
        <v>14000</v>
      </c>
    </row>
    <row r="565" spans="1:4" x14ac:dyDescent="0.25">
      <c r="A565">
        <v>2500</v>
      </c>
      <c r="B565">
        <v>4200</v>
      </c>
      <c r="C565">
        <v>10500</v>
      </c>
      <c r="D565">
        <v>15000</v>
      </c>
    </row>
    <row r="566" spans="1:4" x14ac:dyDescent="0.25">
      <c r="A566">
        <v>2000</v>
      </c>
      <c r="B566">
        <v>4800</v>
      </c>
      <c r="C566">
        <v>9000</v>
      </c>
      <c r="D566">
        <v>15500</v>
      </c>
    </row>
    <row r="567" spans="1:4" x14ac:dyDescent="0.25">
      <c r="A567">
        <v>1600</v>
      </c>
      <c r="B567">
        <v>5400</v>
      </c>
      <c r="C567">
        <v>9600</v>
      </c>
      <c r="D567">
        <v>17000</v>
      </c>
    </row>
    <row r="568" spans="1:4" x14ac:dyDescent="0.25">
      <c r="A568">
        <v>1200</v>
      </c>
      <c r="B568">
        <v>5000</v>
      </c>
      <c r="C568">
        <v>8400</v>
      </c>
      <c r="D568">
        <v>14000</v>
      </c>
    </row>
    <row r="569" spans="1:4" x14ac:dyDescent="0.25">
      <c r="A569">
        <v>1000</v>
      </c>
      <c r="B569">
        <v>2000</v>
      </c>
      <c r="C569">
        <v>4200</v>
      </c>
      <c r="D569">
        <v>8000</v>
      </c>
    </row>
    <row r="570" spans="1:4" x14ac:dyDescent="0.25">
      <c r="A570">
        <v>1500</v>
      </c>
      <c r="B570">
        <v>5400</v>
      </c>
      <c r="C570">
        <v>8700</v>
      </c>
      <c r="D570">
        <v>16500</v>
      </c>
    </row>
    <row r="571" spans="1:4" x14ac:dyDescent="0.25">
      <c r="A571">
        <v>1400</v>
      </c>
      <c r="B571">
        <v>3400</v>
      </c>
      <c r="C571">
        <v>9000</v>
      </c>
      <c r="D571">
        <v>12000</v>
      </c>
    </row>
    <row r="572" spans="1:4" x14ac:dyDescent="0.25">
      <c r="A572">
        <v>1200</v>
      </c>
      <c r="B572">
        <v>3600</v>
      </c>
      <c r="C572">
        <v>7800</v>
      </c>
      <c r="D572">
        <v>12500</v>
      </c>
    </row>
    <row r="573" spans="1:4" x14ac:dyDescent="0.25">
      <c r="A573">
        <v>700</v>
      </c>
      <c r="B573">
        <v>1200</v>
      </c>
      <c r="C573">
        <v>2700</v>
      </c>
      <c r="D573">
        <v>4500</v>
      </c>
    </row>
    <row r="574" spans="1:4" x14ac:dyDescent="0.25">
      <c r="A574">
        <v>1000</v>
      </c>
      <c r="B574">
        <v>3800</v>
      </c>
      <c r="C574">
        <v>9900</v>
      </c>
      <c r="D574">
        <v>17000</v>
      </c>
    </row>
    <row r="575" spans="1:4" x14ac:dyDescent="0.25">
      <c r="A575">
        <v>1900</v>
      </c>
      <c r="B575">
        <v>5400</v>
      </c>
      <c r="C575">
        <v>9900</v>
      </c>
      <c r="D575">
        <v>13500</v>
      </c>
    </row>
    <row r="576" spans="1:4" x14ac:dyDescent="0.25">
      <c r="A576">
        <v>600</v>
      </c>
      <c r="B576">
        <v>2400</v>
      </c>
      <c r="C576">
        <v>5400</v>
      </c>
      <c r="D576">
        <v>9000</v>
      </c>
    </row>
    <row r="577" spans="1:4" x14ac:dyDescent="0.25">
      <c r="A577">
        <v>500</v>
      </c>
      <c r="B577">
        <v>2400</v>
      </c>
      <c r="C577">
        <v>4500</v>
      </c>
      <c r="D577">
        <v>9500</v>
      </c>
    </row>
    <row r="578" spans="1:4" x14ac:dyDescent="0.25">
      <c r="A578">
        <v>600</v>
      </c>
      <c r="B578">
        <v>1200</v>
      </c>
      <c r="C578">
        <v>2700</v>
      </c>
      <c r="D578">
        <v>4500</v>
      </c>
    </row>
    <row r="579" spans="1:4" x14ac:dyDescent="0.25">
      <c r="A579">
        <v>900</v>
      </c>
      <c r="B579">
        <v>2400</v>
      </c>
      <c r="C579">
        <v>4800</v>
      </c>
      <c r="D579">
        <v>7000</v>
      </c>
    </row>
    <row r="580" spans="1:4" x14ac:dyDescent="0.25">
      <c r="A580">
        <v>800</v>
      </c>
      <c r="B580">
        <v>1200</v>
      </c>
      <c r="C580">
        <v>3000</v>
      </c>
      <c r="D580">
        <v>4000</v>
      </c>
    </row>
    <row r="581" spans="1:4" x14ac:dyDescent="0.25">
      <c r="A581">
        <v>700</v>
      </c>
      <c r="B581">
        <v>1400</v>
      </c>
      <c r="C581">
        <v>2700</v>
      </c>
      <c r="D581">
        <v>4500</v>
      </c>
    </row>
    <row r="582" spans="1:4" x14ac:dyDescent="0.25">
      <c r="A582">
        <v>900</v>
      </c>
      <c r="B582">
        <v>2000</v>
      </c>
      <c r="C582">
        <v>6000</v>
      </c>
      <c r="D582">
        <v>9500</v>
      </c>
    </row>
    <row r="583" spans="1:4" x14ac:dyDescent="0.25">
      <c r="A583">
        <v>1600</v>
      </c>
      <c r="B583">
        <v>4000</v>
      </c>
      <c r="C583">
        <v>10500</v>
      </c>
      <c r="D583">
        <v>16000</v>
      </c>
    </row>
    <row r="584" spans="1:4" x14ac:dyDescent="0.25">
      <c r="A584">
        <v>1900</v>
      </c>
      <c r="B584">
        <v>5800</v>
      </c>
      <c r="C584">
        <v>11700</v>
      </c>
      <c r="D584">
        <v>15500</v>
      </c>
    </row>
    <row r="585" spans="1:4" x14ac:dyDescent="0.25">
      <c r="A585">
        <v>1300</v>
      </c>
      <c r="B585">
        <v>3600</v>
      </c>
      <c r="C585">
        <v>7200</v>
      </c>
      <c r="D585">
        <v>13000</v>
      </c>
    </row>
    <row r="586" spans="1:4" x14ac:dyDescent="0.25">
      <c r="A586">
        <v>1900</v>
      </c>
      <c r="B586">
        <v>4600</v>
      </c>
      <c r="C586">
        <v>8700</v>
      </c>
      <c r="D586">
        <v>13500</v>
      </c>
    </row>
    <row r="587" spans="1:4" x14ac:dyDescent="0.25">
      <c r="A587">
        <v>1400</v>
      </c>
      <c r="B587">
        <v>5200</v>
      </c>
      <c r="C587">
        <v>9300</v>
      </c>
      <c r="D587">
        <v>13500</v>
      </c>
    </row>
    <row r="588" spans="1:4" x14ac:dyDescent="0.25">
      <c r="A588">
        <v>2100</v>
      </c>
      <c r="B588">
        <v>4200</v>
      </c>
      <c r="C588">
        <v>9000</v>
      </c>
      <c r="D588">
        <v>20000</v>
      </c>
    </row>
    <row r="589" spans="1:4" x14ac:dyDescent="0.25">
      <c r="A589">
        <v>800</v>
      </c>
      <c r="B589">
        <v>2000</v>
      </c>
      <c r="C589">
        <v>5100</v>
      </c>
      <c r="D589">
        <v>8000</v>
      </c>
    </row>
    <row r="590" spans="1:4" x14ac:dyDescent="0.25">
      <c r="A590">
        <v>600</v>
      </c>
      <c r="B590">
        <v>1600</v>
      </c>
      <c r="C590">
        <v>2700</v>
      </c>
      <c r="D590">
        <v>6000</v>
      </c>
    </row>
    <row r="591" spans="1:4" x14ac:dyDescent="0.25">
      <c r="A591">
        <v>700</v>
      </c>
      <c r="B591">
        <v>2000</v>
      </c>
      <c r="C591">
        <v>5700</v>
      </c>
      <c r="D591">
        <v>8000</v>
      </c>
    </row>
    <row r="592" spans="1:4" x14ac:dyDescent="0.25">
      <c r="A592">
        <v>1500</v>
      </c>
      <c r="B592">
        <v>3400</v>
      </c>
      <c r="C592">
        <v>9900</v>
      </c>
      <c r="D592">
        <v>14000</v>
      </c>
    </row>
    <row r="593" spans="1:4" x14ac:dyDescent="0.25">
      <c r="A593">
        <v>1600</v>
      </c>
      <c r="B593">
        <v>5200</v>
      </c>
      <c r="C593">
        <v>9600</v>
      </c>
      <c r="D593">
        <v>15500</v>
      </c>
    </row>
    <row r="594" spans="1:4" x14ac:dyDescent="0.25">
      <c r="A594">
        <v>700</v>
      </c>
      <c r="B594">
        <v>1600</v>
      </c>
      <c r="C594">
        <v>3300</v>
      </c>
      <c r="D594">
        <v>4000</v>
      </c>
    </row>
    <row r="595" spans="1:4" x14ac:dyDescent="0.25">
      <c r="A595">
        <v>2000</v>
      </c>
      <c r="B595">
        <v>3800</v>
      </c>
      <c r="C595">
        <v>8100</v>
      </c>
      <c r="D595">
        <v>13500</v>
      </c>
    </row>
    <row r="596" spans="1:4" x14ac:dyDescent="0.25">
      <c r="A596">
        <v>1000</v>
      </c>
      <c r="B596">
        <v>2400</v>
      </c>
      <c r="C596">
        <v>4500</v>
      </c>
      <c r="D596">
        <v>8500</v>
      </c>
    </row>
    <row r="597" spans="1:4" x14ac:dyDescent="0.25">
      <c r="A597">
        <v>1700</v>
      </c>
      <c r="B597">
        <v>4000</v>
      </c>
      <c r="C597">
        <v>10500</v>
      </c>
      <c r="D597">
        <v>15000</v>
      </c>
    </row>
    <row r="598" spans="1:4" x14ac:dyDescent="0.25">
      <c r="A598">
        <v>1200</v>
      </c>
      <c r="B598">
        <v>3800</v>
      </c>
      <c r="C598">
        <v>9600</v>
      </c>
      <c r="D598">
        <v>14000</v>
      </c>
    </row>
    <row r="599" spans="1:4" x14ac:dyDescent="0.25">
      <c r="A599">
        <v>400</v>
      </c>
      <c r="B599">
        <v>1400</v>
      </c>
      <c r="C599">
        <v>3000</v>
      </c>
      <c r="D599">
        <v>4500</v>
      </c>
    </row>
    <row r="600" spans="1:4" x14ac:dyDescent="0.25">
      <c r="A600">
        <v>1000</v>
      </c>
      <c r="B600">
        <v>2200</v>
      </c>
      <c r="C600">
        <v>5700</v>
      </c>
      <c r="D600">
        <v>9000</v>
      </c>
    </row>
    <row r="601" spans="1:4" x14ac:dyDescent="0.25">
      <c r="A601">
        <v>500</v>
      </c>
      <c r="B601">
        <v>1400</v>
      </c>
      <c r="C601">
        <v>2700</v>
      </c>
      <c r="D601">
        <v>4500</v>
      </c>
    </row>
    <row r="602" spans="1:4" x14ac:dyDescent="0.25">
      <c r="A602">
        <v>1900</v>
      </c>
      <c r="B602">
        <v>5000</v>
      </c>
      <c r="C602">
        <v>9300</v>
      </c>
      <c r="D602">
        <v>16000</v>
      </c>
    </row>
    <row r="603" spans="1:4" x14ac:dyDescent="0.25">
      <c r="A603">
        <v>1600</v>
      </c>
      <c r="B603">
        <v>4200</v>
      </c>
      <c r="C603">
        <v>8100</v>
      </c>
      <c r="D603">
        <v>12500</v>
      </c>
    </row>
    <row r="604" spans="1:4" x14ac:dyDescent="0.25">
      <c r="A604">
        <v>1700</v>
      </c>
      <c r="B604">
        <v>4000</v>
      </c>
      <c r="C604">
        <v>7200</v>
      </c>
      <c r="D604">
        <v>12000</v>
      </c>
    </row>
    <row r="605" spans="1:4" x14ac:dyDescent="0.25">
      <c r="A605">
        <v>1600</v>
      </c>
      <c r="B605">
        <v>4200</v>
      </c>
      <c r="C605">
        <v>10200</v>
      </c>
      <c r="D605">
        <v>17000</v>
      </c>
    </row>
    <row r="606" spans="1:4" x14ac:dyDescent="0.25">
      <c r="A606">
        <v>1000</v>
      </c>
      <c r="B606">
        <v>4600</v>
      </c>
      <c r="C606">
        <v>10800</v>
      </c>
      <c r="D606">
        <v>13500</v>
      </c>
    </row>
    <row r="607" spans="1:4" x14ac:dyDescent="0.25">
      <c r="A607">
        <v>800</v>
      </c>
      <c r="B607">
        <v>1400</v>
      </c>
      <c r="C607">
        <v>2700</v>
      </c>
      <c r="D607">
        <v>5500</v>
      </c>
    </row>
    <row r="608" spans="1:4" x14ac:dyDescent="0.25">
      <c r="A608">
        <v>400</v>
      </c>
      <c r="B608">
        <v>1600</v>
      </c>
      <c r="C608">
        <v>2700</v>
      </c>
      <c r="D608">
        <v>6000</v>
      </c>
    </row>
    <row r="609" spans="1:4" x14ac:dyDescent="0.25">
      <c r="A609">
        <v>1700</v>
      </c>
      <c r="B609">
        <v>3200</v>
      </c>
      <c r="C609">
        <v>7500</v>
      </c>
      <c r="D609">
        <v>14000</v>
      </c>
    </row>
    <row r="610" spans="1:4" x14ac:dyDescent="0.25">
      <c r="A610">
        <v>1400</v>
      </c>
      <c r="B610">
        <v>4600</v>
      </c>
      <c r="C610">
        <v>9300</v>
      </c>
      <c r="D610">
        <v>17500</v>
      </c>
    </row>
    <row r="611" spans="1:4" x14ac:dyDescent="0.25">
      <c r="A611">
        <v>1400</v>
      </c>
      <c r="B611">
        <v>3400</v>
      </c>
      <c r="C611">
        <v>7800</v>
      </c>
      <c r="D611">
        <v>12000</v>
      </c>
    </row>
    <row r="612" spans="1:4" x14ac:dyDescent="0.25">
      <c r="A612">
        <v>1600</v>
      </c>
      <c r="B612">
        <v>5200</v>
      </c>
      <c r="C612">
        <v>11700</v>
      </c>
      <c r="D612">
        <v>19500</v>
      </c>
    </row>
    <row r="613" spans="1:4" x14ac:dyDescent="0.25">
      <c r="A613">
        <v>800</v>
      </c>
      <c r="B613">
        <v>1200</v>
      </c>
      <c r="C613">
        <v>2700</v>
      </c>
      <c r="D613">
        <v>6000</v>
      </c>
    </row>
    <row r="614" spans="1:4" x14ac:dyDescent="0.25">
      <c r="A614">
        <v>1600</v>
      </c>
      <c r="B614">
        <v>3800</v>
      </c>
      <c r="C614">
        <v>7800</v>
      </c>
      <c r="D614">
        <v>12500</v>
      </c>
    </row>
    <row r="615" spans="1:4" x14ac:dyDescent="0.25">
      <c r="A615">
        <v>600</v>
      </c>
      <c r="B615">
        <v>1600</v>
      </c>
      <c r="C615">
        <v>4200</v>
      </c>
      <c r="D615">
        <v>7500</v>
      </c>
    </row>
    <row r="616" spans="1:4" x14ac:dyDescent="0.25">
      <c r="A616">
        <v>2100</v>
      </c>
      <c r="B616">
        <v>4800</v>
      </c>
      <c r="C616">
        <v>9000</v>
      </c>
      <c r="D616">
        <v>19000</v>
      </c>
    </row>
    <row r="617" spans="1:4" x14ac:dyDescent="0.25">
      <c r="A617">
        <v>900</v>
      </c>
      <c r="B617">
        <v>2000</v>
      </c>
      <c r="C617">
        <v>5700</v>
      </c>
      <c r="D617">
        <v>10000</v>
      </c>
    </row>
    <row r="618" spans="1:4" x14ac:dyDescent="0.25">
      <c r="A618">
        <v>400</v>
      </c>
      <c r="B618">
        <v>1400</v>
      </c>
      <c r="C618">
        <v>3600</v>
      </c>
      <c r="D618">
        <v>4000</v>
      </c>
    </row>
    <row r="619" spans="1:4" x14ac:dyDescent="0.25">
      <c r="A619">
        <v>1300</v>
      </c>
      <c r="B619">
        <v>4600</v>
      </c>
      <c r="C619">
        <v>10200</v>
      </c>
      <c r="D619">
        <v>17500</v>
      </c>
    </row>
    <row r="620" spans="1:4" x14ac:dyDescent="0.25">
      <c r="A620">
        <v>1700</v>
      </c>
      <c r="B620">
        <v>5800</v>
      </c>
      <c r="C620">
        <v>9300</v>
      </c>
      <c r="D620">
        <v>17500</v>
      </c>
    </row>
    <row r="621" spans="1:4" x14ac:dyDescent="0.25">
      <c r="A621">
        <v>1800</v>
      </c>
      <c r="B621">
        <v>4000</v>
      </c>
      <c r="C621">
        <v>8400</v>
      </c>
      <c r="D621">
        <v>14000</v>
      </c>
    </row>
    <row r="622" spans="1:4" x14ac:dyDescent="0.25">
      <c r="A622">
        <v>600</v>
      </c>
      <c r="B622">
        <v>1800</v>
      </c>
      <c r="C622">
        <v>5700</v>
      </c>
      <c r="D622">
        <v>7500</v>
      </c>
    </row>
    <row r="623" spans="1:4" x14ac:dyDescent="0.25">
      <c r="A623">
        <v>500</v>
      </c>
      <c r="B623">
        <v>1200</v>
      </c>
      <c r="C623">
        <v>3300</v>
      </c>
      <c r="D623">
        <v>4000</v>
      </c>
    </row>
    <row r="624" spans="1:4" x14ac:dyDescent="0.25">
      <c r="A624">
        <v>400</v>
      </c>
      <c r="B624">
        <v>1200</v>
      </c>
      <c r="C624">
        <v>3000</v>
      </c>
      <c r="D624">
        <v>6000</v>
      </c>
    </row>
    <row r="625" spans="1:4" x14ac:dyDescent="0.25">
      <c r="A625">
        <v>900</v>
      </c>
      <c r="B625">
        <v>1600</v>
      </c>
      <c r="C625">
        <v>6000</v>
      </c>
      <c r="D625">
        <v>10000</v>
      </c>
    </row>
    <row r="626" spans="1:4" x14ac:dyDescent="0.25">
      <c r="A626">
        <v>2000</v>
      </c>
      <c r="B626">
        <v>4800</v>
      </c>
      <c r="C626">
        <v>11400</v>
      </c>
      <c r="D626">
        <v>18500</v>
      </c>
    </row>
    <row r="627" spans="1:4" x14ac:dyDescent="0.25">
      <c r="A627">
        <v>2100</v>
      </c>
      <c r="B627">
        <v>5400</v>
      </c>
      <c r="C627">
        <v>9900</v>
      </c>
      <c r="D627">
        <v>19000</v>
      </c>
    </row>
    <row r="628" spans="1:4" x14ac:dyDescent="0.25">
      <c r="A628">
        <v>2400</v>
      </c>
      <c r="B628">
        <v>4200</v>
      </c>
      <c r="C628">
        <v>11100</v>
      </c>
      <c r="D628">
        <v>20000</v>
      </c>
    </row>
    <row r="629" spans="1:4" x14ac:dyDescent="0.25">
      <c r="A629">
        <v>1300</v>
      </c>
      <c r="B629">
        <v>4600</v>
      </c>
      <c r="C629">
        <v>9600</v>
      </c>
      <c r="D629">
        <v>12000</v>
      </c>
    </row>
    <row r="630" spans="1:4" x14ac:dyDescent="0.25">
      <c r="A630">
        <v>1700</v>
      </c>
      <c r="B630">
        <v>4400</v>
      </c>
      <c r="C630">
        <v>9000</v>
      </c>
      <c r="D630">
        <v>14000</v>
      </c>
    </row>
    <row r="631" spans="1:4" x14ac:dyDescent="0.25">
      <c r="A631">
        <v>1700</v>
      </c>
      <c r="B631">
        <v>6000</v>
      </c>
      <c r="C631">
        <v>10500</v>
      </c>
      <c r="D631">
        <v>16000</v>
      </c>
    </row>
    <row r="632" spans="1:4" x14ac:dyDescent="0.25">
      <c r="A632">
        <v>1800</v>
      </c>
      <c r="B632">
        <v>5600</v>
      </c>
      <c r="C632">
        <v>9600</v>
      </c>
      <c r="D632">
        <v>15500</v>
      </c>
    </row>
    <row r="633" spans="1:4" x14ac:dyDescent="0.25">
      <c r="A633">
        <v>1000</v>
      </c>
      <c r="B633">
        <v>2200</v>
      </c>
      <c r="C633">
        <v>4200</v>
      </c>
      <c r="D633">
        <v>8000</v>
      </c>
    </row>
    <row r="634" spans="1:4" x14ac:dyDescent="0.25">
      <c r="A634">
        <v>400</v>
      </c>
      <c r="B634">
        <v>1600</v>
      </c>
      <c r="C634">
        <v>2700</v>
      </c>
      <c r="D634">
        <v>4500</v>
      </c>
    </row>
    <row r="635" spans="1:4" x14ac:dyDescent="0.25">
      <c r="A635">
        <v>1800</v>
      </c>
      <c r="B635">
        <v>4800</v>
      </c>
      <c r="C635">
        <v>8700</v>
      </c>
      <c r="D635">
        <v>17000</v>
      </c>
    </row>
    <row r="636" spans="1:4" x14ac:dyDescent="0.25">
      <c r="A636">
        <v>1100</v>
      </c>
      <c r="B636">
        <v>4800</v>
      </c>
      <c r="C636">
        <v>8400</v>
      </c>
      <c r="D636">
        <v>13000</v>
      </c>
    </row>
    <row r="637" spans="1:4" x14ac:dyDescent="0.25">
      <c r="A637">
        <v>1000</v>
      </c>
      <c r="B637">
        <v>3800</v>
      </c>
      <c r="C637">
        <v>10200</v>
      </c>
      <c r="D637">
        <v>14000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</vt:lpstr>
      <vt:lpstr>результат</vt:lpstr>
      <vt:lpstr>1 способ</vt:lpstr>
      <vt:lpstr>2 способ</vt:lpstr>
      <vt:lpstr>3 способ</vt:lpstr>
      <vt:lpstr>4 способ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Ника Солнцева</cp:lastModifiedBy>
  <dcterms:created xsi:type="dcterms:W3CDTF">2026-04-13T18:56:33Z</dcterms:created>
  <dcterms:modified xsi:type="dcterms:W3CDTF">2026-10-29T18:09:16Z</dcterms:modified>
</cp:coreProperties>
</file>