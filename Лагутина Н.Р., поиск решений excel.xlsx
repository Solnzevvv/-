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а Солнцева\Desktop\Бизнес аналитика\контр точки\"/>
    </mc:Choice>
  </mc:AlternateContent>
  <xr:revisionPtr revIDLastSave="0" documentId="13_ncr:1_{D49582BF-F7ED-40F6-9156-9F984CC19FD6}" xr6:coauthVersionLast="47" xr6:coauthVersionMax="47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Инвестиции!$B$17:$B$24</definedName>
    <definedName name="solver_adj" localSheetId="4" hidden="1">Назначения!$C$15:$F$18</definedName>
    <definedName name="solver_adj" localSheetId="0" hidden="1">Опт.План!$B$19:$D$20</definedName>
    <definedName name="solver_adj" localSheetId="2" hidden="1">Тр.Задача!$C$15:$G$18</definedName>
    <definedName name="solver_adj" localSheetId="1" hidden="1">Шт.Расписание!$B$24:$B$30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2</definedName>
    <definedName name="solver_drv" localSheetId="2" hidden="1">1</definedName>
    <definedName name="solver_drv" localSheetId="1" hidden="1">1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Инвестиции!$B$17:$B$24</definedName>
    <definedName name="solver_lhs1" localSheetId="4" hidden="1">Назначения!$C$15:$F$18</definedName>
    <definedName name="solver_lhs1" localSheetId="0" hidden="1">Опт.План!$B$19:$D$20</definedName>
    <definedName name="solver_lhs1" localSheetId="2" hidden="1">Тр.Задача!$C$15:$G$18</definedName>
    <definedName name="solver_lhs1" localSheetId="1" hidden="1">Шт.Расписание!$A$24:$A$30</definedName>
    <definedName name="solver_lhs2" localSheetId="3" hidden="1">Инвестиции!$E$18</definedName>
    <definedName name="solver_lhs2" localSheetId="4" hidden="1">Назначения!$C$19:$F$19</definedName>
    <definedName name="solver_lhs2" localSheetId="0" hidden="1">Опт.План!$B$21:$D$21</definedName>
    <definedName name="solver_lhs2" localSheetId="2" hidden="1">Тр.Задача!$C$19:$G$19</definedName>
    <definedName name="solver_lhs2" localSheetId="1" hidden="1">Шт.Расписание!$B$24:$B$30</definedName>
    <definedName name="solver_lhs3" localSheetId="4" hidden="1">Назначения!$G$15:$G$18</definedName>
    <definedName name="solver_lhs3" localSheetId="2" hidden="1">Тр.Задача!$H$15:$H$18</definedName>
    <definedName name="solver_lhs4" localSheetId="4" hidden="1">Назначения!$H$15:$H$18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Инвестиции!$E$19</definedName>
    <definedName name="solver_opt" localSheetId="4" hidden="1">Назначения!$J$17</definedName>
    <definedName name="solver_opt" localSheetId="0" hidden="1">Опт.План!$G$20</definedName>
    <definedName name="solver_opt" localSheetId="2" hidden="1">Тр.Задача!$H$24</definedName>
    <definedName name="solver_opt" localSheetId="1" hidden="1">Шт.Расписание!$D$33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2</definedName>
    <definedName name="solver_rbv" localSheetId="2" hidden="1">1</definedName>
    <definedName name="solver_rbv" localSheetId="1" hidden="1">1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Инвестиции!$E$6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Назначения!$I$15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2</definedName>
    <definedName name="solver_scl" localSheetId="2" hidden="1">1</definedName>
    <definedName name="solver_scl" localSheetId="1" hidden="1">1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6" l="1"/>
  <c r="H15" i="6"/>
  <c r="H16" i="6"/>
  <c r="H17" i="6"/>
  <c r="H18" i="6"/>
  <c r="J17" i="6"/>
  <c r="I15" i="6" s="1"/>
  <c r="G17" i="6"/>
  <c r="G18" i="6"/>
  <c r="D19" i="6"/>
  <c r="E19" i="6"/>
  <c r="F19" i="6"/>
  <c r="G15" i="6"/>
  <c r="C19" i="6"/>
  <c r="E19" i="5"/>
  <c r="E18" i="5"/>
  <c r="H24" i="4"/>
  <c r="H16" i="4"/>
  <c r="H17" i="4"/>
  <c r="H18" i="4"/>
  <c r="H15" i="4"/>
  <c r="D19" i="4"/>
  <c r="E19" i="4"/>
  <c r="F19" i="4"/>
  <c r="G19" i="4"/>
  <c r="C19" i="4"/>
  <c r="A30" i="3"/>
  <c r="A29" i="3"/>
  <c r="A28" i="3"/>
  <c r="A27" i="3"/>
  <c r="A26" i="3"/>
  <c r="A25" i="3"/>
  <c r="A24" i="3"/>
  <c r="D21" i="2"/>
  <c r="C21" i="2"/>
  <c r="B21" i="2"/>
  <c r="E20" i="2"/>
  <c r="E19" i="2"/>
  <c r="D33" i="3" l="1"/>
  <c r="G20" i="2"/>
</calcChain>
</file>

<file path=xl/sharedStrings.xml><?xml version="1.0" encoding="utf-8"?>
<sst xmlns="http://schemas.openxmlformats.org/spreadsheetml/2006/main" count="150" uniqueCount="74">
  <si>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</si>
  <si>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</si>
  <si>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</si>
  <si>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</si>
  <si>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</si>
  <si>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</si>
  <si>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</si>
  <si>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</si>
  <si>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</si>
  <si>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</si>
  <si>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</si>
  <si>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</si>
  <si>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</si>
  <si>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</si>
  <si>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</si>
  <si>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</si>
  <si>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</si>
  <si>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</si>
  <si>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</si>
  <si>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</si>
  <si>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</si>
  <si>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</si>
  <si>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</si>
  <si>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</si>
  <si>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</si>
  <si>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</si>
  <si>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</si>
  <si>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</si>
  <si>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</si>
  <si>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</si>
  <si>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</si>
  <si>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</si>
  <si>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</si>
  <si>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</si>
  <si>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</si>
  <si>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</si>
  <si>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</si>
  <si>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</si>
  <si>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</si>
  <si>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</si>
  <si>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</si>
  <si>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</si>
  <si>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</si>
  <si>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</si>
  <si>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</si>
  <si>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</si>
  <si>
    <t>Целевая функция</t>
  </si>
  <si>
    <t>Задание</t>
  </si>
  <si>
    <t>Кол-во И1</t>
  </si>
  <si>
    <t>Кол-во И2</t>
  </si>
  <si>
    <t>Один вид изделий</t>
  </si>
  <si>
    <t>нет</t>
  </si>
  <si>
    <t>Факт</t>
  </si>
  <si>
    <t>Кол-во</t>
  </si>
  <si>
    <t>Бригада</t>
  </si>
  <si>
    <t>Выходные</t>
  </si>
  <si>
    <t>Понедельник, вторник</t>
  </si>
  <si>
    <t>Вторник, среда</t>
  </si>
  <si>
    <t>Среда, четверг</t>
  </si>
  <si>
    <t>Четверг, пятница</t>
  </si>
  <si>
    <t>Пятница, суббота</t>
  </si>
  <si>
    <t>Суббота, воскресенье</t>
  </si>
  <si>
    <t>Воскресенье, понедельник</t>
  </si>
  <si>
    <t>Метод ОПГ</t>
  </si>
  <si>
    <t>Симплекс метод</t>
  </si>
  <si>
    <t>1 задача</t>
  </si>
  <si>
    <t>2 задача</t>
  </si>
  <si>
    <t>Участие</t>
  </si>
  <si>
    <t>Затраты</t>
  </si>
  <si>
    <t>Прибыль</t>
  </si>
  <si>
    <t>Для 55000</t>
  </si>
  <si>
    <t>Для 85000</t>
  </si>
  <si>
    <t>зп 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</si>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</sst>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6" borderId="1" xfId="0" applyFont="1" applyFill="1" applyBorder="1"/>
    <xf numFmtId="0" fontId="6" fillId="0" borderId="1" xfId="0" applyFont="1" applyBorder="1"/>
    <xf numFmtId="0" fontId="6" fillId="5" borderId="1" xfId="0" applyFont="1" applyFill="1" applyBorder="1"/>
    <xf numFmtId="0" fontId="0" fillId="7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6" borderId="0" xfId="0" applyFill="1"/>
    <xf numFmtId="0" fontId="0" fillId="5" borderId="0" xfId="0" applyFill="1"/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9" borderId="0" xfId="0" applyFill="1"/>
    <xf numFmtId="0" fontId="0" fillId="11" borderId="1" xfId="0" applyFill="1" applyBorder="1"/>
    <xf numFmtId="0" fontId="6" fillId="6" borderId="0" xfId="0" applyFont="1" applyFill="1"/>
    <xf numFmtId="0" fontId="0" fillId="12" borderId="0" xfId="0" applyFill="1"/>
    <xf numFmtId="0" fontId="3" fillId="0" borderId="1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3" borderId="0" xfId="0" applyFill="1"/>
    <xf numFmtId="0" fontId="0" fillId="14" borderId="0" xfId="0" applyFill="1"/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/>
  </cellXfs>
  <cellStyles count="2">
    <cellStyle name="Гиперссылка" xfId="1" builtinId="8"/>
    <cellStyle name="Обычный" xfId="0" builtinId="0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3</xdr:col>
      <xdr:colOff>1181260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55261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18</xdr:col>
      <xdr:colOff>0</xdr:colOff>
      <xdr:row>8</xdr:row>
      <xdr:rowOff>0</xdr:rowOff>
    </xdr:from>
    <xdr:to>
      <xdr:col>35</xdr:col>
      <xdr:colOff>38369</xdr:colOff>
      <xdr:row>21</xdr:row>
      <xdr:rowOff>27215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E533397-3EAB-40DA-A9A8-84813E30F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66071" y="1932214"/>
          <a:ext cx="10447833" cy="2503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zoomScale="85" zoomScaleNormal="85" workbookViewId="0">
      <selection activeCell="J31" sqref="J31"/>
    </sheetView>
  </sheetViews>
  <sheetFormatPr defaultRowHeight="15" x14ac:dyDescent="0.25"/>
  <cols>
    <col min="1" max="1" width="27.7109375" customWidth="1"/>
    <col min="5" max="5" width="14.28515625" customWidth="1"/>
    <col min="7" max="7" width="25.5703125" customWidth="1"/>
  </cols>
  <sheetData>
    <row r="1" spans="1:15" s="1" customFormat="1" ht="4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25">
      <c r="A2" s="11" t="s">
        <v>12</v>
      </c>
    </row>
    <row r="3" spans="1:15" s="1" customFormat="1" x14ac:dyDescent="0.25">
      <c r="E3" s="7" t="s">
        <v>9</v>
      </c>
    </row>
    <row r="4" spans="1:15" x14ac:dyDescent="0.25">
      <c r="A4" s="39" t="s">
        <v>0</v>
      </c>
      <c r="B4" s="40" t="s">
        <v>1</v>
      </c>
      <c r="C4" s="40"/>
      <c r="D4" s="40"/>
      <c r="E4" s="40" t="s">
        <v>2</v>
      </c>
    </row>
    <row r="5" spans="1:15" x14ac:dyDescent="0.25">
      <c r="A5" s="39"/>
      <c r="B5" s="3" t="s">
        <v>3</v>
      </c>
      <c r="C5" s="3" t="s">
        <v>4</v>
      </c>
      <c r="D5" s="3" t="s">
        <v>5</v>
      </c>
      <c r="E5" s="40"/>
    </row>
    <row r="6" spans="1:15" x14ac:dyDescent="0.25">
      <c r="A6" s="3" t="s">
        <v>6</v>
      </c>
      <c r="B6" s="4">
        <v>6.0000000000000005E-2</v>
      </c>
      <c r="C6" s="8">
        <v>1.8000000000000002E-2</v>
      </c>
      <c r="D6" s="8">
        <v>2.9000000000000001E-2</v>
      </c>
      <c r="E6" s="28">
        <v>350</v>
      </c>
    </row>
    <row r="7" spans="1:15" x14ac:dyDescent="0.25">
      <c r="A7" s="3" t="s">
        <v>7</v>
      </c>
      <c r="B7" s="4">
        <v>0.03</v>
      </c>
      <c r="C7" s="8">
        <v>6.5000000000000002E-2</v>
      </c>
      <c r="D7" s="8">
        <v>5.7000000000000002E-2</v>
      </c>
      <c r="E7" s="3">
        <v>350</v>
      </c>
    </row>
    <row r="8" spans="1:15" x14ac:dyDescent="0.25">
      <c r="A8" s="3" t="s">
        <v>8</v>
      </c>
      <c r="B8" s="5">
        <v>0.84</v>
      </c>
      <c r="C8" s="5">
        <v>0.82000000000000006</v>
      </c>
      <c r="D8" s="5">
        <v>0.96</v>
      </c>
      <c r="E8" s="6"/>
    </row>
    <row r="11" spans="1:15" x14ac:dyDescent="0.25">
      <c r="E11" s="7" t="s">
        <v>10</v>
      </c>
    </row>
    <row r="12" spans="1:15" ht="18" x14ac:dyDescent="0.25">
      <c r="A12" s="41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25">
      <c r="A13" s="42"/>
      <c r="B13" s="3">
        <v>130</v>
      </c>
      <c r="C13" s="3">
        <v>140</v>
      </c>
      <c r="D13" s="3">
        <v>350</v>
      </c>
      <c r="E13" s="3">
        <v>680</v>
      </c>
    </row>
    <row r="17" spans="1:7" x14ac:dyDescent="0.25">
      <c r="A17" s="15" t="s">
        <v>0</v>
      </c>
      <c r="B17" s="15" t="s">
        <v>1</v>
      </c>
      <c r="C17" s="15"/>
      <c r="D17" s="15"/>
    </row>
    <row r="18" spans="1:7" x14ac:dyDescent="0.25">
      <c r="A18" s="15"/>
      <c r="B18" s="15" t="s">
        <v>3</v>
      </c>
      <c r="C18" s="15" t="s">
        <v>4</v>
      </c>
      <c r="D18" s="15" t="s">
        <v>5</v>
      </c>
    </row>
    <row r="19" spans="1:7" x14ac:dyDescent="0.25">
      <c r="A19" s="15" t="s">
        <v>6</v>
      </c>
      <c r="B19" s="30">
        <v>0</v>
      </c>
      <c r="C19" s="30">
        <v>45</v>
      </c>
      <c r="D19" s="30">
        <v>33</v>
      </c>
      <c r="E19">
        <f>SUM(B19:D19)</f>
        <v>78</v>
      </c>
      <c r="G19" s="15" t="s">
        <v>46</v>
      </c>
    </row>
    <row r="20" spans="1:7" x14ac:dyDescent="0.25">
      <c r="A20" s="15" t="s">
        <v>7</v>
      </c>
      <c r="B20" s="30">
        <v>28</v>
      </c>
      <c r="C20" s="30">
        <v>0</v>
      </c>
      <c r="D20" s="30">
        <v>0</v>
      </c>
      <c r="E20">
        <f>SUM(B20:D20)</f>
        <v>28</v>
      </c>
      <c r="G20" s="31">
        <f>SUMPRODUCT(E19:E20,E6:E7)</f>
        <v>37100</v>
      </c>
    </row>
    <row r="21" spans="1:7" x14ac:dyDescent="0.25">
      <c r="A21" s="15"/>
      <c r="B21" s="5">
        <f>SUMPRODUCT(B19:B20,B6:B7)</f>
        <v>0.84</v>
      </c>
      <c r="C21" s="5">
        <f>SUMPRODUCT(C19:C20,C6:C7)</f>
        <v>0.81</v>
      </c>
      <c r="D21" s="5">
        <f>SUMPRODUCT(D19:D20,D6:D7)</f>
        <v>0.95700000000000007</v>
      </c>
    </row>
    <row r="23" spans="1:7" x14ac:dyDescent="0.25">
      <c r="A23" s="48" t="s">
        <v>47</v>
      </c>
      <c r="B23">
        <v>120</v>
      </c>
      <c r="C23">
        <v>130</v>
      </c>
      <c r="D23">
        <v>140</v>
      </c>
      <c r="E23">
        <v>350</v>
      </c>
      <c r="F23">
        <v>680</v>
      </c>
    </row>
    <row r="24" spans="1:7" x14ac:dyDescent="0.25">
      <c r="A24" s="48" t="s">
        <v>48</v>
      </c>
      <c r="B24">
        <v>46</v>
      </c>
      <c r="C24">
        <v>46</v>
      </c>
      <c r="D24">
        <v>46</v>
      </c>
      <c r="E24">
        <v>78</v>
      </c>
      <c r="F24">
        <v>78</v>
      </c>
    </row>
    <row r="25" spans="1:7" x14ac:dyDescent="0.25">
      <c r="A25" s="48" t="s">
        <v>49</v>
      </c>
      <c r="B25">
        <v>44</v>
      </c>
      <c r="C25">
        <v>44</v>
      </c>
      <c r="D25">
        <v>44</v>
      </c>
      <c r="E25">
        <v>28</v>
      </c>
      <c r="F25">
        <v>28</v>
      </c>
    </row>
    <row r="26" spans="1:7" x14ac:dyDescent="0.25">
      <c r="A26" s="48" t="s">
        <v>50</v>
      </c>
      <c r="B26" t="s">
        <v>51</v>
      </c>
      <c r="C26" t="s">
        <v>51</v>
      </c>
      <c r="D26" t="s">
        <v>51</v>
      </c>
      <c r="E26" t="s">
        <v>51</v>
      </c>
      <c r="F26" t="s">
        <v>51</v>
      </c>
    </row>
    <row r="27" spans="1:7" x14ac:dyDescent="0.25">
      <c r="A27" s="48" t="s">
        <v>46</v>
      </c>
      <c r="B27">
        <v>20920</v>
      </c>
      <c r="C27">
        <v>21380</v>
      </c>
      <c r="D27">
        <v>21840</v>
      </c>
      <c r="E27">
        <v>37100</v>
      </c>
      <c r="F27">
        <v>62840</v>
      </c>
    </row>
  </sheetData>
  <mergeCells count="4">
    <mergeCell ref="A4:A5"/>
    <mergeCell ref="B4:D4"/>
    <mergeCell ref="E4:E5"/>
    <mergeCell ref="A12:A13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topLeftCell="A4" zoomScale="70" zoomScaleNormal="70" workbookViewId="0">
      <selection activeCell="D41" sqref="D41"/>
    </sheetView>
  </sheetViews>
  <sheetFormatPr defaultRowHeight="15" x14ac:dyDescent="0.25"/>
  <cols>
    <col min="1" max="1" width="17.140625" customWidth="1"/>
    <col min="2" max="2" width="35.85546875" customWidth="1"/>
    <col min="3" max="3" width="16.85546875" customWidth="1"/>
    <col min="4" max="4" width="26.5703125" bestFit="1" customWidth="1"/>
    <col min="5" max="5" width="14.28515625" customWidth="1"/>
    <col min="9" max="9" width="11" bestFit="1" customWidth="1"/>
    <col min="10" max="10" width="7.42578125" bestFit="1" customWidth="1"/>
    <col min="11" max="11" width="10" customWidth="1"/>
    <col min="12" max="12" width="26.5703125" bestFit="1" customWidth="1"/>
  </cols>
  <sheetData>
    <row r="1" spans="1:14" s="1" customFormat="1" ht="4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25">
      <c r="A2" s="11" t="s">
        <v>12</v>
      </c>
    </row>
    <row r="3" spans="1:14" s="1" customFormat="1" x14ac:dyDescent="0.25">
      <c r="A3" s="7" t="s">
        <v>9</v>
      </c>
    </row>
    <row r="4" spans="1:14" ht="30" x14ac:dyDescent="0.25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25">
      <c r="A5" s="14"/>
      <c r="B5" s="14" t="s">
        <v>17</v>
      </c>
      <c r="C5" s="10">
        <v>18</v>
      </c>
      <c r="D5" s="13"/>
      <c r="E5" s="13"/>
    </row>
    <row r="6" spans="1:14" x14ac:dyDescent="0.25">
      <c r="A6" s="14"/>
      <c r="B6" s="14" t="s">
        <v>18</v>
      </c>
      <c r="C6" s="10">
        <v>12</v>
      </c>
      <c r="D6" s="13"/>
      <c r="E6" s="13"/>
    </row>
    <row r="7" spans="1:14" x14ac:dyDescent="0.25">
      <c r="A7" s="14"/>
      <c r="B7" s="14" t="s">
        <v>19</v>
      </c>
      <c r="C7" s="10">
        <v>14</v>
      </c>
      <c r="D7" s="13"/>
      <c r="E7" s="13"/>
    </row>
    <row r="8" spans="1:14" x14ac:dyDescent="0.25">
      <c r="A8" s="14"/>
      <c r="B8" s="14" t="s">
        <v>20</v>
      </c>
      <c r="C8" s="10">
        <v>13</v>
      </c>
      <c r="D8" s="13"/>
      <c r="E8" s="13"/>
    </row>
    <row r="9" spans="1:14" x14ac:dyDescent="0.25">
      <c r="A9" s="14"/>
      <c r="B9" s="14" t="s">
        <v>21</v>
      </c>
      <c r="C9" s="10">
        <v>21</v>
      </c>
      <c r="D9" s="13"/>
      <c r="E9" s="13"/>
    </row>
    <row r="10" spans="1:14" x14ac:dyDescent="0.25">
      <c r="A10" s="14"/>
      <c r="B10" s="14" t="s">
        <v>22</v>
      </c>
      <c r="C10" s="10">
        <v>21</v>
      </c>
      <c r="D10" s="13"/>
      <c r="E10" s="13"/>
    </row>
    <row r="11" spans="1:14" x14ac:dyDescent="0.25">
      <c r="A11" s="14"/>
      <c r="B11" s="14" t="s">
        <v>23</v>
      </c>
      <c r="C11" s="10">
        <v>20</v>
      </c>
      <c r="D11" s="13"/>
      <c r="E11" s="13"/>
    </row>
    <row r="12" spans="1:14" x14ac:dyDescent="0.25">
      <c r="A12" s="13"/>
      <c r="B12" s="13"/>
      <c r="C12" s="13"/>
      <c r="D12" s="13"/>
      <c r="E12" s="13"/>
    </row>
    <row r="13" spans="1:14" x14ac:dyDescent="0.25">
      <c r="A13" s="7" t="s">
        <v>13</v>
      </c>
      <c r="B13" s="13"/>
      <c r="C13" s="13"/>
      <c r="D13" s="13"/>
      <c r="E13" s="13"/>
    </row>
    <row r="14" spans="1:14" x14ac:dyDescent="0.25">
      <c r="A14" s="12" t="s">
        <v>14</v>
      </c>
      <c r="B14" s="12" t="s">
        <v>15</v>
      </c>
      <c r="C14" s="9" t="s">
        <v>16</v>
      </c>
    </row>
    <row r="15" spans="1:14" x14ac:dyDescent="0.25">
      <c r="A15" s="15"/>
      <c r="B15" s="14" t="s">
        <v>17</v>
      </c>
      <c r="C15" s="10">
        <v>2100</v>
      </c>
    </row>
    <row r="16" spans="1:14" x14ac:dyDescent="0.25">
      <c r="A16" s="15"/>
      <c r="B16" s="14" t="s">
        <v>18</v>
      </c>
      <c r="C16" s="10">
        <v>2100</v>
      </c>
    </row>
    <row r="17" spans="1:12" x14ac:dyDescent="0.25">
      <c r="A17" s="15"/>
      <c r="B17" s="14" t="s">
        <v>19</v>
      </c>
      <c r="C17" s="10">
        <v>2200</v>
      </c>
    </row>
    <row r="18" spans="1:12" x14ac:dyDescent="0.25">
      <c r="A18" s="15"/>
      <c r="B18" s="14" t="s">
        <v>20</v>
      </c>
      <c r="C18" s="10">
        <v>1800</v>
      </c>
    </row>
    <row r="19" spans="1:12" x14ac:dyDescent="0.25">
      <c r="A19" s="15"/>
      <c r="B19" s="14" t="s">
        <v>21</v>
      </c>
      <c r="C19" s="10">
        <v>2000</v>
      </c>
    </row>
    <row r="20" spans="1:12" x14ac:dyDescent="0.25">
      <c r="A20" s="15"/>
      <c r="B20" s="14" t="s">
        <v>22</v>
      </c>
      <c r="C20" s="10">
        <v>2600</v>
      </c>
      <c r="I20" s="38" t="s">
        <v>65</v>
      </c>
    </row>
    <row r="21" spans="1:12" x14ac:dyDescent="0.25">
      <c r="A21" s="15"/>
      <c r="B21" s="14" t="s">
        <v>23</v>
      </c>
      <c r="C21" s="10">
        <v>2500</v>
      </c>
    </row>
    <row r="22" spans="1:12" x14ac:dyDescent="0.25">
      <c r="A22" s="38" t="s">
        <v>66</v>
      </c>
      <c r="I22" t="s">
        <v>63</v>
      </c>
    </row>
    <row r="23" spans="1:12" x14ac:dyDescent="0.25">
      <c r="A23" s="15" t="s">
        <v>52</v>
      </c>
      <c r="B23" s="32" t="s">
        <v>53</v>
      </c>
      <c r="C23" s="15" t="s">
        <v>54</v>
      </c>
      <c r="D23" s="15" t="s">
        <v>55</v>
      </c>
      <c r="I23" s="15" t="s">
        <v>52</v>
      </c>
      <c r="J23" s="15" t="s">
        <v>53</v>
      </c>
      <c r="K23" s="15" t="s">
        <v>54</v>
      </c>
      <c r="L23" s="15" t="s">
        <v>55</v>
      </c>
    </row>
    <row r="24" spans="1:12" x14ac:dyDescent="0.25">
      <c r="A24" s="34">
        <f>B25+B26+B27+B28+B29</f>
        <v>18</v>
      </c>
      <c r="B24" s="30">
        <v>5</v>
      </c>
      <c r="C24" s="33">
        <v>1</v>
      </c>
      <c r="D24" s="15" t="s">
        <v>56</v>
      </c>
      <c r="I24" s="34">
        <v>18</v>
      </c>
      <c r="J24" s="30">
        <v>5</v>
      </c>
      <c r="K24" s="15">
        <v>1</v>
      </c>
      <c r="L24" s="15" t="s">
        <v>56</v>
      </c>
    </row>
    <row r="25" spans="1:12" x14ac:dyDescent="0.25">
      <c r="A25" s="34">
        <f>B26+B27+B28+B29+B30</f>
        <v>12</v>
      </c>
      <c r="B25" s="30">
        <v>8</v>
      </c>
      <c r="C25" s="33">
        <v>2</v>
      </c>
      <c r="D25" s="15" t="s">
        <v>57</v>
      </c>
      <c r="I25" s="34">
        <v>18</v>
      </c>
      <c r="J25" s="30">
        <v>2</v>
      </c>
      <c r="K25" s="15">
        <v>2</v>
      </c>
      <c r="L25" s="15" t="s">
        <v>57</v>
      </c>
    </row>
    <row r="26" spans="1:12" x14ac:dyDescent="0.25">
      <c r="A26" s="34">
        <f>B24+B27+B28+B29+B30</f>
        <v>14</v>
      </c>
      <c r="B26" s="30">
        <v>3</v>
      </c>
      <c r="C26" s="33">
        <v>3</v>
      </c>
      <c r="D26" s="15" t="s">
        <v>58</v>
      </c>
      <c r="I26" s="34">
        <v>14</v>
      </c>
      <c r="J26" s="30">
        <v>9</v>
      </c>
      <c r="K26" s="15">
        <v>3</v>
      </c>
      <c r="L26" s="15" t="s">
        <v>58</v>
      </c>
    </row>
    <row r="27" spans="1:12" x14ac:dyDescent="0.25">
      <c r="A27" s="34">
        <f>B24+B25+B28+B29+B30</f>
        <v>19</v>
      </c>
      <c r="B27" s="30">
        <v>3</v>
      </c>
      <c r="C27" s="33">
        <v>4</v>
      </c>
      <c r="D27" s="15" t="s">
        <v>59</v>
      </c>
      <c r="I27" s="34">
        <v>13</v>
      </c>
      <c r="J27" s="30">
        <v>3</v>
      </c>
      <c r="K27" s="15">
        <v>4</v>
      </c>
      <c r="L27" s="15" t="s">
        <v>59</v>
      </c>
    </row>
    <row r="28" spans="1:12" x14ac:dyDescent="0.25">
      <c r="A28" s="34">
        <f>B24+B25+B26+B29+B30</f>
        <v>21</v>
      </c>
      <c r="B28" s="30">
        <v>1</v>
      </c>
      <c r="C28" s="33">
        <v>5</v>
      </c>
      <c r="D28" s="15" t="s">
        <v>60</v>
      </c>
      <c r="I28" s="34">
        <v>21</v>
      </c>
      <c r="J28" s="30">
        <v>1</v>
      </c>
      <c r="K28" s="15">
        <v>5</v>
      </c>
      <c r="L28" s="15" t="s">
        <v>60</v>
      </c>
    </row>
    <row r="29" spans="1:12" x14ac:dyDescent="0.25">
      <c r="A29" s="34">
        <f>B24+B25+B26+B27+B30</f>
        <v>21</v>
      </c>
      <c r="B29" s="30">
        <v>3</v>
      </c>
      <c r="C29" s="33">
        <v>6</v>
      </c>
      <c r="D29" s="15" t="s">
        <v>61</v>
      </c>
      <c r="I29" s="34">
        <v>21</v>
      </c>
      <c r="J29" s="30">
        <v>3</v>
      </c>
      <c r="K29" s="15">
        <v>6</v>
      </c>
      <c r="L29" s="15" t="s">
        <v>61</v>
      </c>
    </row>
    <row r="30" spans="1:12" x14ac:dyDescent="0.25">
      <c r="A30" s="34">
        <f>B24+B25+B26+B27+B28</f>
        <v>20</v>
      </c>
      <c r="B30" s="30">
        <v>2</v>
      </c>
      <c r="C30" s="33">
        <v>7</v>
      </c>
      <c r="D30" s="15" t="s">
        <v>62</v>
      </c>
      <c r="I30" s="34">
        <v>20</v>
      </c>
      <c r="J30" s="30">
        <v>2</v>
      </c>
      <c r="K30" s="15">
        <v>7</v>
      </c>
      <c r="L30" s="15" t="s">
        <v>62</v>
      </c>
    </row>
    <row r="32" spans="1:12" x14ac:dyDescent="0.25">
      <c r="D32" s="31" t="s">
        <v>46</v>
      </c>
      <c r="L32" s="35" t="s">
        <v>46</v>
      </c>
    </row>
    <row r="33" spans="1:12" x14ac:dyDescent="0.25">
      <c r="D33" s="15">
        <f>SUMPRODUCT(A24:A30,C15:C21)</f>
        <v>274600</v>
      </c>
      <c r="L33" s="36">
        <v>25</v>
      </c>
    </row>
    <row r="36" spans="1:12" x14ac:dyDescent="0.25">
      <c r="A36" s="29"/>
      <c r="B36" s="29"/>
      <c r="C36" s="29"/>
      <c r="D36" s="29"/>
    </row>
    <row r="37" spans="1:12" x14ac:dyDescent="0.25">
      <c r="C37" s="29"/>
      <c r="D37" s="29"/>
      <c r="I37" t="s">
        <v>64</v>
      </c>
    </row>
    <row r="38" spans="1:12" x14ac:dyDescent="0.25">
      <c r="C38" s="29"/>
      <c r="D38" s="29"/>
      <c r="I38" s="15" t="s">
        <v>52</v>
      </c>
      <c r="J38" s="15" t="s">
        <v>53</v>
      </c>
      <c r="K38" s="15" t="s">
        <v>54</v>
      </c>
      <c r="L38" s="15" t="s">
        <v>55</v>
      </c>
    </row>
    <row r="39" spans="1:12" x14ac:dyDescent="0.25">
      <c r="C39" s="29"/>
      <c r="D39" s="29"/>
      <c r="I39" s="34">
        <v>18</v>
      </c>
      <c r="J39" s="37">
        <v>6</v>
      </c>
      <c r="K39" s="15">
        <v>1</v>
      </c>
      <c r="L39" s="15" t="s">
        <v>56</v>
      </c>
    </row>
    <row r="40" spans="1:12" x14ac:dyDescent="0.25">
      <c r="C40" s="29"/>
      <c r="D40" s="29"/>
      <c r="I40" s="34">
        <v>12</v>
      </c>
      <c r="J40" s="37">
        <v>7</v>
      </c>
      <c r="K40" s="15">
        <v>2</v>
      </c>
      <c r="L40" s="15" t="s">
        <v>57</v>
      </c>
    </row>
    <row r="41" spans="1:12" x14ac:dyDescent="0.25">
      <c r="C41" s="29"/>
      <c r="D41" s="29"/>
      <c r="I41" s="34">
        <v>14</v>
      </c>
      <c r="J41" s="37">
        <v>4</v>
      </c>
      <c r="K41" s="15">
        <v>3</v>
      </c>
      <c r="L41" s="15" t="s">
        <v>58</v>
      </c>
    </row>
    <row r="42" spans="1:12" x14ac:dyDescent="0.25">
      <c r="C42" s="29"/>
      <c r="D42" s="29"/>
      <c r="I42" s="34">
        <v>18</v>
      </c>
      <c r="J42" s="37">
        <v>3</v>
      </c>
      <c r="K42" s="15">
        <v>4</v>
      </c>
      <c r="L42" s="15" t="s">
        <v>59</v>
      </c>
    </row>
    <row r="43" spans="1:12" x14ac:dyDescent="0.25">
      <c r="C43" s="29"/>
      <c r="D43" s="29"/>
      <c r="I43" s="34">
        <v>22</v>
      </c>
      <c r="J43" s="37">
        <v>0</v>
      </c>
      <c r="K43" s="15">
        <v>5</v>
      </c>
      <c r="L43" s="15" t="s">
        <v>60</v>
      </c>
    </row>
    <row r="44" spans="1:12" x14ac:dyDescent="0.25">
      <c r="I44" s="34">
        <v>21</v>
      </c>
      <c r="J44" s="37">
        <v>4</v>
      </c>
      <c r="K44" s="15">
        <v>6</v>
      </c>
      <c r="L44" s="15" t="s">
        <v>61</v>
      </c>
    </row>
    <row r="45" spans="1:12" x14ac:dyDescent="0.25">
      <c r="D45" s="29"/>
      <c r="I45" s="34">
        <v>20</v>
      </c>
      <c r="J45" s="37">
        <v>1</v>
      </c>
      <c r="K45" s="15">
        <v>7</v>
      </c>
      <c r="L45" s="15" t="s">
        <v>62</v>
      </c>
    </row>
    <row r="46" spans="1:12" x14ac:dyDescent="0.25">
      <c r="D46" s="29"/>
    </row>
    <row r="47" spans="1:12" x14ac:dyDescent="0.25">
      <c r="L47" s="31" t="s">
        <v>46</v>
      </c>
    </row>
    <row r="48" spans="1:12" x14ac:dyDescent="0.25">
      <c r="L48" s="15">
        <v>25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zoomScale="70" zoomScaleNormal="70" workbookViewId="0">
      <selection activeCell="F27" sqref="F27"/>
    </sheetView>
  </sheetViews>
  <sheetFormatPr defaultRowHeight="15" x14ac:dyDescent="0.25"/>
  <cols>
    <col min="1" max="1" width="6.28515625" customWidth="1"/>
    <col min="2" max="2" width="17.28515625" customWidth="1"/>
    <col min="3" max="7" width="14.28515625" customWidth="1"/>
    <col min="8" max="8" width="17.28515625" bestFit="1" customWidth="1"/>
  </cols>
  <sheetData>
    <row r="1" spans="1:14" s="1" customFormat="1" ht="4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25">
      <c r="A2" s="11" t="s">
        <v>12</v>
      </c>
    </row>
    <row r="3" spans="1:14" s="1" customFormat="1" x14ac:dyDescent="0.25">
      <c r="A3" s="7"/>
    </row>
    <row r="5" spans="1:14" x14ac:dyDescent="0.25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8.5" x14ac:dyDescent="0.25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25">
      <c r="A7" s="14">
        <v>1</v>
      </c>
      <c r="B7" s="14" t="s">
        <v>32</v>
      </c>
      <c r="C7" s="16">
        <v>1.5</v>
      </c>
      <c r="D7" s="16">
        <v>2</v>
      </c>
      <c r="E7" s="16">
        <v>2.25</v>
      </c>
      <c r="F7" s="16">
        <v>2.5</v>
      </c>
      <c r="G7" s="16">
        <v>2</v>
      </c>
      <c r="H7" s="50">
        <v>220</v>
      </c>
    </row>
    <row r="8" spans="1:14" x14ac:dyDescent="0.25">
      <c r="A8" s="14">
        <v>2</v>
      </c>
      <c r="B8" s="14" t="s">
        <v>33</v>
      </c>
      <c r="C8" s="16">
        <v>2.5</v>
      </c>
      <c r="D8" s="16">
        <v>2.5</v>
      </c>
      <c r="E8" s="16">
        <v>1.25</v>
      </c>
      <c r="F8" s="16">
        <v>0.75</v>
      </c>
      <c r="G8" s="16">
        <v>1.75</v>
      </c>
      <c r="H8" s="50">
        <v>200</v>
      </c>
    </row>
    <row r="9" spans="1:14" x14ac:dyDescent="0.25">
      <c r="A9" s="14">
        <v>3</v>
      </c>
      <c r="B9" s="14" t="s">
        <v>34</v>
      </c>
      <c r="C9" s="16">
        <v>1.5</v>
      </c>
      <c r="D9" s="16">
        <v>1.25</v>
      </c>
      <c r="E9" s="16">
        <v>2</v>
      </c>
      <c r="F9" s="16">
        <v>1.75</v>
      </c>
      <c r="G9" s="16">
        <v>1.25</v>
      </c>
      <c r="H9" s="50">
        <v>225</v>
      </c>
    </row>
    <row r="10" spans="1:14" x14ac:dyDescent="0.25">
      <c r="A10" s="14">
        <v>4</v>
      </c>
      <c r="B10" s="14" t="s">
        <v>28</v>
      </c>
      <c r="C10" s="16">
        <v>1.75</v>
      </c>
      <c r="D10" s="16">
        <v>0</v>
      </c>
      <c r="E10" s="16">
        <v>1.75</v>
      </c>
      <c r="F10" s="16">
        <v>2</v>
      </c>
      <c r="G10" s="16">
        <v>2</v>
      </c>
      <c r="H10" s="50">
        <v>185</v>
      </c>
    </row>
    <row r="11" spans="1:14" x14ac:dyDescent="0.25">
      <c r="A11" s="14"/>
      <c r="B11" s="14"/>
      <c r="C11" s="49">
        <v>80</v>
      </c>
      <c r="D11" s="49">
        <v>260</v>
      </c>
      <c r="E11" s="49">
        <v>80</v>
      </c>
      <c r="F11" s="49">
        <v>270</v>
      </c>
      <c r="G11" s="49">
        <v>140</v>
      </c>
      <c r="H11" s="16"/>
    </row>
    <row r="13" spans="1:14" x14ac:dyDescent="0.25">
      <c r="B13" s="7" t="s">
        <v>9</v>
      </c>
    </row>
    <row r="14" spans="1:14" ht="28.5" x14ac:dyDescent="0.25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25">
      <c r="B15" s="14" t="s">
        <v>32</v>
      </c>
      <c r="C15" s="51">
        <v>80</v>
      </c>
      <c r="D15" s="51">
        <v>0</v>
      </c>
      <c r="E15" s="51">
        <v>80</v>
      </c>
      <c r="F15" s="51">
        <v>0</v>
      </c>
      <c r="G15" s="51">
        <v>60</v>
      </c>
      <c r="H15" s="53">
        <f>SUM(C15:G15)</f>
        <v>220</v>
      </c>
    </row>
    <row r="16" spans="1:14" x14ac:dyDescent="0.25">
      <c r="B16" s="14" t="s">
        <v>33</v>
      </c>
      <c r="C16" s="51">
        <v>0</v>
      </c>
      <c r="D16" s="51">
        <v>0</v>
      </c>
      <c r="E16" s="51">
        <v>0</v>
      </c>
      <c r="F16" s="51">
        <v>200</v>
      </c>
      <c r="G16" s="51">
        <v>0</v>
      </c>
      <c r="H16" s="53">
        <f t="shared" ref="H16:H18" si="0">SUM(C16:G16)</f>
        <v>200</v>
      </c>
    </row>
    <row r="17" spans="2:8" x14ac:dyDescent="0.25">
      <c r="B17" s="14" t="s">
        <v>34</v>
      </c>
      <c r="C17" s="51">
        <v>0</v>
      </c>
      <c r="D17" s="51">
        <v>75</v>
      </c>
      <c r="E17" s="51">
        <v>0</v>
      </c>
      <c r="F17" s="51">
        <v>70</v>
      </c>
      <c r="G17" s="51">
        <v>80</v>
      </c>
      <c r="H17" s="53">
        <f t="shared" si="0"/>
        <v>225</v>
      </c>
    </row>
    <row r="18" spans="2:8" x14ac:dyDescent="0.25">
      <c r="B18" s="14" t="s">
        <v>28</v>
      </c>
      <c r="C18" s="51">
        <v>0</v>
      </c>
      <c r="D18" s="51">
        <v>185</v>
      </c>
      <c r="E18" s="51">
        <v>0</v>
      </c>
      <c r="F18" s="51">
        <v>0</v>
      </c>
      <c r="G18" s="51">
        <v>0</v>
      </c>
      <c r="H18" s="53">
        <f t="shared" si="0"/>
        <v>185</v>
      </c>
    </row>
    <row r="19" spans="2:8" x14ac:dyDescent="0.25">
      <c r="C19" s="52">
        <f>SUM(C15:C18)</f>
        <v>80</v>
      </c>
      <c r="D19" s="52">
        <f t="shared" ref="D19:G19" si="1">SUM(D15:D18)</f>
        <v>260</v>
      </c>
      <c r="E19" s="52">
        <f t="shared" si="1"/>
        <v>80</v>
      </c>
      <c r="F19" s="52">
        <f t="shared" si="1"/>
        <v>270</v>
      </c>
      <c r="G19" s="52">
        <f t="shared" si="1"/>
        <v>140</v>
      </c>
    </row>
    <row r="23" spans="2:8" x14ac:dyDescent="0.25">
      <c r="H23" s="31" t="s">
        <v>46</v>
      </c>
    </row>
    <row r="24" spans="2:8" x14ac:dyDescent="0.25">
      <c r="H24" s="15">
        <f>SUMPRODUCT(C15:G18,C7:G10)</f>
        <v>886.25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85" workbookViewId="0">
      <selection activeCell="D26" sqref="D26"/>
    </sheetView>
  </sheetViews>
  <sheetFormatPr defaultRowHeight="15" x14ac:dyDescent="0.25"/>
  <cols>
    <col min="2" max="3" width="16.7109375" customWidth="1"/>
  </cols>
  <sheetData>
    <row r="1" spans="1:13" s="1" customFormat="1" ht="48" customHeight="1" x14ac:dyDescent="0.25">
      <c r="A1" s="2"/>
      <c r="B1" s="2"/>
      <c r="C1" s="2"/>
      <c r="D1" s="2"/>
      <c r="E1" s="2"/>
      <c r="F1" s="2"/>
      <c r="G1" s="2"/>
      <c r="H1" s="2"/>
    </row>
    <row r="2" spans="1:13" x14ac:dyDescent="0.25">
      <c r="A2" s="11" t="s">
        <v>12</v>
      </c>
    </row>
    <row r="4" spans="1:13" x14ac:dyDescent="0.25">
      <c r="A4" s="7" t="s">
        <v>9</v>
      </c>
      <c r="E4" s="7" t="s">
        <v>41</v>
      </c>
    </row>
    <row r="5" spans="1:13" x14ac:dyDescent="0.25">
      <c r="A5" s="14" t="s">
        <v>42</v>
      </c>
      <c r="B5" s="14" t="s">
        <v>43</v>
      </c>
      <c r="C5" s="14" t="s">
        <v>44</v>
      </c>
      <c r="E5" s="27" t="s">
        <v>45</v>
      </c>
    </row>
    <row r="6" spans="1:13" x14ac:dyDescent="0.25">
      <c r="A6" s="14">
        <v>1</v>
      </c>
      <c r="B6" s="14">
        <v>21400</v>
      </c>
      <c r="C6" s="14">
        <v>8200</v>
      </c>
      <c r="E6" s="17">
        <v>85000</v>
      </c>
    </row>
    <row r="7" spans="1:13" x14ac:dyDescent="0.25">
      <c r="A7" s="14">
        <v>2</v>
      </c>
      <c r="B7" s="14">
        <v>15200</v>
      </c>
      <c r="C7" s="14">
        <v>7500</v>
      </c>
      <c r="E7" s="57">
        <v>55000</v>
      </c>
    </row>
    <row r="8" spans="1:13" x14ac:dyDescent="0.25">
      <c r="A8" s="14">
        <v>3</v>
      </c>
      <c r="B8" s="14">
        <v>12600</v>
      </c>
      <c r="C8" s="14">
        <v>4500</v>
      </c>
    </row>
    <row r="9" spans="1:13" x14ac:dyDescent="0.25">
      <c r="A9" s="14">
        <v>4</v>
      </c>
      <c r="B9" s="14">
        <v>9500</v>
      </c>
      <c r="C9" s="14">
        <v>5400</v>
      </c>
    </row>
    <row r="10" spans="1:13" x14ac:dyDescent="0.25">
      <c r="A10" s="14">
        <v>5</v>
      </c>
      <c r="B10" s="14">
        <v>7400</v>
      </c>
      <c r="C10" s="14">
        <v>4700</v>
      </c>
    </row>
    <row r="11" spans="1:13" x14ac:dyDescent="0.25">
      <c r="A11" s="14">
        <v>6</v>
      </c>
      <c r="B11" s="14">
        <v>8400</v>
      </c>
      <c r="C11" s="14">
        <v>3000</v>
      </c>
    </row>
    <row r="12" spans="1:13" x14ac:dyDescent="0.25">
      <c r="A12" s="14">
        <v>7</v>
      </c>
      <c r="B12" s="14">
        <v>6900</v>
      </c>
      <c r="C12" s="14">
        <v>2800</v>
      </c>
      <c r="J12" s="56" t="s">
        <v>70</v>
      </c>
    </row>
    <row r="13" spans="1:13" x14ac:dyDescent="0.25">
      <c r="A13" s="14">
        <v>8</v>
      </c>
      <c r="B13" s="14">
        <v>3900</v>
      </c>
      <c r="C13" s="14">
        <v>2500</v>
      </c>
    </row>
    <row r="14" spans="1:13" x14ac:dyDescent="0.25">
      <c r="J14" s="15" t="s">
        <v>67</v>
      </c>
    </row>
    <row r="15" spans="1:13" x14ac:dyDescent="0.25">
      <c r="B15" s="56" t="s">
        <v>71</v>
      </c>
      <c r="J15" s="54">
        <v>0</v>
      </c>
    </row>
    <row r="16" spans="1:13" x14ac:dyDescent="0.25">
      <c r="B16" s="15" t="s">
        <v>67</v>
      </c>
      <c r="J16" s="54">
        <v>1</v>
      </c>
      <c r="L16" s="15" t="s">
        <v>68</v>
      </c>
      <c r="M16" s="15">
        <v>51300</v>
      </c>
    </row>
    <row r="17" spans="2:13" x14ac:dyDescent="0.25">
      <c r="B17" s="54">
        <v>1</v>
      </c>
      <c r="J17" s="54">
        <v>0</v>
      </c>
      <c r="L17" s="31" t="s">
        <v>69</v>
      </c>
      <c r="M17" s="15">
        <v>25900</v>
      </c>
    </row>
    <row r="18" spans="2:13" x14ac:dyDescent="0.25">
      <c r="B18" s="54">
        <v>1</v>
      </c>
      <c r="D18" t="s">
        <v>68</v>
      </c>
      <c r="E18" s="15">
        <f>SUMPRODUCT(B17:B24,B6:B13)</f>
        <v>81400</v>
      </c>
      <c r="J18" s="54">
        <v>1</v>
      </c>
    </row>
    <row r="19" spans="2:13" x14ac:dyDescent="0.25">
      <c r="B19" s="54">
        <v>1</v>
      </c>
      <c r="D19" s="55" t="s">
        <v>69</v>
      </c>
      <c r="E19" s="15">
        <f>SUMPRODUCT(B17:B24,C6:C13)</f>
        <v>36100</v>
      </c>
      <c r="J19" s="54">
        <v>1</v>
      </c>
    </row>
    <row r="20" spans="2:13" x14ac:dyDescent="0.25">
      <c r="B20" s="54">
        <v>1</v>
      </c>
      <c r="J20" s="54">
        <v>1</v>
      </c>
    </row>
    <row r="21" spans="2:13" x14ac:dyDescent="0.25">
      <c r="B21" s="54">
        <v>1</v>
      </c>
      <c r="J21" s="54">
        <v>1</v>
      </c>
    </row>
    <row r="22" spans="2:13" x14ac:dyDescent="0.25">
      <c r="B22" s="54">
        <v>1</v>
      </c>
      <c r="J22" s="54">
        <v>1</v>
      </c>
    </row>
    <row r="23" spans="2:13" x14ac:dyDescent="0.25">
      <c r="B23" s="54">
        <v>1</v>
      </c>
    </row>
    <row r="24" spans="2:13" x14ac:dyDescent="0.25">
      <c r="B24" s="54">
        <v>0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tabSelected="1" zoomScale="70" workbookViewId="0">
      <selection activeCell="J24" sqref="J24"/>
    </sheetView>
  </sheetViews>
  <sheetFormatPr defaultRowHeight="15" x14ac:dyDescent="0.25"/>
  <cols>
    <col min="7" max="7" width="11.5703125" customWidth="1"/>
    <col min="8" max="8" width="13.140625" bestFit="1" customWidth="1"/>
    <col min="10" max="10" width="17.28515625" bestFit="1" customWidth="1"/>
  </cols>
  <sheetData>
    <row r="1" spans="1:10" s="1" customFormat="1" ht="48" customHeight="1" x14ac:dyDescent="0.25">
      <c r="A1" s="2"/>
      <c r="B1" s="2"/>
      <c r="C1" s="2"/>
      <c r="D1" s="2"/>
      <c r="E1" s="2"/>
      <c r="F1" s="2"/>
      <c r="G1" s="2"/>
      <c r="H1" s="2"/>
    </row>
    <row r="2" spans="1:10" x14ac:dyDescent="0.25">
      <c r="A2" s="11" t="s">
        <v>12</v>
      </c>
    </row>
    <row r="5" spans="1:10" x14ac:dyDescent="0.25">
      <c r="A5" s="20"/>
      <c r="B5" s="21"/>
      <c r="C5" s="43" t="s">
        <v>35</v>
      </c>
      <c r="D5" s="43"/>
      <c r="E5" s="43"/>
      <c r="F5" s="44"/>
    </row>
    <row r="6" spans="1:10" ht="14.45" customHeight="1" x14ac:dyDescent="0.25">
      <c r="A6" s="22"/>
      <c r="B6" s="23"/>
      <c r="C6" s="24" t="s">
        <v>36</v>
      </c>
      <c r="D6" s="25" t="s">
        <v>37</v>
      </c>
      <c r="E6" s="25" t="s">
        <v>38</v>
      </c>
      <c r="F6" s="25" t="s">
        <v>39</v>
      </c>
    </row>
    <row r="7" spans="1:10" x14ac:dyDescent="0.25">
      <c r="A7" s="45" t="s">
        <v>40</v>
      </c>
      <c r="B7" s="26">
        <v>1</v>
      </c>
      <c r="C7" s="17">
        <v>3</v>
      </c>
      <c r="D7" s="17">
        <v>7</v>
      </c>
      <c r="E7" s="17">
        <v>5</v>
      </c>
      <c r="F7" s="17">
        <v>8</v>
      </c>
    </row>
    <row r="8" spans="1:10" x14ac:dyDescent="0.25">
      <c r="A8" s="45"/>
      <c r="B8" s="25">
        <v>2</v>
      </c>
      <c r="C8" s="17">
        <v>8</v>
      </c>
      <c r="D8" s="17">
        <v>3</v>
      </c>
      <c r="E8" s="17">
        <v>13</v>
      </c>
      <c r="F8" s="17">
        <v>13</v>
      </c>
    </row>
    <row r="9" spans="1:10" x14ac:dyDescent="0.25">
      <c r="A9" s="45"/>
      <c r="B9" s="25">
        <v>3</v>
      </c>
      <c r="C9" s="17">
        <v>10</v>
      </c>
      <c r="D9" s="17">
        <v>13</v>
      </c>
      <c r="E9" s="17">
        <v>11</v>
      </c>
      <c r="F9" s="17">
        <v>9</v>
      </c>
    </row>
    <row r="10" spans="1:10" x14ac:dyDescent="0.25">
      <c r="A10" s="46"/>
      <c r="B10" s="25">
        <v>4</v>
      </c>
      <c r="C10" s="17">
        <v>6</v>
      </c>
      <c r="D10" s="17">
        <v>3</v>
      </c>
      <c r="E10" s="17">
        <v>6</v>
      </c>
      <c r="F10" s="17">
        <v>13</v>
      </c>
    </row>
    <row r="13" spans="1:10" x14ac:dyDescent="0.25">
      <c r="A13" s="20"/>
      <c r="B13" s="21"/>
      <c r="C13" s="43" t="s">
        <v>35</v>
      </c>
      <c r="D13" s="43"/>
      <c r="E13" s="43"/>
      <c r="F13" s="44"/>
    </row>
    <row r="14" spans="1:10" x14ac:dyDescent="0.25">
      <c r="A14" s="22"/>
      <c r="B14" s="23"/>
      <c r="C14" s="24" t="s">
        <v>36</v>
      </c>
      <c r="D14" s="25" t="s">
        <v>37</v>
      </c>
      <c r="E14" s="25" t="s">
        <v>38</v>
      </c>
      <c r="F14" s="25" t="s">
        <v>39</v>
      </c>
      <c r="H14" s="61" t="s">
        <v>72</v>
      </c>
      <c r="I14" s="62" t="s">
        <v>73</v>
      </c>
    </row>
    <row r="15" spans="1:10" x14ac:dyDescent="0.25">
      <c r="A15" s="45" t="s">
        <v>40</v>
      </c>
      <c r="B15" s="26">
        <v>1</v>
      </c>
      <c r="C15" s="58">
        <v>0</v>
      </c>
      <c r="D15" s="58">
        <v>1</v>
      </c>
      <c r="E15" s="58">
        <v>0</v>
      </c>
      <c r="F15" s="58">
        <v>0</v>
      </c>
      <c r="G15" s="59">
        <f>SUM(C15:F15)</f>
        <v>1</v>
      </c>
      <c r="H15">
        <f>SUMPRODUCT(C15:F15,C7:F7)</f>
        <v>7</v>
      </c>
      <c r="I15">
        <f>0.15*J17</f>
        <v>4.5</v>
      </c>
    </row>
    <row r="16" spans="1:10" x14ac:dyDescent="0.25">
      <c r="A16" s="45"/>
      <c r="B16" s="25">
        <v>2</v>
      </c>
      <c r="C16" s="58">
        <v>1</v>
      </c>
      <c r="D16" s="58">
        <v>0</v>
      </c>
      <c r="E16" s="58">
        <v>0</v>
      </c>
      <c r="F16" s="58">
        <v>0</v>
      </c>
      <c r="G16" s="59">
        <f t="shared" ref="G16:G18" si="0">SUM(C16:F16)</f>
        <v>1</v>
      </c>
      <c r="H16">
        <f t="shared" ref="H16:H18" si="1">SUMPRODUCT(C16:F16,C8:F8)</f>
        <v>8</v>
      </c>
      <c r="J16" t="s">
        <v>46</v>
      </c>
    </row>
    <row r="17" spans="1:11" x14ac:dyDescent="0.25">
      <c r="A17" s="45"/>
      <c r="B17" s="25">
        <v>3</v>
      </c>
      <c r="C17" s="58">
        <v>0</v>
      </c>
      <c r="D17" s="58">
        <v>0</v>
      </c>
      <c r="E17" s="58">
        <v>0</v>
      </c>
      <c r="F17" s="58">
        <v>1</v>
      </c>
      <c r="G17" s="59">
        <f t="shared" si="0"/>
        <v>1</v>
      </c>
      <c r="H17">
        <f t="shared" si="1"/>
        <v>9</v>
      </c>
      <c r="J17" s="47">
        <f>SUMPRODUCT(C7:F10,C15:F18)</f>
        <v>30</v>
      </c>
      <c r="K17" s="1"/>
    </row>
    <row r="18" spans="1:11" x14ac:dyDescent="0.25">
      <c r="A18" s="46"/>
      <c r="B18" s="25">
        <v>4</v>
      </c>
      <c r="C18" s="58">
        <v>0</v>
      </c>
      <c r="D18" s="58">
        <v>0</v>
      </c>
      <c r="E18" s="58">
        <v>1</v>
      </c>
      <c r="F18" s="58">
        <v>0</v>
      </c>
      <c r="G18" s="59">
        <f t="shared" si="0"/>
        <v>1</v>
      </c>
      <c r="H18">
        <f t="shared" si="1"/>
        <v>6</v>
      </c>
    </row>
    <row r="19" spans="1:11" x14ac:dyDescent="0.25">
      <c r="C19" s="60">
        <f>SUM(C15:C18)</f>
        <v>1</v>
      </c>
      <c r="D19" s="60">
        <f t="shared" ref="D19:F19" si="2">SUM(D15:D18)</f>
        <v>1</v>
      </c>
      <c r="E19" s="60">
        <f t="shared" si="2"/>
        <v>1</v>
      </c>
      <c r="F19" s="60">
        <f t="shared" si="2"/>
        <v>1</v>
      </c>
    </row>
  </sheetData>
  <mergeCells count="4">
    <mergeCell ref="C5:F5"/>
    <mergeCell ref="A7:A10"/>
    <mergeCell ref="C13:F13"/>
    <mergeCell ref="A15:A18"/>
  </mergeCells>
  <conditionalFormatting sqref="C15:F18">
    <cfRule type="cellIs" dxfId="0" priority="1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Ника Солнцева</cp:lastModifiedBy>
  <dcterms:created xsi:type="dcterms:W3CDTF">2025-11-28T21:09:32Z</dcterms:created>
  <dcterms:modified xsi:type="dcterms:W3CDTF">2026-10-19T09:05:00Z</dcterms:modified>
</cp:coreProperties>
</file>